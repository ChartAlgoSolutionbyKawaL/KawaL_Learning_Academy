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_HERE" sheetId="1" state="visible" r:id="rId1"/>
    <sheet xmlns:r="http://schemas.openxmlformats.org/officeDocument/2006/relationships" name="Healthcare_Practice" sheetId="2" state="visible" r:id="rId2"/>
    <sheet xmlns:r="http://schemas.openxmlformats.org/officeDocument/2006/relationships" name="Practice_Activity" sheetId="3" state="visible" r:id="rId3"/>
    <sheet xmlns:r="http://schemas.openxmlformats.org/officeDocument/2006/relationships" name="Solution" sheetId="4" state="visible" r:id="rId4"/>
    <sheet xmlns:r="http://schemas.openxmlformats.org/officeDocument/2006/relationships" name="AI_Prompt_Tracks" sheetId="5" state="visible" r:id="rId5"/>
    <sheet xmlns:r="http://schemas.openxmlformats.org/officeDocument/2006/relationships" name="Mastery_Checklist" sheetId="6" state="visible" r:id="rId6"/>
  </sheets>
  <definedNames/>
  <calcPr calcId="124519" fullCalcOnLoad="1"/>
</workbook>
</file>

<file path=xl/styles.xml><?xml version="1.0" encoding="utf-8"?>
<styleSheet xmlns="http://schemas.openxmlformats.org/spreadsheetml/2006/main">
  <numFmts count="3">
    <numFmt numFmtId="164" formatCode="yyyy-mm-dd"/>
    <numFmt numFmtId="165" formatCode="dd-mmm-yy"/>
    <numFmt numFmtId="166" formatCode="₹#,##0"/>
  </numFmts>
  <fonts count="5">
    <font>
      <name val="Calibri"/>
      <family val="2"/>
      <color theme="1"/>
      <sz val="11"/>
      <scheme val="minor"/>
    </font>
    <font>
      <b val="1"/>
      <color rgb="00FFFFFF"/>
      <sz val="15"/>
    </font>
    <font>
      <b val="1"/>
    </font>
    <font>
      <b val="1"/>
      <sz val="12"/>
    </font>
    <font>
      <b val="1"/>
      <color rgb="00FFFFFF"/>
    </font>
  </fonts>
  <fills count="10">
    <fill>
      <patternFill/>
    </fill>
    <fill>
      <patternFill patternType="gray125"/>
    </fill>
    <fill>
      <patternFill patternType="solid">
        <fgColor rgb="001F7A4D"/>
      </patternFill>
    </fill>
    <fill>
      <patternFill patternType="solid">
        <fgColor rgb="00E2F0D9"/>
      </patternFill>
    </fill>
    <fill>
      <patternFill patternType="solid">
        <fgColor rgb="00FFF2CC"/>
      </patternFill>
    </fill>
    <fill>
      <patternFill patternType="solid">
        <fgColor rgb="00DDEBF7"/>
      </patternFill>
    </fill>
    <fill>
      <patternFill patternType="solid">
        <fgColor rgb="002F75B5"/>
      </patternFill>
    </fill>
    <fill>
      <patternFill patternType="solid">
        <fgColor rgb="00E4DFEC"/>
      </patternFill>
    </fill>
    <fill>
      <patternFill patternType="solid">
        <fgColor rgb="007030A0"/>
      </patternFill>
    </fill>
    <fill>
      <patternFill patternType="solid">
        <fgColor rgb="00FCE4D6"/>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3" borderId="0" applyAlignment="1" pivotButton="0" quotePrefix="0" xfId="0">
      <alignment vertical="top" wrapText="1"/>
    </xf>
    <xf numFmtId="0" fontId="0" fillId="4" borderId="1" applyAlignment="1" pivotButton="0" quotePrefix="0" xfId="0">
      <alignment vertical="top" wrapText="1"/>
    </xf>
    <xf numFmtId="0" fontId="3" fillId="5" borderId="0" applyAlignment="1" pivotButton="0" quotePrefix="0" xfId="0">
      <alignment vertical="top" wrapText="1"/>
    </xf>
    <xf numFmtId="0" fontId="0" fillId="0" borderId="1" applyAlignment="1" pivotButton="0" quotePrefix="0" xfId="0">
      <alignment vertical="top" wrapText="1"/>
    </xf>
    <xf numFmtId="0" fontId="2" fillId="4" borderId="0" applyAlignment="1" pivotButton="0" quotePrefix="0" xfId="0">
      <alignment vertical="top" wrapText="1"/>
    </xf>
    <xf numFmtId="0" fontId="4" fillId="6" borderId="1" applyAlignment="1" pivotButton="0" quotePrefix="0" xfId="0">
      <alignment vertical="top" wrapText="1"/>
    </xf>
    <xf numFmtId="165" fontId="0" fillId="0" borderId="1" applyAlignment="1" pivotButton="0" quotePrefix="0" xfId="0">
      <alignment vertical="top" wrapText="1"/>
    </xf>
    <xf numFmtId="166" fontId="0" fillId="0" borderId="1" applyAlignment="1" pivotButton="0" quotePrefix="0" xfId="0">
      <alignment vertical="top" wrapText="1"/>
    </xf>
    <xf numFmtId="0" fontId="4" fillId="2" borderId="1" applyAlignment="1" pivotButton="0" quotePrefix="0" xfId="0">
      <alignment vertical="top" wrapText="1"/>
    </xf>
    <xf numFmtId="0" fontId="3" fillId="7" borderId="0" applyAlignment="1" pivotButton="0" quotePrefix="0" xfId="0">
      <alignment vertical="top" wrapText="1"/>
    </xf>
    <xf numFmtId="0" fontId="4" fillId="8" borderId="1" applyAlignment="1" pivotButton="0" quotePrefix="0" xfId="0">
      <alignment vertical="top" wrapText="1"/>
    </xf>
    <xf numFmtId="0" fontId="3" fillId="9"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HealthcareData" displayName="HealthcareData" ref="A4:M124" headerRowCount="1">
  <autoFilter ref="A4:M124"/>
  <tableColumns count="13">
    <tableColumn id="1" name="Patient ID"/>
    <tableColumn id="2" name="Admission Date"/>
    <tableColumn id="3" name="Department"/>
    <tableColumn id="4" name="Age Group"/>
    <tableColumn id="5" name="Diagnosis"/>
    <tableColumn id="6" name="Discharge Type"/>
    <tableColumn id="7" name="Length of Stay"/>
    <tableColumn id="8" name="Multiple Conditions"/>
    <tableColumn id="9" name="Follow-up Completed"/>
    <tableColumn id="10" name="30-Day Readmission"/>
    <tableColumn id="11" name="Treatment Cost"/>
    <tableColumn id="12" name="Insurance Type"/>
    <tableColumn id="13" name="Readmission Cost"/>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19"/>
  <sheetViews>
    <sheetView showGridLines="0" workbookViewId="0">
      <pane ySplit="3" topLeftCell="A4" activePane="bottomLeft" state="frozen"/>
      <selection pane="bottomLeft" activeCell="A1" sqref="A1"/>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 width="23" customWidth="1" min="7" max="7"/>
    <col width="23" customWidth="1" min="8" max="8"/>
    <col width="23" customWidth="1" min="9" max="9"/>
    <col width="23" customWidth="1" min="10" max="10"/>
  </cols>
  <sheetData>
    <row r="1">
      <c r="A1" s="1" t="inlineStr">
        <is>
          <t>LEVEL 5 — CHAPTER 2: AI-POWERED DATA &amp; ANALYTICS | HEALTHCARE PRACTICE</t>
        </is>
      </c>
    </row>
    <row r="2"/>
    <row r="3">
      <c r="A3" s="2" t="inlineStr">
        <is>
          <t>Scenario</t>
        </is>
      </c>
      <c r="B3" s="3" t="inlineStr">
        <is>
          <t>A hospital wants to understand why 30-day patient readmissions are high and which departments, diagnoses and patient segments require attention.</t>
        </is>
      </c>
    </row>
    <row r="4"/>
    <row r="5">
      <c r="A5" s="4" t="inlineStr">
        <is>
          <t>LEARNING TRACK</t>
        </is>
      </c>
    </row>
    <row r="6">
      <c r="A6" s="5" t="inlineStr">
        <is>
          <t>1. Understand the healthcare dataset and what each field means.</t>
        </is>
      </c>
    </row>
    <row r="7">
      <c r="A7" s="5" t="inlineStr">
        <is>
          <t>2. Check data quality before drawing conclusions.</t>
        </is>
      </c>
    </row>
    <row r="8">
      <c r="A8" s="5" t="inlineStr">
        <is>
          <t>3. Calculate readmission rate, average length of stay and follow-up completion.</t>
        </is>
      </c>
    </row>
    <row r="9">
      <c r="A9" s="5" t="inlineStr">
        <is>
          <t>4. Compare departments, diagnoses, age groups and discharge types.</t>
        </is>
      </c>
    </row>
    <row r="10">
      <c r="A10" s="5" t="inlineStr">
        <is>
          <t>5. Use AI to generate hypotheses — then validate every hypothesis with data.</t>
        </is>
      </c>
    </row>
    <row r="11">
      <c r="A11" s="5" t="inlineStr">
        <is>
          <t>6. Build an evidence-backed recommendation for reducing readmissions.</t>
        </is>
      </c>
    </row>
    <row r="12"/>
    <row r="13">
      <c r="A13" s="6" t="inlineStr">
        <is>
          <t>KEY BUSINESS QUESTIONS</t>
        </is>
      </c>
    </row>
    <row r="14">
      <c r="A14" s="7" t="inlineStr">
        <is>
          <t>1. Which departments have the highest 30-day readmission rates?</t>
        </is>
      </c>
    </row>
    <row r="15">
      <c r="A15" s="7" t="inlineStr">
        <is>
          <t>2. Which diagnoses are associated with higher readmission?</t>
        </is>
      </c>
    </row>
    <row r="16">
      <c r="A16" s="7" t="inlineStr">
        <is>
          <t>3. Do patients with multiple conditions have greater risk?</t>
        </is>
      </c>
    </row>
    <row r="17">
      <c r="A17" s="7" t="inlineStr">
        <is>
          <t>4. Does length of stay appear related to readmission?</t>
        </is>
      </c>
    </row>
    <row r="18">
      <c r="A18" s="7" t="inlineStr">
        <is>
          <t>5. Does completing follow-up reduce readmission?</t>
        </is>
      </c>
    </row>
    <row r="19">
      <c r="A19" s="7" t="inlineStr">
        <is>
          <t>6. Which patient segments should management investigate first?</t>
        </is>
      </c>
    </row>
  </sheetData>
  <mergeCells count="16">
    <mergeCell ref="A1:J1"/>
    <mergeCell ref="A5:J5"/>
    <mergeCell ref="B3:J3"/>
    <mergeCell ref="A8:J8"/>
    <mergeCell ref="A14:J14"/>
    <mergeCell ref="A6:J6"/>
    <mergeCell ref="A17:J17"/>
    <mergeCell ref="A9:J9"/>
    <mergeCell ref="A18:J18"/>
    <mergeCell ref="A15:J15"/>
    <mergeCell ref="A7:J7"/>
    <mergeCell ref="A19:J19"/>
    <mergeCell ref="A16:J16"/>
    <mergeCell ref="A10:J10"/>
    <mergeCell ref="A13:J13"/>
    <mergeCell ref="A11:J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4"/>
  <sheetViews>
    <sheetView showGridLines="0" workbookViewId="0">
      <pane ySplit="3" topLeftCell="A4" activePane="bottomLeft" state="frozen"/>
      <selection pane="bottomLeft" activeCell="A1" sqref="A1"/>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 width="23" customWidth="1" min="7" max="7"/>
    <col width="23" customWidth="1" min="8" max="8"/>
    <col width="23" customWidth="1" min="9" max="9"/>
    <col width="23" customWidth="1" min="10" max="10"/>
    <col width="23" customWidth="1" min="11" max="11"/>
    <col width="23" customWidth="1" min="12" max="12"/>
    <col width="23" customWidth="1" min="13" max="13"/>
  </cols>
  <sheetData>
    <row r="1">
      <c r="A1" s="1" t="inlineStr">
        <is>
          <t>HEALTHCARE — PATIENT READMISSION PRACTICE DATA</t>
        </is>
      </c>
    </row>
    <row r="2">
      <c r="A2" s="8" t="inlineStr">
        <is>
          <t>Task: Analyze this dataset without looking at the Solution sheet.</t>
        </is>
      </c>
    </row>
    <row r="3"/>
    <row r="4">
      <c r="A4" s="9" t="inlineStr">
        <is>
          <t>Patient ID</t>
        </is>
      </c>
      <c r="B4" s="9" t="inlineStr">
        <is>
          <t>Admission Date</t>
        </is>
      </c>
      <c r="C4" s="9" t="inlineStr">
        <is>
          <t>Department</t>
        </is>
      </c>
      <c r="D4" s="9" t="inlineStr">
        <is>
          <t>Age Group</t>
        </is>
      </c>
      <c r="E4" s="9" t="inlineStr">
        <is>
          <t>Diagnosis</t>
        </is>
      </c>
      <c r="F4" s="9" t="inlineStr">
        <is>
          <t>Discharge Type</t>
        </is>
      </c>
      <c r="G4" s="9" t="inlineStr">
        <is>
          <t>Length of Stay</t>
        </is>
      </c>
      <c r="H4" s="9" t="inlineStr">
        <is>
          <t>Multiple Conditions</t>
        </is>
      </c>
      <c r="I4" s="9" t="inlineStr">
        <is>
          <t>Follow-up Completed</t>
        </is>
      </c>
      <c r="J4" s="9" t="inlineStr">
        <is>
          <t>30-Day Readmission</t>
        </is>
      </c>
      <c r="K4" s="9" t="inlineStr">
        <is>
          <t>Treatment Cost</t>
        </is>
      </c>
      <c r="L4" s="9" t="inlineStr">
        <is>
          <t>Insurance Type</t>
        </is>
      </c>
      <c r="M4" s="9" t="inlineStr">
        <is>
          <t>Readmission Cost</t>
        </is>
      </c>
    </row>
    <row r="5">
      <c r="A5" s="7" t="inlineStr">
        <is>
          <t>P0001</t>
        </is>
      </c>
      <c r="B5" s="10" t="n">
        <v>45944</v>
      </c>
      <c r="C5" s="7" t="inlineStr">
        <is>
          <t>Cardiology</t>
        </is>
      </c>
      <c r="D5" s="7" t="inlineStr">
        <is>
          <t>51-65</t>
        </is>
      </c>
      <c r="E5" s="7" t="inlineStr">
        <is>
          <t>Heart Failure</t>
        </is>
      </c>
      <c r="F5" s="7" t="inlineStr">
        <is>
          <t>Home</t>
        </is>
      </c>
      <c r="G5" s="7" t="n">
        <v>4</v>
      </c>
      <c r="H5" s="7" t="inlineStr">
        <is>
          <t>Yes</t>
        </is>
      </c>
      <c r="I5" s="7" t="inlineStr">
        <is>
          <t>Yes</t>
        </is>
      </c>
      <c r="J5" s="7" t="inlineStr">
        <is>
          <t>Yes</t>
        </is>
      </c>
      <c r="K5" s="11" t="n">
        <v>30886</v>
      </c>
      <c r="L5" s="7" t="inlineStr">
        <is>
          <t>Private</t>
        </is>
      </c>
      <c r="M5" s="11" t="n">
        <v>31726.71</v>
      </c>
    </row>
    <row r="6">
      <c r="A6" s="7" t="inlineStr">
        <is>
          <t>P0002</t>
        </is>
      </c>
      <c r="B6" s="10" t="n">
        <v>45846</v>
      </c>
      <c r="C6" s="7" t="inlineStr">
        <is>
          <t>Cardiology</t>
        </is>
      </c>
      <c r="D6" s="7" t="inlineStr">
        <is>
          <t>36-50</t>
        </is>
      </c>
      <c r="E6" s="7" t="inlineStr">
        <is>
          <t>COPD</t>
        </is>
      </c>
      <c r="F6" s="7" t="inlineStr">
        <is>
          <t>Transfer</t>
        </is>
      </c>
      <c r="G6" s="7" t="n">
        <v>9</v>
      </c>
      <c r="H6" s="7" t="inlineStr">
        <is>
          <t>Yes</t>
        </is>
      </c>
      <c r="I6" s="7" t="inlineStr">
        <is>
          <t>Yes</t>
        </is>
      </c>
      <c r="J6" s="7" t="inlineStr">
        <is>
          <t>No</t>
        </is>
      </c>
      <c r="K6" s="11" t="n">
        <v>36894</v>
      </c>
      <c r="L6" s="7" t="inlineStr">
        <is>
          <t>Self Pay</t>
        </is>
      </c>
      <c r="M6" s="11" t="n">
        <v>0</v>
      </c>
    </row>
    <row r="7">
      <c r="A7" s="7" t="inlineStr">
        <is>
          <t>P0003</t>
        </is>
      </c>
      <c r="B7" s="10" t="n">
        <v>45701</v>
      </c>
      <c r="C7" s="7" t="inlineStr">
        <is>
          <t>Pulmonology</t>
        </is>
      </c>
      <c r="D7" s="7" t="inlineStr">
        <is>
          <t>36-50</t>
        </is>
      </c>
      <c r="E7" s="7" t="inlineStr">
        <is>
          <t>Heart Failure</t>
        </is>
      </c>
      <c r="F7" s="7" t="inlineStr">
        <is>
          <t>Home</t>
        </is>
      </c>
      <c r="G7" s="7" t="n">
        <v>12</v>
      </c>
      <c r="H7" s="7" t="inlineStr">
        <is>
          <t>No</t>
        </is>
      </c>
      <c r="I7" s="7" t="inlineStr">
        <is>
          <t>Yes</t>
        </is>
      </c>
      <c r="J7" s="7" t="inlineStr">
        <is>
          <t>Yes</t>
        </is>
      </c>
      <c r="K7" s="11" t="n">
        <v>38972</v>
      </c>
      <c r="L7" s="7" t="inlineStr">
        <is>
          <t>Government</t>
        </is>
      </c>
      <c r="M7" s="11" t="n">
        <v>35151.06</v>
      </c>
    </row>
    <row r="8">
      <c r="A8" s="7" t="inlineStr">
        <is>
          <t>P0004</t>
        </is>
      </c>
      <c r="B8" s="10" t="n">
        <v>45706</v>
      </c>
      <c r="C8" s="7" t="inlineStr">
        <is>
          <t>Pulmonology</t>
        </is>
      </c>
      <c r="D8" s="7" t="inlineStr">
        <is>
          <t>51-65</t>
        </is>
      </c>
      <c r="E8" s="7" t="inlineStr">
        <is>
          <t>Fracture</t>
        </is>
      </c>
      <c r="F8" s="7" t="inlineStr">
        <is>
          <t>Rehab</t>
        </is>
      </c>
      <c r="G8" s="7" t="n">
        <v>1</v>
      </c>
      <c r="H8" s="7" t="inlineStr">
        <is>
          <t>No</t>
        </is>
      </c>
      <c r="I8" s="7" t="inlineStr">
        <is>
          <t>Yes</t>
        </is>
      </c>
      <c r="J8" s="7" t="inlineStr">
        <is>
          <t>No</t>
        </is>
      </c>
      <c r="K8" s="11" t="n">
        <v>21187</v>
      </c>
      <c r="L8" s="7" t="inlineStr">
        <is>
          <t>Self Pay</t>
        </is>
      </c>
      <c r="M8" s="11" t="n">
        <v>0</v>
      </c>
    </row>
    <row r="9">
      <c r="A9" s="7" t="inlineStr">
        <is>
          <t>P0005</t>
        </is>
      </c>
      <c r="B9" s="10" t="n">
        <v>45701</v>
      </c>
      <c r="C9" s="7" t="inlineStr">
        <is>
          <t>Pulmonology</t>
        </is>
      </c>
      <c r="D9" s="7" t="inlineStr">
        <is>
          <t>36-50</t>
        </is>
      </c>
      <c r="E9" s="7" t="inlineStr">
        <is>
          <t>Fracture</t>
        </is>
      </c>
      <c r="F9" s="7" t="inlineStr">
        <is>
          <t>Rehab</t>
        </is>
      </c>
      <c r="G9" s="7" t="n">
        <v>12</v>
      </c>
      <c r="H9" s="7" t="inlineStr">
        <is>
          <t>Yes</t>
        </is>
      </c>
      <c r="I9" s="7" t="inlineStr">
        <is>
          <t>Yes</t>
        </is>
      </c>
      <c r="J9" s="7" t="inlineStr">
        <is>
          <t>Yes</t>
        </is>
      </c>
      <c r="K9" s="11" t="n">
        <v>36478</v>
      </c>
      <c r="L9" s="7" t="inlineStr">
        <is>
          <t>Government</t>
        </is>
      </c>
      <c r="M9" s="11" t="n">
        <v>44254.77</v>
      </c>
    </row>
    <row r="10">
      <c r="A10" s="7" t="inlineStr">
        <is>
          <t>P0006</t>
        </is>
      </c>
      <c r="B10" s="10" t="n">
        <v>45708</v>
      </c>
      <c r="C10" s="7" t="inlineStr">
        <is>
          <t>Pulmonology</t>
        </is>
      </c>
      <c r="D10" s="7" t="inlineStr">
        <is>
          <t>51-65</t>
        </is>
      </c>
      <c r="E10" s="7" t="inlineStr">
        <is>
          <t>COPD</t>
        </is>
      </c>
      <c r="F10" s="7" t="inlineStr">
        <is>
          <t>Home + Support</t>
        </is>
      </c>
      <c r="G10" s="7" t="n">
        <v>6</v>
      </c>
      <c r="H10" s="7" t="inlineStr">
        <is>
          <t>Yes</t>
        </is>
      </c>
      <c r="I10" s="7" t="inlineStr">
        <is>
          <t>No</t>
        </is>
      </c>
      <c r="J10" s="7" t="inlineStr">
        <is>
          <t>No</t>
        </is>
      </c>
      <c r="K10" s="11" t="n">
        <v>34648</v>
      </c>
      <c r="L10" s="7" t="inlineStr">
        <is>
          <t>Self Pay</t>
        </is>
      </c>
      <c r="M10" s="11" t="n">
        <v>0</v>
      </c>
    </row>
    <row r="11">
      <c r="A11" s="7" t="inlineStr">
        <is>
          <t>P0007</t>
        </is>
      </c>
      <c r="B11" s="10" t="n">
        <v>45769</v>
      </c>
      <c r="C11" s="7" t="inlineStr">
        <is>
          <t>Orthopedics</t>
        </is>
      </c>
      <c r="D11" s="7" t="inlineStr">
        <is>
          <t>66+</t>
        </is>
      </c>
      <c r="E11" s="7" t="inlineStr">
        <is>
          <t>COPD</t>
        </is>
      </c>
      <c r="F11" s="7" t="inlineStr">
        <is>
          <t>Rehab</t>
        </is>
      </c>
      <c r="G11" s="7" t="n">
        <v>7</v>
      </c>
      <c r="H11" s="7" t="inlineStr">
        <is>
          <t>No</t>
        </is>
      </c>
      <c r="I11" s="7" t="inlineStr">
        <is>
          <t>No</t>
        </is>
      </c>
      <c r="J11" s="7" t="inlineStr">
        <is>
          <t>No</t>
        </is>
      </c>
      <c r="K11" s="11" t="n">
        <v>23590</v>
      </c>
      <c r="L11" s="7" t="inlineStr">
        <is>
          <t>Private</t>
        </is>
      </c>
      <c r="M11" s="11" t="n">
        <v>0</v>
      </c>
    </row>
    <row r="12">
      <c r="A12" s="7" t="inlineStr">
        <is>
          <t>P0008</t>
        </is>
      </c>
      <c r="B12" s="10" t="n">
        <v>46002</v>
      </c>
      <c r="C12" s="7" t="inlineStr">
        <is>
          <t>Orthopedics</t>
        </is>
      </c>
      <c r="D12" s="7" t="inlineStr">
        <is>
          <t>51-65</t>
        </is>
      </c>
      <c r="E12" s="7" t="inlineStr">
        <is>
          <t>Heart Failure</t>
        </is>
      </c>
      <c r="F12" s="7" t="inlineStr">
        <is>
          <t>Home + Support</t>
        </is>
      </c>
      <c r="G12" s="7" t="n">
        <v>7</v>
      </c>
      <c r="H12" s="7" t="inlineStr">
        <is>
          <t>No</t>
        </is>
      </c>
      <c r="I12" s="7" t="inlineStr">
        <is>
          <t>Yes</t>
        </is>
      </c>
      <c r="J12" s="7" t="inlineStr">
        <is>
          <t>No</t>
        </is>
      </c>
      <c r="K12" s="11" t="n">
        <v>23660</v>
      </c>
      <c r="L12" s="7" t="inlineStr">
        <is>
          <t>Self Pay</t>
        </is>
      </c>
      <c r="M12" s="11" t="n">
        <v>0</v>
      </c>
    </row>
    <row r="13">
      <c r="A13" s="7" t="inlineStr">
        <is>
          <t>P0009</t>
        </is>
      </c>
      <c r="B13" s="10" t="n">
        <v>45801</v>
      </c>
      <c r="C13" s="7" t="inlineStr">
        <is>
          <t>General Medicine</t>
        </is>
      </c>
      <c r="D13" s="7" t="inlineStr">
        <is>
          <t>66+</t>
        </is>
      </c>
      <c r="E13" s="7" t="inlineStr">
        <is>
          <t>Diabetes</t>
        </is>
      </c>
      <c r="F13" s="7" t="inlineStr">
        <is>
          <t>Transfer</t>
        </is>
      </c>
      <c r="G13" s="7" t="n">
        <v>3</v>
      </c>
      <c r="H13" s="7" t="inlineStr">
        <is>
          <t>No</t>
        </is>
      </c>
      <c r="I13" s="7" t="inlineStr">
        <is>
          <t>Yes</t>
        </is>
      </c>
      <c r="J13" s="7" t="inlineStr">
        <is>
          <t>No</t>
        </is>
      </c>
      <c r="K13" s="11" t="n">
        <v>15053</v>
      </c>
      <c r="L13" s="7" t="inlineStr">
        <is>
          <t>Self Pay</t>
        </is>
      </c>
      <c r="M13" s="11" t="n">
        <v>0</v>
      </c>
    </row>
    <row r="14">
      <c r="A14" s="7" t="inlineStr">
        <is>
          <t>P0010</t>
        </is>
      </c>
      <c r="B14" s="10" t="n">
        <v>45742</v>
      </c>
      <c r="C14" s="7" t="inlineStr">
        <is>
          <t>General Medicine</t>
        </is>
      </c>
      <c r="D14" s="7" t="inlineStr">
        <is>
          <t>36-50</t>
        </is>
      </c>
      <c r="E14" s="7" t="inlineStr">
        <is>
          <t>Pneumonia</t>
        </is>
      </c>
      <c r="F14" s="7" t="inlineStr">
        <is>
          <t>Transfer</t>
        </is>
      </c>
      <c r="G14" s="7" t="n">
        <v>3</v>
      </c>
      <c r="H14" s="7" t="inlineStr">
        <is>
          <t>No</t>
        </is>
      </c>
      <c r="I14" s="7" t="inlineStr">
        <is>
          <t>Yes</t>
        </is>
      </c>
      <c r="J14" s="7" t="inlineStr">
        <is>
          <t>Yes</t>
        </is>
      </c>
      <c r="K14" s="11" t="n">
        <v>13736</v>
      </c>
      <c r="L14" s="7" t="inlineStr">
        <is>
          <t>Self Pay</t>
        </is>
      </c>
      <c r="M14" s="11" t="n">
        <v>10874.86</v>
      </c>
    </row>
    <row r="15">
      <c r="A15" s="7" t="inlineStr">
        <is>
          <t>P0011</t>
        </is>
      </c>
      <c r="B15" s="10" t="n">
        <v>45985</v>
      </c>
      <c r="C15" s="7" t="inlineStr">
        <is>
          <t>Cardiology</t>
        </is>
      </c>
      <c r="D15" s="7" t="inlineStr">
        <is>
          <t>66+</t>
        </is>
      </c>
      <c r="E15" s="7" t="inlineStr">
        <is>
          <t>Diabetes</t>
        </is>
      </c>
      <c r="F15" s="7" t="inlineStr">
        <is>
          <t>Home</t>
        </is>
      </c>
      <c r="G15" s="7" t="n">
        <v>10</v>
      </c>
      <c r="H15" s="7" t="inlineStr">
        <is>
          <t>No</t>
        </is>
      </c>
      <c r="I15" s="7" t="inlineStr">
        <is>
          <t>Yes</t>
        </is>
      </c>
      <c r="J15" s="7" t="inlineStr">
        <is>
          <t>No</t>
        </is>
      </c>
      <c r="K15" s="11" t="n">
        <v>26110</v>
      </c>
      <c r="L15" s="7" t="inlineStr">
        <is>
          <t>Self Pay</t>
        </is>
      </c>
      <c r="M15" s="11" t="n">
        <v>0</v>
      </c>
    </row>
    <row r="16">
      <c r="A16" s="7" t="inlineStr">
        <is>
          <t>P0012</t>
        </is>
      </c>
      <c r="B16" s="10" t="n">
        <v>46000</v>
      </c>
      <c r="C16" s="7" t="inlineStr">
        <is>
          <t>Pulmonology</t>
        </is>
      </c>
      <c r="D16" s="7" t="inlineStr">
        <is>
          <t>51-65</t>
        </is>
      </c>
      <c r="E16" s="7" t="inlineStr">
        <is>
          <t>Hypertension</t>
        </is>
      </c>
      <c r="F16" s="7" t="inlineStr">
        <is>
          <t>Home + Support</t>
        </is>
      </c>
      <c r="G16" s="7" t="n">
        <v>2</v>
      </c>
      <c r="H16" s="7" t="inlineStr">
        <is>
          <t>No</t>
        </is>
      </c>
      <c r="I16" s="7" t="inlineStr">
        <is>
          <t>Yes</t>
        </is>
      </c>
      <c r="J16" s="7" t="inlineStr">
        <is>
          <t>No</t>
        </is>
      </c>
      <c r="K16" s="11" t="n">
        <v>23078</v>
      </c>
      <c r="L16" s="7" t="inlineStr">
        <is>
          <t>Self Pay</t>
        </is>
      </c>
      <c r="M16" s="11" t="n">
        <v>0</v>
      </c>
    </row>
    <row r="17">
      <c r="A17" s="7" t="inlineStr">
        <is>
          <t>P0013</t>
        </is>
      </c>
      <c r="B17" s="10" t="n">
        <v>45901</v>
      </c>
      <c r="C17" s="7" t="inlineStr">
        <is>
          <t>Cardiology</t>
        </is>
      </c>
      <c r="D17" s="7" t="inlineStr">
        <is>
          <t>51-65</t>
        </is>
      </c>
      <c r="E17" s="7" t="inlineStr">
        <is>
          <t>Hypertension</t>
        </is>
      </c>
      <c r="F17" s="7" t="inlineStr">
        <is>
          <t>Rehab</t>
        </is>
      </c>
      <c r="G17" s="7" t="n">
        <v>11</v>
      </c>
      <c r="H17" s="7" t="inlineStr">
        <is>
          <t>Yes</t>
        </is>
      </c>
      <c r="I17" s="7" t="inlineStr">
        <is>
          <t>Yes</t>
        </is>
      </c>
      <c r="J17" s="7" t="inlineStr">
        <is>
          <t>No</t>
        </is>
      </c>
      <c r="K17" s="11" t="n">
        <v>39777</v>
      </c>
      <c r="L17" s="7" t="inlineStr">
        <is>
          <t>Government</t>
        </is>
      </c>
      <c r="M17" s="11" t="n">
        <v>0</v>
      </c>
    </row>
    <row r="18">
      <c r="A18" s="7" t="inlineStr">
        <is>
          <t>P0014</t>
        </is>
      </c>
      <c r="B18" s="10" t="n">
        <v>46007</v>
      </c>
      <c r="C18" s="7" t="inlineStr">
        <is>
          <t>Cardiology</t>
        </is>
      </c>
      <c r="D18" s="7" t="inlineStr">
        <is>
          <t>51-65</t>
        </is>
      </c>
      <c r="E18" s="7" t="inlineStr">
        <is>
          <t>Heart Failure</t>
        </is>
      </c>
      <c r="F18" s="7" t="inlineStr">
        <is>
          <t>Home</t>
        </is>
      </c>
      <c r="G18" s="7" t="n">
        <v>5</v>
      </c>
      <c r="H18" s="7" t="inlineStr">
        <is>
          <t>Yes</t>
        </is>
      </c>
      <c r="I18" s="7" t="inlineStr">
        <is>
          <t>Yes</t>
        </is>
      </c>
      <c r="J18" s="7" t="inlineStr">
        <is>
          <t>No</t>
        </is>
      </c>
      <c r="K18" s="11" t="n">
        <v>25750</v>
      </c>
      <c r="L18" s="7" t="inlineStr">
        <is>
          <t>Self Pay</t>
        </is>
      </c>
      <c r="M18" s="11" t="n">
        <v>0</v>
      </c>
    </row>
    <row r="19">
      <c r="A19" s="7" t="inlineStr">
        <is>
          <t>P0015</t>
        </is>
      </c>
      <c r="B19" s="10" t="n">
        <v>45765</v>
      </c>
      <c r="C19" s="7" t="inlineStr">
        <is>
          <t>Orthopedics</t>
        </is>
      </c>
      <c r="D19" s="7" t="inlineStr">
        <is>
          <t>66+</t>
        </is>
      </c>
      <c r="E19" s="7" t="inlineStr">
        <is>
          <t>COPD</t>
        </is>
      </c>
      <c r="F19" s="7" t="inlineStr">
        <is>
          <t>Home + Support</t>
        </is>
      </c>
      <c r="G19" s="7" t="n">
        <v>9</v>
      </c>
      <c r="H19" s="7" t="inlineStr">
        <is>
          <t>Yes</t>
        </is>
      </c>
      <c r="I19" s="7" t="inlineStr">
        <is>
          <t>Yes</t>
        </is>
      </c>
      <c r="J19" s="7" t="inlineStr">
        <is>
          <t>No</t>
        </is>
      </c>
      <c r="K19" s="11" t="n">
        <v>32047</v>
      </c>
      <c r="L19" s="7" t="inlineStr">
        <is>
          <t>Self Pay</t>
        </is>
      </c>
      <c r="M19" s="11" t="n">
        <v>0</v>
      </c>
    </row>
    <row r="20">
      <c r="A20" s="7" t="inlineStr">
        <is>
          <t>P0016</t>
        </is>
      </c>
      <c r="B20" s="10" t="n">
        <v>45908</v>
      </c>
      <c r="C20" s="7" t="inlineStr">
        <is>
          <t>Pulmonology</t>
        </is>
      </c>
      <c r="D20" s="7" t="inlineStr">
        <is>
          <t>51-65</t>
        </is>
      </c>
      <c r="E20" s="7" t="inlineStr">
        <is>
          <t>Diabetes</t>
        </is>
      </c>
      <c r="F20" s="7" t="inlineStr">
        <is>
          <t>Home + Support</t>
        </is>
      </c>
      <c r="G20" s="7" t="n">
        <v>8</v>
      </c>
      <c r="H20" s="7" t="inlineStr">
        <is>
          <t>No</t>
        </is>
      </c>
      <c r="I20" s="7" t="inlineStr">
        <is>
          <t>Yes</t>
        </is>
      </c>
      <c r="J20" s="7" t="inlineStr">
        <is>
          <t>Yes</t>
        </is>
      </c>
      <c r="K20" s="11" t="n">
        <v>29168</v>
      </c>
      <c r="L20" s="7" t="inlineStr">
        <is>
          <t>Private</t>
        </is>
      </c>
      <c r="M20" s="11" t="n">
        <v>20785.72</v>
      </c>
    </row>
    <row r="21">
      <c r="A21" s="7" t="inlineStr">
        <is>
          <t>P0017</t>
        </is>
      </c>
      <c r="B21" s="10" t="n">
        <v>45756</v>
      </c>
      <c r="C21" s="7" t="inlineStr">
        <is>
          <t>Cardiology</t>
        </is>
      </c>
      <c r="D21" s="7" t="inlineStr">
        <is>
          <t>18-35</t>
        </is>
      </c>
      <c r="E21" s="7" t="inlineStr">
        <is>
          <t>Hypertension</t>
        </is>
      </c>
      <c r="F21" s="7" t="inlineStr">
        <is>
          <t>Transfer</t>
        </is>
      </c>
      <c r="G21" s="7" t="n">
        <v>4</v>
      </c>
      <c r="H21" s="7" t="inlineStr">
        <is>
          <t>Yes</t>
        </is>
      </c>
      <c r="I21" s="7" t="inlineStr">
        <is>
          <t>No</t>
        </is>
      </c>
      <c r="J21" s="7" t="inlineStr">
        <is>
          <t>No</t>
        </is>
      </c>
      <c r="K21" s="11" t="n">
        <v>26593</v>
      </c>
      <c r="L21" s="7" t="inlineStr">
        <is>
          <t>Private</t>
        </is>
      </c>
      <c r="M21" s="11" t="n">
        <v>0</v>
      </c>
    </row>
    <row r="22">
      <c r="A22" s="7" t="inlineStr">
        <is>
          <t>P0018</t>
        </is>
      </c>
      <c r="B22" s="10" t="n">
        <v>45822</v>
      </c>
      <c r="C22" s="7" t="inlineStr">
        <is>
          <t>Orthopedics</t>
        </is>
      </c>
      <c r="D22" s="7" t="inlineStr">
        <is>
          <t>66+</t>
        </is>
      </c>
      <c r="E22" s="7" t="inlineStr">
        <is>
          <t>Hypertension</t>
        </is>
      </c>
      <c r="F22" s="7" t="inlineStr">
        <is>
          <t>Transfer</t>
        </is>
      </c>
      <c r="G22" s="7" t="n">
        <v>4</v>
      </c>
      <c r="H22" s="7" t="inlineStr">
        <is>
          <t>No</t>
        </is>
      </c>
      <c r="I22" s="7" t="inlineStr">
        <is>
          <t>No</t>
        </is>
      </c>
      <c r="J22" s="7" t="inlineStr">
        <is>
          <t>Yes</t>
        </is>
      </c>
      <c r="K22" s="11" t="n">
        <v>17596</v>
      </c>
      <c r="L22" s="7" t="inlineStr">
        <is>
          <t>Government</t>
        </is>
      </c>
      <c r="M22" s="11" t="n">
        <v>19274.48</v>
      </c>
    </row>
    <row r="23">
      <c r="A23" s="7" t="inlineStr">
        <is>
          <t>P0019</t>
        </is>
      </c>
      <c r="B23" s="10" t="n">
        <v>45754</v>
      </c>
      <c r="C23" s="7" t="inlineStr">
        <is>
          <t>Cardiology</t>
        </is>
      </c>
      <c r="D23" s="7" t="inlineStr">
        <is>
          <t>18-35</t>
        </is>
      </c>
      <c r="E23" s="7" t="inlineStr">
        <is>
          <t>Hypertension</t>
        </is>
      </c>
      <c r="F23" s="7" t="inlineStr">
        <is>
          <t>Home + Support</t>
        </is>
      </c>
      <c r="G23" s="7" t="n">
        <v>1</v>
      </c>
      <c r="H23" s="7" t="inlineStr">
        <is>
          <t>No</t>
        </is>
      </c>
      <c r="I23" s="7" t="inlineStr">
        <is>
          <t>No</t>
        </is>
      </c>
      <c r="J23" s="7" t="inlineStr">
        <is>
          <t>No</t>
        </is>
      </c>
      <c r="K23" s="11" t="n">
        <v>18911</v>
      </c>
      <c r="L23" s="7" t="inlineStr">
        <is>
          <t>Self Pay</t>
        </is>
      </c>
      <c r="M23" s="11" t="n">
        <v>0</v>
      </c>
    </row>
    <row r="24">
      <c r="A24" s="7" t="inlineStr">
        <is>
          <t>P0020</t>
        </is>
      </c>
      <c r="B24" s="10" t="n">
        <v>45895</v>
      </c>
      <c r="C24" s="7" t="inlineStr">
        <is>
          <t>General Medicine</t>
        </is>
      </c>
      <c r="D24" s="7" t="inlineStr">
        <is>
          <t>66+</t>
        </is>
      </c>
      <c r="E24" s="7" t="inlineStr">
        <is>
          <t>COPD</t>
        </is>
      </c>
      <c r="F24" s="7" t="inlineStr">
        <is>
          <t>Home</t>
        </is>
      </c>
      <c r="G24" s="7" t="n">
        <v>3</v>
      </c>
      <c r="H24" s="7" t="inlineStr">
        <is>
          <t>No</t>
        </is>
      </c>
      <c r="I24" s="7" t="inlineStr">
        <is>
          <t>Yes</t>
        </is>
      </c>
      <c r="J24" s="7" t="inlineStr">
        <is>
          <t>No</t>
        </is>
      </c>
      <c r="K24" s="11" t="n">
        <v>13631</v>
      </c>
      <c r="L24" s="7" t="inlineStr">
        <is>
          <t>Private</t>
        </is>
      </c>
      <c r="M24" s="11" t="n">
        <v>0</v>
      </c>
    </row>
    <row r="25">
      <c r="A25" s="7" t="inlineStr">
        <is>
          <t>P0021</t>
        </is>
      </c>
      <c r="B25" s="10" t="n">
        <v>45729</v>
      </c>
      <c r="C25" s="7" t="inlineStr">
        <is>
          <t>Cardiology</t>
        </is>
      </c>
      <c r="D25" s="7" t="inlineStr">
        <is>
          <t>36-50</t>
        </is>
      </c>
      <c r="E25" s="7" t="inlineStr">
        <is>
          <t>Heart Failure</t>
        </is>
      </c>
      <c r="F25" s="7" t="inlineStr">
        <is>
          <t>Home</t>
        </is>
      </c>
      <c r="G25" s="7" t="n">
        <v>3</v>
      </c>
      <c r="H25" s="7" t="inlineStr">
        <is>
          <t>No</t>
        </is>
      </c>
      <c r="I25" s="7" t="inlineStr">
        <is>
          <t>Yes</t>
        </is>
      </c>
      <c r="J25" s="7" t="inlineStr">
        <is>
          <t>Yes</t>
        </is>
      </c>
      <c r="K25" s="11" t="n">
        <v>21630</v>
      </c>
      <c r="L25" s="7" t="inlineStr">
        <is>
          <t>Government</t>
        </is>
      </c>
      <c r="M25" s="11" t="n">
        <v>26852.9</v>
      </c>
    </row>
    <row r="26">
      <c r="A26" s="7" t="inlineStr">
        <is>
          <t>P0022</t>
        </is>
      </c>
      <c r="B26" s="10" t="n">
        <v>45954</v>
      </c>
      <c r="C26" s="7" t="inlineStr">
        <is>
          <t>Pulmonology</t>
        </is>
      </c>
      <c r="D26" s="7" t="inlineStr">
        <is>
          <t>51-65</t>
        </is>
      </c>
      <c r="E26" s="7" t="inlineStr">
        <is>
          <t>Diabetes</t>
        </is>
      </c>
      <c r="F26" s="7" t="inlineStr">
        <is>
          <t>Home</t>
        </is>
      </c>
      <c r="G26" s="7" t="n">
        <v>7</v>
      </c>
      <c r="H26" s="7" t="inlineStr">
        <is>
          <t>No</t>
        </is>
      </c>
      <c r="I26" s="7" t="inlineStr">
        <is>
          <t>Yes</t>
        </is>
      </c>
      <c r="J26" s="7" t="inlineStr">
        <is>
          <t>No</t>
        </is>
      </c>
      <c r="K26" s="11" t="n">
        <v>26013</v>
      </c>
      <c r="L26" s="7" t="inlineStr">
        <is>
          <t>Self Pay</t>
        </is>
      </c>
      <c r="M26" s="11" t="n">
        <v>0</v>
      </c>
    </row>
    <row r="27">
      <c r="A27" s="7" t="inlineStr">
        <is>
          <t>P0023</t>
        </is>
      </c>
      <c r="B27" s="10" t="n">
        <v>45674</v>
      </c>
      <c r="C27" s="7" t="inlineStr">
        <is>
          <t>Pulmonology</t>
        </is>
      </c>
      <c r="D27" s="7" t="inlineStr">
        <is>
          <t>18-35</t>
        </is>
      </c>
      <c r="E27" s="7" t="inlineStr">
        <is>
          <t>Heart Failure</t>
        </is>
      </c>
      <c r="F27" s="7" t="inlineStr">
        <is>
          <t>Home</t>
        </is>
      </c>
      <c r="G27" s="7" t="n">
        <v>10</v>
      </c>
      <c r="H27" s="7" t="inlineStr">
        <is>
          <t>No</t>
        </is>
      </c>
      <c r="I27" s="7" t="inlineStr">
        <is>
          <t>Yes</t>
        </is>
      </c>
      <c r="J27" s="7" t="inlineStr">
        <is>
          <t>No</t>
        </is>
      </c>
      <c r="K27" s="11" t="n">
        <v>29610</v>
      </c>
      <c r="L27" s="7" t="inlineStr">
        <is>
          <t>Private</t>
        </is>
      </c>
      <c r="M27" s="11" t="n">
        <v>0</v>
      </c>
    </row>
    <row r="28">
      <c r="A28" s="7" t="inlineStr">
        <is>
          <t>P0024</t>
        </is>
      </c>
      <c r="B28" s="10" t="n">
        <v>45950</v>
      </c>
      <c r="C28" s="7" t="inlineStr">
        <is>
          <t>Cardiology</t>
        </is>
      </c>
      <c r="D28" s="7" t="inlineStr">
        <is>
          <t>18-35</t>
        </is>
      </c>
      <c r="E28" s="7" t="inlineStr">
        <is>
          <t>Fracture</t>
        </is>
      </c>
      <c r="F28" s="7" t="inlineStr">
        <is>
          <t>Home</t>
        </is>
      </c>
      <c r="G28" s="7" t="n">
        <v>11</v>
      </c>
      <c r="H28" s="7" t="inlineStr">
        <is>
          <t>Yes</t>
        </is>
      </c>
      <c r="I28" s="7" t="inlineStr">
        <is>
          <t>Yes</t>
        </is>
      </c>
      <c r="J28" s="7" t="inlineStr">
        <is>
          <t>No</t>
        </is>
      </c>
      <c r="K28" s="11" t="n">
        <v>37221</v>
      </c>
      <c r="L28" s="7" t="inlineStr">
        <is>
          <t>Self Pay</t>
        </is>
      </c>
      <c r="M28" s="11" t="n">
        <v>0</v>
      </c>
    </row>
    <row r="29">
      <c r="A29" s="7" t="inlineStr">
        <is>
          <t>P0025</t>
        </is>
      </c>
      <c r="B29" s="10" t="n">
        <v>45971</v>
      </c>
      <c r="C29" s="7" t="inlineStr">
        <is>
          <t>Cardiology</t>
        </is>
      </c>
      <c r="D29" s="7" t="inlineStr">
        <is>
          <t>51-65</t>
        </is>
      </c>
      <c r="E29" s="7" t="inlineStr">
        <is>
          <t>Diabetes</t>
        </is>
      </c>
      <c r="F29" s="7" t="inlineStr">
        <is>
          <t>Transfer</t>
        </is>
      </c>
      <c r="G29" s="7" t="n">
        <v>5</v>
      </c>
      <c r="H29" s="7" t="inlineStr">
        <is>
          <t>Yes</t>
        </is>
      </c>
      <c r="I29" s="7" t="inlineStr">
        <is>
          <t>No</t>
        </is>
      </c>
      <c r="J29" s="7" t="inlineStr">
        <is>
          <t>Yes</t>
        </is>
      </c>
      <c r="K29" s="11" t="n">
        <v>27976</v>
      </c>
      <c r="L29" s="7" t="inlineStr">
        <is>
          <t>Government</t>
        </is>
      </c>
      <c r="M29" s="11" t="n">
        <v>21780.07</v>
      </c>
    </row>
    <row r="30">
      <c r="A30" s="7" t="inlineStr">
        <is>
          <t>P0026</t>
        </is>
      </c>
      <c r="B30" s="10" t="n">
        <v>45696</v>
      </c>
      <c r="C30" s="7" t="inlineStr">
        <is>
          <t>Cardiology</t>
        </is>
      </c>
      <c r="D30" s="7" t="inlineStr">
        <is>
          <t>66+</t>
        </is>
      </c>
      <c r="E30" s="7" t="inlineStr">
        <is>
          <t>Heart Failure</t>
        </is>
      </c>
      <c r="F30" s="7" t="inlineStr">
        <is>
          <t>Rehab</t>
        </is>
      </c>
      <c r="G30" s="7" t="n">
        <v>10</v>
      </c>
      <c r="H30" s="7" t="inlineStr">
        <is>
          <t>Yes</t>
        </is>
      </c>
      <c r="I30" s="7" t="inlineStr">
        <is>
          <t>Yes</t>
        </is>
      </c>
      <c r="J30" s="7" t="inlineStr">
        <is>
          <t>Yes</t>
        </is>
      </c>
      <c r="K30" s="11" t="n">
        <v>32252</v>
      </c>
      <c r="L30" s="7" t="inlineStr">
        <is>
          <t>Government</t>
        </is>
      </c>
      <c r="M30" s="11" t="n">
        <v>40636.09</v>
      </c>
    </row>
    <row r="31">
      <c r="A31" s="7" t="inlineStr">
        <is>
          <t>P0027</t>
        </is>
      </c>
      <c r="B31" s="10" t="n">
        <v>45725</v>
      </c>
      <c r="C31" s="7" t="inlineStr">
        <is>
          <t>Orthopedics</t>
        </is>
      </c>
      <c r="D31" s="7" t="inlineStr">
        <is>
          <t>51-65</t>
        </is>
      </c>
      <c r="E31" s="7" t="inlineStr">
        <is>
          <t>Diabetes</t>
        </is>
      </c>
      <c r="F31" s="7" t="inlineStr">
        <is>
          <t>Home</t>
        </is>
      </c>
      <c r="G31" s="7" t="n">
        <v>10</v>
      </c>
      <c r="H31" s="7" t="inlineStr">
        <is>
          <t>Yes</t>
        </is>
      </c>
      <c r="I31" s="7" t="inlineStr">
        <is>
          <t>No</t>
        </is>
      </c>
      <c r="J31" s="7" t="inlineStr">
        <is>
          <t>No</t>
        </is>
      </c>
      <c r="K31" s="11" t="n">
        <v>32214</v>
      </c>
      <c r="L31" s="7" t="inlineStr">
        <is>
          <t>Private</t>
        </is>
      </c>
      <c r="M31" s="11" t="n">
        <v>0</v>
      </c>
    </row>
    <row r="32">
      <c r="A32" s="7" t="inlineStr">
        <is>
          <t>P0028</t>
        </is>
      </c>
      <c r="B32" s="10" t="n">
        <v>45878</v>
      </c>
      <c r="C32" s="7" t="inlineStr">
        <is>
          <t>Orthopedics</t>
        </is>
      </c>
      <c r="D32" s="7" t="inlineStr">
        <is>
          <t>51-65</t>
        </is>
      </c>
      <c r="E32" s="7" t="inlineStr">
        <is>
          <t>Pneumonia</t>
        </is>
      </c>
      <c r="F32" s="7" t="inlineStr">
        <is>
          <t>Home</t>
        </is>
      </c>
      <c r="G32" s="7" t="n">
        <v>10</v>
      </c>
      <c r="H32" s="7" t="inlineStr">
        <is>
          <t>Yes</t>
        </is>
      </c>
      <c r="I32" s="7" t="inlineStr">
        <is>
          <t>No</t>
        </is>
      </c>
      <c r="J32" s="7" t="inlineStr">
        <is>
          <t>Yes</t>
        </is>
      </c>
      <c r="K32" s="11" t="n">
        <v>34983</v>
      </c>
      <c r="L32" s="7" t="inlineStr">
        <is>
          <t>Private</t>
        </is>
      </c>
      <c r="M32" s="11" t="n">
        <v>30029.07</v>
      </c>
    </row>
    <row r="33">
      <c r="A33" s="7" t="inlineStr">
        <is>
          <t>P0029</t>
        </is>
      </c>
      <c r="B33" s="10" t="n">
        <v>45740</v>
      </c>
      <c r="C33" s="7" t="inlineStr">
        <is>
          <t>General Medicine</t>
        </is>
      </c>
      <c r="D33" s="7" t="inlineStr">
        <is>
          <t>18-35</t>
        </is>
      </c>
      <c r="E33" s="7" t="inlineStr">
        <is>
          <t>Pneumonia</t>
        </is>
      </c>
      <c r="F33" s="7" t="inlineStr">
        <is>
          <t>Transfer</t>
        </is>
      </c>
      <c r="G33" s="7" t="n">
        <v>1</v>
      </c>
      <c r="H33" s="7" t="inlineStr">
        <is>
          <t>No</t>
        </is>
      </c>
      <c r="I33" s="7" t="inlineStr">
        <is>
          <t>No</t>
        </is>
      </c>
      <c r="J33" s="7" t="inlineStr">
        <is>
          <t>No</t>
        </is>
      </c>
      <c r="K33" s="11" t="n">
        <v>12068</v>
      </c>
      <c r="L33" s="7" t="inlineStr">
        <is>
          <t>Self Pay</t>
        </is>
      </c>
      <c r="M33" s="11" t="n">
        <v>0</v>
      </c>
    </row>
    <row r="34">
      <c r="A34" s="7" t="inlineStr">
        <is>
          <t>P0030</t>
        </is>
      </c>
      <c r="B34" s="10" t="n">
        <v>45684</v>
      </c>
      <c r="C34" s="7" t="inlineStr">
        <is>
          <t>General Medicine</t>
        </is>
      </c>
      <c r="D34" s="7" t="inlineStr">
        <is>
          <t>18-35</t>
        </is>
      </c>
      <c r="E34" s="7" t="inlineStr">
        <is>
          <t>Fracture</t>
        </is>
      </c>
      <c r="F34" s="7" t="inlineStr">
        <is>
          <t>Rehab</t>
        </is>
      </c>
      <c r="G34" s="7" t="n">
        <v>2</v>
      </c>
      <c r="H34" s="7" t="inlineStr">
        <is>
          <t>Yes</t>
        </is>
      </c>
      <c r="I34" s="7" t="inlineStr">
        <is>
          <t>No</t>
        </is>
      </c>
      <c r="J34" s="7" t="inlineStr">
        <is>
          <t>No</t>
        </is>
      </c>
      <c r="K34" s="11" t="n">
        <v>18138</v>
      </c>
      <c r="L34" s="7" t="inlineStr">
        <is>
          <t>Self Pay</t>
        </is>
      </c>
      <c r="M34" s="11" t="n">
        <v>0</v>
      </c>
    </row>
    <row r="35">
      <c r="A35" s="7" t="inlineStr">
        <is>
          <t>P0031</t>
        </is>
      </c>
      <c r="B35" s="10" t="n">
        <v>45815</v>
      </c>
      <c r="C35" s="7" t="inlineStr">
        <is>
          <t>Orthopedics</t>
        </is>
      </c>
      <c r="D35" s="7" t="inlineStr">
        <is>
          <t>36-50</t>
        </is>
      </c>
      <c r="E35" s="7" t="inlineStr">
        <is>
          <t>Diabetes</t>
        </is>
      </c>
      <c r="F35" s="7" t="inlineStr">
        <is>
          <t>Home + Support</t>
        </is>
      </c>
      <c r="G35" s="7" t="n">
        <v>1</v>
      </c>
      <c r="H35" s="7" t="inlineStr">
        <is>
          <t>No</t>
        </is>
      </c>
      <c r="I35" s="7" t="inlineStr">
        <is>
          <t>Yes</t>
        </is>
      </c>
      <c r="J35" s="7" t="inlineStr">
        <is>
          <t>No</t>
        </is>
      </c>
      <c r="K35" s="11" t="n">
        <v>14840</v>
      </c>
      <c r="L35" s="7" t="inlineStr">
        <is>
          <t>Self Pay</t>
        </is>
      </c>
      <c r="M35" s="11" t="n">
        <v>0</v>
      </c>
    </row>
    <row r="36">
      <c r="A36" s="7" t="inlineStr">
        <is>
          <t>P0032</t>
        </is>
      </c>
      <c r="B36" s="10" t="n">
        <v>45730</v>
      </c>
      <c r="C36" s="7" t="inlineStr">
        <is>
          <t>Cardiology</t>
        </is>
      </c>
      <c r="D36" s="7" t="inlineStr">
        <is>
          <t>66+</t>
        </is>
      </c>
      <c r="E36" s="7" t="inlineStr">
        <is>
          <t>Pneumonia</t>
        </is>
      </c>
      <c r="F36" s="7" t="inlineStr">
        <is>
          <t>Home</t>
        </is>
      </c>
      <c r="G36" s="7" t="n">
        <v>10</v>
      </c>
      <c r="H36" s="7" t="inlineStr">
        <is>
          <t>Yes</t>
        </is>
      </c>
      <c r="I36" s="7" t="inlineStr">
        <is>
          <t>No</t>
        </is>
      </c>
      <c r="J36" s="7" t="inlineStr">
        <is>
          <t>Yes</t>
        </is>
      </c>
      <c r="K36" s="11" t="n">
        <v>34658</v>
      </c>
      <c r="L36" s="7" t="inlineStr">
        <is>
          <t>Private</t>
        </is>
      </c>
      <c r="M36" s="11" t="n">
        <v>40894.09</v>
      </c>
    </row>
    <row r="37">
      <c r="A37" s="7" t="inlineStr">
        <is>
          <t>P0033</t>
        </is>
      </c>
      <c r="B37" s="10" t="n">
        <v>45774</v>
      </c>
      <c r="C37" s="7" t="inlineStr">
        <is>
          <t>Pulmonology</t>
        </is>
      </c>
      <c r="D37" s="7" t="inlineStr">
        <is>
          <t>36-50</t>
        </is>
      </c>
      <c r="E37" s="7" t="inlineStr">
        <is>
          <t>Diabetes</t>
        </is>
      </c>
      <c r="F37" s="7" t="inlineStr">
        <is>
          <t>Transfer</t>
        </is>
      </c>
      <c r="G37" s="7" t="n">
        <v>5</v>
      </c>
      <c r="H37" s="7" t="inlineStr">
        <is>
          <t>Yes</t>
        </is>
      </c>
      <c r="I37" s="7" t="inlineStr">
        <is>
          <t>No</t>
        </is>
      </c>
      <c r="J37" s="7" t="inlineStr">
        <is>
          <t>Yes</t>
        </is>
      </c>
      <c r="K37" s="11" t="n">
        <v>30711</v>
      </c>
      <c r="L37" s="7" t="inlineStr">
        <is>
          <t>Government</t>
        </is>
      </c>
      <c r="M37" s="11" t="n">
        <v>30170.92</v>
      </c>
    </row>
    <row r="38">
      <c r="A38" s="7" t="inlineStr">
        <is>
          <t>P0034</t>
        </is>
      </c>
      <c r="B38" s="10" t="n">
        <v>45829</v>
      </c>
      <c r="C38" s="7" t="inlineStr">
        <is>
          <t>Pulmonology</t>
        </is>
      </c>
      <c r="D38" s="7" t="inlineStr">
        <is>
          <t>36-50</t>
        </is>
      </c>
      <c r="E38" s="7" t="inlineStr">
        <is>
          <t>COPD</t>
        </is>
      </c>
      <c r="F38" s="7" t="inlineStr">
        <is>
          <t>Transfer</t>
        </is>
      </c>
      <c r="G38" s="7" t="n">
        <v>1</v>
      </c>
      <c r="H38" s="7" t="inlineStr">
        <is>
          <t>Yes</t>
        </is>
      </c>
      <c r="I38" s="7" t="inlineStr">
        <is>
          <t>Yes</t>
        </is>
      </c>
      <c r="J38" s="7" t="inlineStr">
        <is>
          <t>Yes</t>
        </is>
      </c>
      <c r="K38" s="11" t="n">
        <v>27831</v>
      </c>
      <c r="L38" s="7" t="inlineStr">
        <is>
          <t>Self Pay</t>
        </is>
      </c>
      <c r="M38" s="11" t="n">
        <v>32395.17</v>
      </c>
    </row>
    <row r="39">
      <c r="A39" s="7" t="inlineStr">
        <is>
          <t>P0035</t>
        </is>
      </c>
      <c r="B39" s="10" t="n">
        <v>45944</v>
      </c>
      <c r="C39" s="7" t="inlineStr">
        <is>
          <t>Pulmonology</t>
        </is>
      </c>
      <c r="D39" s="7" t="inlineStr">
        <is>
          <t>18-35</t>
        </is>
      </c>
      <c r="E39" s="7" t="inlineStr">
        <is>
          <t>Heart Failure</t>
        </is>
      </c>
      <c r="F39" s="7" t="inlineStr">
        <is>
          <t>Rehab</t>
        </is>
      </c>
      <c r="G39" s="7" t="n">
        <v>5</v>
      </c>
      <c r="H39" s="7" t="inlineStr">
        <is>
          <t>Yes</t>
        </is>
      </c>
      <c r="I39" s="7" t="inlineStr">
        <is>
          <t>Yes</t>
        </is>
      </c>
      <c r="J39" s="7" t="inlineStr">
        <is>
          <t>No</t>
        </is>
      </c>
      <c r="K39" s="11" t="n">
        <v>27639</v>
      </c>
      <c r="L39" s="7" t="inlineStr">
        <is>
          <t>Self Pay</t>
        </is>
      </c>
      <c r="M39" s="11" t="n">
        <v>0</v>
      </c>
    </row>
    <row r="40">
      <c r="A40" s="7" t="inlineStr">
        <is>
          <t>P0036</t>
        </is>
      </c>
      <c r="B40" s="10" t="n">
        <v>45922</v>
      </c>
      <c r="C40" s="7" t="inlineStr">
        <is>
          <t>Pulmonology</t>
        </is>
      </c>
      <c r="D40" s="7" t="inlineStr">
        <is>
          <t>18-35</t>
        </is>
      </c>
      <c r="E40" s="7" t="inlineStr">
        <is>
          <t>Diabetes</t>
        </is>
      </c>
      <c r="F40" s="7" t="inlineStr">
        <is>
          <t>Home + Support</t>
        </is>
      </c>
      <c r="G40" s="7" t="n">
        <v>7</v>
      </c>
      <c r="H40" s="7" t="inlineStr">
        <is>
          <t>Yes</t>
        </is>
      </c>
      <c r="I40" s="7" t="inlineStr">
        <is>
          <t>Yes</t>
        </is>
      </c>
      <c r="J40" s="7" t="inlineStr">
        <is>
          <t>No</t>
        </is>
      </c>
      <c r="K40" s="11" t="n">
        <v>30736</v>
      </c>
      <c r="L40" s="7" t="inlineStr">
        <is>
          <t>Government</t>
        </is>
      </c>
      <c r="M40" s="11" t="n">
        <v>0</v>
      </c>
    </row>
    <row r="41">
      <c r="A41" s="7" t="inlineStr">
        <is>
          <t>P0037</t>
        </is>
      </c>
      <c r="B41" s="10" t="n">
        <v>45975</v>
      </c>
      <c r="C41" s="7" t="inlineStr">
        <is>
          <t>General Medicine</t>
        </is>
      </c>
      <c r="D41" s="7" t="inlineStr">
        <is>
          <t>51-65</t>
        </is>
      </c>
      <c r="E41" s="7" t="inlineStr">
        <is>
          <t>Heart Failure</t>
        </is>
      </c>
      <c r="F41" s="7" t="inlineStr">
        <is>
          <t>Rehab</t>
        </is>
      </c>
      <c r="G41" s="7" t="n">
        <v>10</v>
      </c>
      <c r="H41" s="7" t="inlineStr">
        <is>
          <t>No</t>
        </is>
      </c>
      <c r="I41" s="7" t="inlineStr">
        <is>
          <t>No</t>
        </is>
      </c>
      <c r="J41" s="7" t="inlineStr">
        <is>
          <t>Yes</t>
        </is>
      </c>
      <c r="K41" s="11" t="n">
        <v>22070</v>
      </c>
      <c r="L41" s="7" t="inlineStr">
        <is>
          <t>Government</t>
        </is>
      </c>
      <c r="M41" s="11" t="n">
        <v>22164.32</v>
      </c>
    </row>
    <row r="42">
      <c r="A42" s="7" t="inlineStr">
        <is>
          <t>P0038</t>
        </is>
      </c>
      <c r="B42" s="10" t="n">
        <v>45736</v>
      </c>
      <c r="C42" s="7" t="inlineStr">
        <is>
          <t>Pulmonology</t>
        </is>
      </c>
      <c r="D42" s="7" t="inlineStr">
        <is>
          <t>36-50</t>
        </is>
      </c>
      <c r="E42" s="7" t="inlineStr">
        <is>
          <t>Fracture</t>
        </is>
      </c>
      <c r="F42" s="7" t="inlineStr">
        <is>
          <t>Rehab</t>
        </is>
      </c>
      <c r="G42" s="7" t="n">
        <v>4</v>
      </c>
      <c r="H42" s="7" t="inlineStr">
        <is>
          <t>No</t>
        </is>
      </c>
      <c r="I42" s="7" t="inlineStr">
        <is>
          <t>No</t>
        </is>
      </c>
      <c r="J42" s="7" t="inlineStr">
        <is>
          <t>No</t>
        </is>
      </c>
      <c r="K42" s="11" t="n">
        <v>26264</v>
      </c>
      <c r="L42" s="7" t="inlineStr">
        <is>
          <t>Government</t>
        </is>
      </c>
      <c r="M42" s="11" t="n">
        <v>0</v>
      </c>
    </row>
    <row r="43">
      <c r="A43" s="7" t="inlineStr">
        <is>
          <t>P0039</t>
        </is>
      </c>
      <c r="B43" s="10" t="n">
        <v>45884</v>
      </c>
      <c r="C43" s="7" t="inlineStr">
        <is>
          <t>Cardiology</t>
        </is>
      </c>
      <c r="D43" s="7" t="inlineStr">
        <is>
          <t>51-65</t>
        </is>
      </c>
      <c r="E43" s="7" t="inlineStr">
        <is>
          <t>Pneumonia</t>
        </is>
      </c>
      <c r="F43" s="7" t="inlineStr">
        <is>
          <t>Transfer</t>
        </is>
      </c>
      <c r="G43" s="7" t="n">
        <v>4</v>
      </c>
      <c r="H43" s="7" t="inlineStr">
        <is>
          <t>No</t>
        </is>
      </c>
      <c r="I43" s="7" t="inlineStr">
        <is>
          <t>No</t>
        </is>
      </c>
      <c r="J43" s="7" t="inlineStr">
        <is>
          <t>No</t>
        </is>
      </c>
      <c r="K43" s="11" t="n">
        <v>22516</v>
      </c>
      <c r="L43" s="7" t="inlineStr">
        <is>
          <t>Self Pay</t>
        </is>
      </c>
      <c r="M43" s="11" t="n">
        <v>0</v>
      </c>
    </row>
    <row r="44">
      <c r="A44" s="7" t="inlineStr">
        <is>
          <t>P0040</t>
        </is>
      </c>
      <c r="B44" s="10" t="n">
        <v>45715</v>
      </c>
      <c r="C44" s="7" t="inlineStr">
        <is>
          <t>Orthopedics</t>
        </is>
      </c>
      <c r="D44" s="7" t="inlineStr">
        <is>
          <t>66+</t>
        </is>
      </c>
      <c r="E44" s="7" t="inlineStr">
        <is>
          <t>Fracture</t>
        </is>
      </c>
      <c r="F44" s="7" t="inlineStr">
        <is>
          <t>Home + Support</t>
        </is>
      </c>
      <c r="G44" s="7" t="n">
        <v>12</v>
      </c>
      <c r="H44" s="7" t="inlineStr">
        <is>
          <t>Yes</t>
        </is>
      </c>
      <c r="I44" s="7" t="inlineStr">
        <is>
          <t>No</t>
        </is>
      </c>
      <c r="J44" s="7" t="inlineStr">
        <is>
          <t>Yes</t>
        </is>
      </c>
      <c r="K44" s="11" t="n">
        <v>37340</v>
      </c>
      <c r="L44" s="7" t="inlineStr">
        <is>
          <t>Self Pay</t>
        </is>
      </c>
      <c r="M44" s="11" t="n">
        <v>40011.92</v>
      </c>
    </row>
    <row r="45">
      <c r="A45" s="7" t="inlineStr">
        <is>
          <t>P0041</t>
        </is>
      </c>
      <c r="B45" s="10" t="n">
        <v>45703</v>
      </c>
      <c r="C45" s="7" t="inlineStr">
        <is>
          <t>Pulmonology</t>
        </is>
      </c>
      <c r="D45" s="7" t="inlineStr">
        <is>
          <t>36-50</t>
        </is>
      </c>
      <c r="E45" s="7" t="inlineStr">
        <is>
          <t>COPD</t>
        </is>
      </c>
      <c r="F45" s="7" t="inlineStr">
        <is>
          <t>Transfer</t>
        </is>
      </c>
      <c r="G45" s="7" t="n">
        <v>3</v>
      </c>
      <c r="H45" s="7" t="inlineStr">
        <is>
          <t>Yes</t>
        </is>
      </c>
      <c r="I45" s="7" t="inlineStr">
        <is>
          <t>Yes</t>
        </is>
      </c>
      <c r="J45" s="7" t="inlineStr">
        <is>
          <t>No</t>
        </is>
      </c>
      <c r="K45" s="11" t="n">
        <v>30755</v>
      </c>
      <c r="L45" s="7" t="inlineStr">
        <is>
          <t>Self Pay</t>
        </is>
      </c>
      <c r="M45" s="11" t="n">
        <v>0</v>
      </c>
    </row>
    <row r="46">
      <c r="A46" s="7" t="inlineStr">
        <is>
          <t>P0042</t>
        </is>
      </c>
      <c r="B46" s="10" t="n">
        <v>45713</v>
      </c>
      <c r="C46" s="7" t="inlineStr">
        <is>
          <t>Orthopedics</t>
        </is>
      </c>
      <c r="D46" s="7" t="inlineStr">
        <is>
          <t>66+</t>
        </is>
      </c>
      <c r="E46" s="7" t="inlineStr">
        <is>
          <t>Hypertension</t>
        </is>
      </c>
      <c r="F46" s="7" t="inlineStr">
        <is>
          <t>Transfer</t>
        </is>
      </c>
      <c r="G46" s="7" t="n">
        <v>8</v>
      </c>
      <c r="H46" s="7" t="inlineStr">
        <is>
          <t>No</t>
        </is>
      </c>
      <c r="I46" s="7" t="inlineStr">
        <is>
          <t>Yes</t>
        </is>
      </c>
      <c r="J46" s="7" t="inlineStr">
        <is>
          <t>No</t>
        </is>
      </c>
      <c r="K46" s="11" t="n">
        <v>20440</v>
      </c>
      <c r="L46" s="7" t="inlineStr">
        <is>
          <t>Private</t>
        </is>
      </c>
      <c r="M46" s="11" t="n">
        <v>0</v>
      </c>
    </row>
    <row r="47">
      <c r="A47" s="7" t="inlineStr">
        <is>
          <t>P0043</t>
        </is>
      </c>
      <c r="B47" s="10" t="n">
        <v>45918</v>
      </c>
      <c r="C47" s="7" t="inlineStr">
        <is>
          <t>Orthopedics</t>
        </is>
      </c>
      <c r="D47" s="7" t="inlineStr">
        <is>
          <t>66+</t>
        </is>
      </c>
      <c r="E47" s="7" t="inlineStr">
        <is>
          <t>Hypertension</t>
        </is>
      </c>
      <c r="F47" s="7" t="inlineStr">
        <is>
          <t>Rehab</t>
        </is>
      </c>
      <c r="G47" s="7" t="n">
        <v>1</v>
      </c>
      <c r="H47" s="7" t="inlineStr">
        <is>
          <t>Yes</t>
        </is>
      </c>
      <c r="I47" s="7" t="inlineStr">
        <is>
          <t>No</t>
        </is>
      </c>
      <c r="J47" s="7" t="inlineStr">
        <is>
          <t>Yes</t>
        </is>
      </c>
      <c r="K47" s="11" t="n">
        <v>21218</v>
      </c>
      <c r="L47" s="7" t="inlineStr">
        <is>
          <t>Government</t>
        </is>
      </c>
      <c r="M47" s="11" t="n">
        <v>20767.88</v>
      </c>
    </row>
    <row r="48">
      <c r="A48" s="7" t="inlineStr">
        <is>
          <t>P0044</t>
        </is>
      </c>
      <c r="B48" s="10" t="n">
        <v>45802</v>
      </c>
      <c r="C48" s="7" t="inlineStr">
        <is>
          <t>General Medicine</t>
        </is>
      </c>
      <c r="D48" s="7" t="inlineStr">
        <is>
          <t>66+</t>
        </is>
      </c>
      <c r="E48" s="7" t="inlineStr">
        <is>
          <t>Fracture</t>
        </is>
      </c>
      <c r="F48" s="7" t="inlineStr">
        <is>
          <t>Transfer</t>
        </is>
      </c>
      <c r="G48" s="7" t="n">
        <v>3</v>
      </c>
      <c r="H48" s="7" t="inlineStr">
        <is>
          <t>No</t>
        </is>
      </c>
      <c r="I48" s="7" t="inlineStr">
        <is>
          <t>Yes</t>
        </is>
      </c>
      <c r="J48" s="7" t="inlineStr">
        <is>
          <t>No</t>
        </is>
      </c>
      <c r="K48" s="11" t="n">
        <v>15356</v>
      </c>
      <c r="L48" s="7" t="inlineStr">
        <is>
          <t>Self Pay</t>
        </is>
      </c>
      <c r="M48" s="11" t="n">
        <v>0</v>
      </c>
    </row>
    <row r="49">
      <c r="A49" s="7" t="inlineStr">
        <is>
          <t>P0045</t>
        </is>
      </c>
      <c r="B49" s="10" t="n">
        <v>45693</v>
      </c>
      <c r="C49" s="7" t="inlineStr">
        <is>
          <t>Orthopedics</t>
        </is>
      </c>
      <c r="D49" s="7" t="inlineStr">
        <is>
          <t>66+</t>
        </is>
      </c>
      <c r="E49" s="7" t="inlineStr">
        <is>
          <t>Pneumonia</t>
        </is>
      </c>
      <c r="F49" s="7" t="inlineStr">
        <is>
          <t>Home + Support</t>
        </is>
      </c>
      <c r="G49" s="7" t="n">
        <v>2</v>
      </c>
      <c r="H49" s="7" t="inlineStr">
        <is>
          <t>No</t>
        </is>
      </c>
      <c r="I49" s="7" t="inlineStr">
        <is>
          <t>Yes</t>
        </is>
      </c>
      <c r="J49" s="7" t="inlineStr">
        <is>
          <t>No</t>
        </is>
      </c>
      <c r="K49" s="11" t="n">
        <v>16706</v>
      </c>
      <c r="L49" s="7" t="inlineStr">
        <is>
          <t>Private</t>
        </is>
      </c>
      <c r="M49" s="11" t="n">
        <v>0</v>
      </c>
    </row>
    <row r="50">
      <c r="A50" s="7" t="inlineStr">
        <is>
          <t>P0046</t>
        </is>
      </c>
      <c r="B50" s="10" t="n">
        <v>45840</v>
      </c>
      <c r="C50" s="7" t="inlineStr">
        <is>
          <t>General Medicine</t>
        </is>
      </c>
      <c r="D50" s="7" t="inlineStr">
        <is>
          <t>36-50</t>
        </is>
      </c>
      <c r="E50" s="7" t="inlineStr">
        <is>
          <t>Hypertension</t>
        </is>
      </c>
      <c r="F50" s="7" t="inlineStr">
        <is>
          <t>Home + Support</t>
        </is>
      </c>
      <c r="G50" s="7" t="n">
        <v>12</v>
      </c>
      <c r="H50" s="7" t="inlineStr">
        <is>
          <t>Yes</t>
        </is>
      </c>
      <c r="I50" s="7" t="inlineStr">
        <is>
          <t>Yes</t>
        </is>
      </c>
      <c r="J50" s="7" t="inlineStr">
        <is>
          <t>No</t>
        </is>
      </c>
      <c r="K50" s="11" t="n">
        <v>32168</v>
      </c>
      <c r="L50" s="7" t="inlineStr">
        <is>
          <t>Government</t>
        </is>
      </c>
      <c r="M50" s="11" t="n">
        <v>0</v>
      </c>
    </row>
    <row r="51">
      <c r="A51" s="7" t="inlineStr">
        <is>
          <t>P0047</t>
        </is>
      </c>
      <c r="B51" s="10" t="n">
        <v>45866</v>
      </c>
      <c r="C51" s="7" t="inlineStr">
        <is>
          <t>General Medicine</t>
        </is>
      </c>
      <c r="D51" s="7" t="inlineStr">
        <is>
          <t>18-35</t>
        </is>
      </c>
      <c r="E51" s="7" t="inlineStr">
        <is>
          <t>Fracture</t>
        </is>
      </c>
      <c r="F51" s="7" t="inlineStr">
        <is>
          <t>Transfer</t>
        </is>
      </c>
      <c r="G51" s="7" t="n">
        <v>10</v>
      </c>
      <c r="H51" s="7" t="inlineStr">
        <is>
          <t>No</t>
        </is>
      </c>
      <c r="I51" s="7" t="inlineStr">
        <is>
          <t>Yes</t>
        </is>
      </c>
      <c r="J51" s="7" t="inlineStr">
        <is>
          <t>No</t>
        </is>
      </c>
      <c r="K51" s="11" t="n">
        <v>22050</v>
      </c>
      <c r="L51" s="7" t="inlineStr">
        <is>
          <t>Self Pay</t>
        </is>
      </c>
      <c r="M51" s="11" t="n">
        <v>0</v>
      </c>
    </row>
    <row r="52">
      <c r="A52" s="7" t="inlineStr">
        <is>
          <t>P0048</t>
        </is>
      </c>
      <c r="B52" s="10" t="n">
        <v>45987</v>
      </c>
      <c r="C52" s="7" t="inlineStr">
        <is>
          <t>Orthopedics</t>
        </is>
      </c>
      <c r="D52" s="7" t="inlineStr">
        <is>
          <t>36-50</t>
        </is>
      </c>
      <c r="E52" s="7" t="inlineStr">
        <is>
          <t>Diabetes</t>
        </is>
      </c>
      <c r="F52" s="7" t="inlineStr">
        <is>
          <t>Transfer</t>
        </is>
      </c>
      <c r="G52" s="7" t="n">
        <v>5</v>
      </c>
      <c r="H52" s="7" t="inlineStr">
        <is>
          <t>No</t>
        </is>
      </c>
      <c r="I52" s="7" t="inlineStr">
        <is>
          <t>Yes</t>
        </is>
      </c>
      <c r="J52" s="7" t="inlineStr">
        <is>
          <t>No</t>
        </is>
      </c>
      <c r="K52" s="11" t="n">
        <v>21420</v>
      </c>
      <c r="L52" s="7" t="inlineStr">
        <is>
          <t>Self Pay</t>
        </is>
      </c>
      <c r="M52" s="11" t="n">
        <v>0</v>
      </c>
    </row>
    <row r="53">
      <c r="A53" s="7" t="inlineStr">
        <is>
          <t>P0049</t>
        </is>
      </c>
      <c r="B53" s="10" t="n">
        <v>45709</v>
      </c>
      <c r="C53" s="7" t="inlineStr">
        <is>
          <t>Orthopedics</t>
        </is>
      </c>
      <c r="D53" s="7" t="inlineStr">
        <is>
          <t>36-50</t>
        </is>
      </c>
      <c r="E53" s="7" t="inlineStr">
        <is>
          <t>Diabetes</t>
        </is>
      </c>
      <c r="F53" s="7" t="inlineStr">
        <is>
          <t>Transfer</t>
        </is>
      </c>
      <c r="G53" s="7" t="n">
        <v>10</v>
      </c>
      <c r="H53" s="7" t="inlineStr">
        <is>
          <t>Yes</t>
        </is>
      </c>
      <c r="I53" s="7" t="inlineStr">
        <is>
          <t>No</t>
        </is>
      </c>
      <c r="J53" s="7" t="inlineStr">
        <is>
          <t>No</t>
        </is>
      </c>
      <c r="K53" s="11" t="n">
        <v>31891</v>
      </c>
      <c r="L53" s="7" t="inlineStr">
        <is>
          <t>Private</t>
        </is>
      </c>
      <c r="M53" s="11" t="n">
        <v>0</v>
      </c>
    </row>
    <row r="54">
      <c r="A54" s="7" t="inlineStr">
        <is>
          <t>P0050</t>
        </is>
      </c>
      <c r="B54" s="10" t="n">
        <v>45847</v>
      </c>
      <c r="C54" s="7" t="inlineStr">
        <is>
          <t>General Medicine</t>
        </is>
      </c>
      <c r="D54" s="7" t="inlineStr">
        <is>
          <t>18-35</t>
        </is>
      </c>
      <c r="E54" s="7" t="inlineStr">
        <is>
          <t>COPD</t>
        </is>
      </c>
      <c r="F54" s="7" t="inlineStr">
        <is>
          <t>Transfer</t>
        </is>
      </c>
      <c r="G54" s="7" t="n">
        <v>5</v>
      </c>
      <c r="H54" s="7" t="inlineStr">
        <is>
          <t>No</t>
        </is>
      </c>
      <c r="I54" s="7" t="inlineStr">
        <is>
          <t>Yes</t>
        </is>
      </c>
      <c r="J54" s="7" t="inlineStr">
        <is>
          <t>No</t>
        </is>
      </c>
      <c r="K54" s="11" t="n">
        <v>16725</v>
      </c>
      <c r="L54" s="7" t="inlineStr">
        <is>
          <t>Government</t>
        </is>
      </c>
      <c r="M54" s="11" t="n">
        <v>0</v>
      </c>
    </row>
    <row r="55">
      <c r="A55" s="7" t="inlineStr">
        <is>
          <t>P0051</t>
        </is>
      </c>
      <c r="B55" s="10" t="n">
        <v>45963</v>
      </c>
      <c r="C55" s="7" t="inlineStr">
        <is>
          <t>Cardiology</t>
        </is>
      </c>
      <c r="D55" s="7" t="inlineStr">
        <is>
          <t>18-35</t>
        </is>
      </c>
      <c r="E55" s="7" t="inlineStr">
        <is>
          <t>Diabetes</t>
        </is>
      </c>
      <c r="F55" s="7" t="inlineStr">
        <is>
          <t>Home</t>
        </is>
      </c>
      <c r="G55" s="7" t="n">
        <v>12</v>
      </c>
      <c r="H55" s="7" t="inlineStr">
        <is>
          <t>Yes</t>
        </is>
      </c>
      <c r="I55" s="7" t="inlineStr">
        <is>
          <t>No</t>
        </is>
      </c>
      <c r="J55" s="7" t="inlineStr">
        <is>
          <t>Yes</t>
        </is>
      </c>
      <c r="K55" s="11" t="n">
        <v>38861</v>
      </c>
      <c r="L55" s="7" t="inlineStr">
        <is>
          <t>Private</t>
        </is>
      </c>
      <c r="M55" s="11" t="n">
        <v>45418.4</v>
      </c>
    </row>
    <row r="56">
      <c r="A56" s="7" t="inlineStr">
        <is>
          <t>P0052</t>
        </is>
      </c>
      <c r="B56" s="10" t="n">
        <v>45814</v>
      </c>
      <c r="C56" s="7" t="inlineStr">
        <is>
          <t>Orthopedics</t>
        </is>
      </c>
      <c r="D56" s="7" t="inlineStr">
        <is>
          <t>36-50</t>
        </is>
      </c>
      <c r="E56" s="7" t="inlineStr">
        <is>
          <t>Heart Failure</t>
        </is>
      </c>
      <c r="F56" s="7" t="inlineStr">
        <is>
          <t>Home</t>
        </is>
      </c>
      <c r="G56" s="7" t="n">
        <v>4</v>
      </c>
      <c r="H56" s="7" t="inlineStr">
        <is>
          <t>Yes</t>
        </is>
      </c>
      <c r="I56" s="7" t="inlineStr">
        <is>
          <t>Yes</t>
        </is>
      </c>
      <c r="J56" s="7" t="inlineStr">
        <is>
          <t>Yes</t>
        </is>
      </c>
      <c r="K56" s="11" t="n">
        <v>22996</v>
      </c>
      <c r="L56" s="7" t="inlineStr">
        <is>
          <t>Private</t>
        </is>
      </c>
      <c r="M56" s="11" t="n">
        <v>25748.14</v>
      </c>
    </row>
    <row r="57">
      <c r="A57" s="7" t="inlineStr">
        <is>
          <t>P0053</t>
        </is>
      </c>
      <c r="B57" s="10" t="n">
        <v>45953</v>
      </c>
      <c r="C57" s="7" t="inlineStr">
        <is>
          <t>Pulmonology</t>
        </is>
      </c>
      <c r="D57" s="7" t="inlineStr">
        <is>
          <t>18-35</t>
        </is>
      </c>
      <c r="E57" s="7" t="inlineStr">
        <is>
          <t>Heart Failure</t>
        </is>
      </c>
      <c r="F57" s="7" t="inlineStr">
        <is>
          <t>Home + Support</t>
        </is>
      </c>
      <c r="G57" s="7" t="n">
        <v>5</v>
      </c>
      <c r="H57" s="7" t="inlineStr">
        <is>
          <t>No</t>
        </is>
      </c>
      <c r="I57" s="7" t="inlineStr">
        <is>
          <t>Yes</t>
        </is>
      </c>
      <c r="J57" s="7" t="inlineStr">
        <is>
          <t>No</t>
        </is>
      </c>
      <c r="K57" s="11" t="n">
        <v>24385</v>
      </c>
      <c r="L57" s="7" t="inlineStr">
        <is>
          <t>Private</t>
        </is>
      </c>
      <c r="M57" s="11" t="n">
        <v>0</v>
      </c>
    </row>
    <row r="58">
      <c r="A58" s="7" t="inlineStr">
        <is>
          <t>P0054</t>
        </is>
      </c>
      <c r="B58" s="10" t="n">
        <v>45921</v>
      </c>
      <c r="C58" s="7" t="inlineStr">
        <is>
          <t>Pulmonology</t>
        </is>
      </c>
      <c r="D58" s="7" t="inlineStr">
        <is>
          <t>18-35</t>
        </is>
      </c>
      <c r="E58" s="7" t="inlineStr">
        <is>
          <t>Hypertension</t>
        </is>
      </c>
      <c r="F58" s="7" t="inlineStr">
        <is>
          <t>Rehab</t>
        </is>
      </c>
      <c r="G58" s="7" t="n">
        <v>10</v>
      </c>
      <c r="H58" s="7" t="inlineStr">
        <is>
          <t>Yes</t>
        </is>
      </c>
      <c r="I58" s="7" t="inlineStr">
        <is>
          <t>Yes</t>
        </is>
      </c>
      <c r="J58" s="7" t="inlineStr">
        <is>
          <t>No</t>
        </is>
      </c>
      <c r="K58" s="11" t="n">
        <v>35072</v>
      </c>
      <c r="L58" s="7" t="inlineStr">
        <is>
          <t>Private</t>
        </is>
      </c>
      <c r="M58" s="11" t="n">
        <v>0</v>
      </c>
    </row>
    <row r="59">
      <c r="A59" s="7" t="inlineStr">
        <is>
          <t>P0055</t>
        </is>
      </c>
      <c r="B59" s="10" t="n">
        <v>45730</v>
      </c>
      <c r="C59" s="7" t="inlineStr">
        <is>
          <t>General Medicine</t>
        </is>
      </c>
      <c r="D59" s="7" t="inlineStr">
        <is>
          <t>18-35</t>
        </is>
      </c>
      <c r="E59" s="7" t="inlineStr">
        <is>
          <t>Diabetes</t>
        </is>
      </c>
      <c r="F59" s="7" t="inlineStr">
        <is>
          <t>Home + Support</t>
        </is>
      </c>
      <c r="G59" s="7" t="n">
        <v>7</v>
      </c>
      <c r="H59" s="7" t="inlineStr">
        <is>
          <t>No</t>
        </is>
      </c>
      <c r="I59" s="7" t="inlineStr">
        <is>
          <t>Yes</t>
        </is>
      </c>
      <c r="J59" s="7" t="inlineStr">
        <is>
          <t>No</t>
        </is>
      </c>
      <c r="K59" s="11" t="n">
        <v>21668</v>
      </c>
      <c r="L59" s="7" t="inlineStr">
        <is>
          <t>Self Pay</t>
        </is>
      </c>
      <c r="M59" s="11" t="n">
        <v>0</v>
      </c>
    </row>
    <row r="60">
      <c r="A60" s="7" t="inlineStr">
        <is>
          <t>P0056</t>
        </is>
      </c>
      <c r="B60" s="10" t="n">
        <v>45774</v>
      </c>
      <c r="C60" s="7" t="inlineStr">
        <is>
          <t>Pulmonology</t>
        </is>
      </c>
      <c r="D60" s="7" t="inlineStr">
        <is>
          <t>66+</t>
        </is>
      </c>
      <c r="E60" s="7" t="inlineStr">
        <is>
          <t>Fracture</t>
        </is>
      </c>
      <c r="F60" s="7" t="inlineStr">
        <is>
          <t>Home</t>
        </is>
      </c>
      <c r="G60" s="7" t="n">
        <v>8</v>
      </c>
      <c r="H60" s="7" t="inlineStr">
        <is>
          <t>No</t>
        </is>
      </c>
      <c r="I60" s="7" t="inlineStr">
        <is>
          <t>No</t>
        </is>
      </c>
      <c r="J60" s="7" t="inlineStr">
        <is>
          <t>No</t>
        </is>
      </c>
      <c r="K60" s="11" t="n">
        <v>29040</v>
      </c>
      <c r="L60" s="7" t="inlineStr">
        <is>
          <t>Government</t>
        </is>
      </c>
      <c r="M60" s="11" t="n">
        <v>0</v>
      </c>
    </row>
    <row r="61">
      <c r="A61" s="7" t="inlineStr">
        <is>
          <t>P0057</t>
        </is>
      </c>
      <c r="B61" s="10" t="n">
        <v>45732</v>
      </c>
      <c r="C61" s="7" t="inlineStr">
        <is>
          <t>General Medicine</t>
        </is>
      </c>
      <c r="D61" s="7" t="inlineStr">
        <is>
          <t>66+</t>
        </is>
      </c>
      <c r="E61" s="7" t="inlineStr">
        <is>
          <t>COPD</t>
        </is>
      </c>
      <c r="F61" s="7" t="inlineStr">
        <is>
          <t>Home + Support</t>
        </is>
      </c>
      <c r="G61" s="7" t="n">
        <v>10</v>
      </c>
      <c r="H61" s="7" t="inlineStr">
        <is>
          <t>No</t>
        </is>
      </c>
      <c r="I61" s="7" t="inlineStr">
        <is>
          <t>Yes</t>
        </is>
      </c>
      <c r="J61" s="7" t="inlineStr">
        <is>
          <t>No</t>
        </is>
      </c>
      <c r="K61" s="11" t="n">
        <v>22320</v>
      </c>
      <c r="L61" s="7" t="inlineStr">
        <is>
          <t>Government</t>
        </is>
      </c>
      <c r="M61" s="11" t="n">
        <v>0</v>
      </c>
    </row>
    <row r="62">
      <c r="A62" s="7" t="inlineStr">
        <is>
          <t>P0058</t>
        </is>
      </c>
      <c r="B62" s="10" t="n">
        <v>45696</v>
      </c>
      <c r="C62" s="7" t="inlineStr">
        <is>
          <t>Pulmonology</t>
        </is>
      </c>
      <c r="D62" s="7" t="inlineStr">
        <is>
          <t>51-65</t>
        </is>
      </c>
      <c r="E62" s="7" t="inlineStr">
        <is>
          <t>Pneumonia</t>
        </is>
      </c>
      <c r="F62" s="7" t="inlineStr">
        <is>
          <t>Transfer</t>
        </is>
      </c>
      <c r="G62" s="7" t="n">
        <v>10</v>
      </c>
      <c r="H62" s="7" t="inlineStr">
        <is>
          <t>No</t>
        </is>
      </c>
      <c r="I62" s="7" t="inlineStr">
        <is>
          <t>Yes</t>
        </is>
      </c>
      <c r="J62" s="7" t="inlineStr">
        <is>
          <t>No</t>
        </is>
      </c>
      <c r="K62" s="11" t="n">
        <v>29950</v>
      </c>
      <c r="L62" s="7" t="inlineStr">
        <is>
          <t>Government</t>
        </is>
      </c>
      <c r="M62" s="11" t="n">
        <v>0</v>
      </c>
    </row>
    <row r="63">
      <c r="A63" s="7" t="inlineStr">
        <is>
          <t>P0059</t>
        </is>
      </c>
      <c r="B63" s="10" t="n">
        <v>45999</v>
      </c>
      <c r="C63" s="7" t="inlineStr">
        <is>
          <t>Orthopedics</t>
        </is>
      </c>
      <c r="D63" s="7" t="inlineStr">
        <is>
          <t>66+</t>
        </is>
      </c>
      <c r="E63" s="7" t="inlineStr">
        <is>
          <t>Hypertension</t>
        </is>
      </c>
      <c r="F63" s="7" t="inlineStr">
        <is>
          <t>Rehab</t>
        </is>
      </c>
      <c r="G63" s="7" t="n">
        <v>11</v>
      </c>
      <c r="H63" s="7" t="inlineStr">
        <is>
          <t>No</t>
        </is>
      </c>
      <c r="I63" s="7" t="inlineStr">
        <is>
          <t>Yes</t>
        </is>
      </c>
      <c r="J63" s="7" t="inlineStr">
        <is>
          <t>Yes</t>
        </is>
      </c>
      <c r="K63" s="11" t="n">
        <v>26111</v>
      </c>
      <c r="L63" s="7" t="inlineStr">
        <is>
          <t>Self Pay</t>
        </is>
      </c>
      <c r="M63" s="11" t="n">
        <v>21749.36</v>
      </c>
    </row>
    <row r="64">
      <c r="A64" s="7" t="inlineStr">
        <is>
          <t>P0060</t>
        </is>
      </c>
      <c r="B64" s="10" t="n">
        <v>45785</v>
      </c>
      <c r="C64" s="7" t="inlineStr">
        <is>
          <t>Pulmonology</t>
        </is>
      </c>
      <c r="D64" s="7" t="inlineStr">
        <is>
          <t>51-65</t>
        </is>
      </c>
      <c r="E64" s="7" t="inlineStr">
        <is>
          <t>Diabetes</t>
        </is>
      </c>
      <c r="F64" s="7" t="inlineStr">
        <is>
          <t>Home</t>
        </is>
      </c>
      <c r="G64" s="7" t="n">
        <v>7</v>
      </c>
      <c r="H64" s="7" t="inlineStr">
        <is>
          <t>No</t>
        </is>
      </c>
      <c r="I64" s="7" t="inlineStr">
        <is>
          <t>Yes</t>
        </is>
      </c>
      <c r="J64" s="7" t="inlineStr">
        <is>
          <t>No</t>
        </is>
      </c>
      <c r="K64" s="11" t="n">
        <v>27791</v>
      </c>
      <c r="L64" s="7" t="inlineStr">
        <is>
          <t>Self Pay</t>
        </is>
      </c>
      <c r="M64" s="11" t="n">
        <v>0</v>
      </c>
    </row>
    <row r="65">
      <c r="A65" s="7" t="inlineStr">
        <is>
          <t>P0061</t>
        </is>
      </c>
      <c r="B65" s="10" t="n">
        <v>45955</v>
      </c>
      <c r="C65" s="7" t="inlineStr">
        <is>
          <t>Orthopedics</t>
        </is>
      </c>
      <c r="D65" s="7" t="inlineStr">
        <is>
          <t>18-35</t>
        </is>
      </c>
      <c r="E65" s="7" t="inlineStr">
        <is>
          <t>Pneumonia</t>
        </is>
      </c>
      <c r="F65" s="7" t="inlineStr">
        <is>
          <t>Rehab</t>
        </is>
      </c>
      <c r="G65" s="7" t="n">
        <v>12</v>
      </c>
      <c r="H65" s="7" t="inlineStr">
        <is>
          <t>Yes</t>
        </is>
      </c>
      <c r="I65" s="7" t="inlineStr">
        <is>
          <t>Yes</t>
        </is>
      </c>
      <c r="J65" s="7" t="inlineStr">
        <is>
          <t>No</t>
        </is>
      </c>
      <c r="K65" s="11" t="n">
        <v>32963</v>
      </c>
      <c r="L65" s="7" t="inlineStr">
        <is>
          <t>Private</t>
        </is>
      </c>
      <c r="M65" s="11" t="n">
        <v>0</v>
      </c>
    </row>
    <row r="66">
      <c r="A66" s="7" t="inlineStr">
        <is>
          <t>P0062</t>
        </is>
      </c>
      <c r="B66" s="10" t="n">
        <v>45659</v>
      </c>
      <c r="C66" s="7" t="inlineStr">
        <is>
          <t>Orthopedics</t>
        </is>
      </c>
      <c r="D66" s="7" t="inlineStr">
        <is>
          <t>36-50</t>
        </is>
      </c>
      <c r="E66" s="7" t="inlineStr">
        <is>
          <t>Pneumonia</t>
        </is>
      </c>
      <c r="F66" s="7" t="inlineStr">
        <is>
          <t>Rehab</t>
        </is>
      </c>
      <c r="G66" s="7" t="n">
        <v>6</v>
      </c>
      <c r="H66" s="7" t="inlineStr">
        <is>
          <t>Yes</t>
        </is>
      </c>
      <c r="I66" s="7" t="inlineStr">
        <is>
          <t>Yes</t>
        </is>
      </c>
      <c r="J66" s="7" t="inlineStr">
        <is>
          <t>No</t>
        </is>
      </c>
      <c r="K66" s="11" t="n">
        <v>23697</v>
      </c>
      <c r="L66" s="7" t="inlineStr">
        <is>
          <t>Self Pay</t>
        </is>
      </c>
      <c r="M66" s="11" t="n">
        <v>0</v>
      </c>
    </row>
    <row r="67">
      <c r="A67" s="7" t="inlineStr">
        <is>
          <t>P0063</t>
        </is>
      </c>
      <c r="B67" s="10" t="n">
        <v>45718</v>
      </c>
      <c r="C67" s="7" t="inlineStr">
        <is>
          <t>Orthopedics</t>
        </is>
      </c>
      <c r="D67" s="7" t="inlineStr">
        <is>
          <t>66+</t>
        </is>
      </c>
      <c r="E67" s="7" t="inlineStr">
        <is>
          <t>Hypertension</t>
        </is>
      </c>
      <c r="F67" s="7" t="inlineStr">
        <is>
          <t>Rehab</t>
        </is>
      </c>
      <c r="G67" s="7" t="n">
        <v>2</v>
      </c>
      <c r="H67" s="7" t="inlineStr">
        <is>
          <t>Yes</t>
        </is>
      </c>
      <c r="I67" s="7" t="inlineStr">
        <is>
          <t>Yes</t>
        </is>
      </c>
      <c r="J67" s="7" t="inlineStr">
        <is>
          <t>No</t>
        </is>
      </c>
      <c r="K67" s="11" t="n">
        <v>20897</v>
      </c>
      <c r="L67" s="7" t="inlineStr">
        <is>
          <t>Government</t>
        </is>
      </c>
      <c r="M67" s="11" t="n">
        <v>0</v>
      </c>
    </row>
    <row r="68">
      <c r="A68" s="7" t="inlineStr">
        <is>
          <t>P0064</t>
        </is>
      </c>
      <c r="B68" s="10" t="n">
        <v>45940</v>
      </c>
      <c r="C68" s="7" t="inlineStr">
        <is>
          <t>Cardiology</t>
        </is>
      </c>
      <c r="D68" s="7" t="inlineStr">
        <is>
          <t>66+</t>
        </is>
      </c>
      <c r="E68" s="7" t="inlineStr">
        <is>
          <t>Heart Failure</t>
        </is>
      </c>
      <c r="F68" s="7" t="inlineStr">
        <is>
          <t>Home</t>
        </is>
      </c>
      <c r="G68" s="7" t="n">
        <v>8</v>
      </c>
      <c r="H68" s="7" t="inlineStr">
        <is>
          <t>Yes</t>
        </is>
      </c>
      <c r="I68" s="7" t="inlineStr">
        <is>
          <t>Yes</t>
        </is>
      </c>
      <c r="J68" s="7" t="inlineStr">
        <is>
          <t>No</t>
        </is>
      </c>
      <c r="K68" s="11" t="n">
        <v>29251</v>
      </c>
      <c r="L68" s="7" t="inlineStr">
        <is>
          <t>Private</t>
        </is>
      </c>
      <c r="M68" s="11" t="n">
        <v>0</v>
      </c>
    </row>
    <row r="69">
      <c r="A69" s="7" t="inlineStr">
        <is>
          <t>P0065</t>
        </is>
      </c>
      <c r="B69" s="10" t="n">
        <v>45848</v>
      </c>
      <c r="C69" s="7" t="inlineStr">
        <is>
          <t>Cardiology</t>
        </is>
      </c>
      <c r="D69" s="7" t="inlineStr">
        <is>
          <t>66+</t>
        </is>
      </c>
      <c r="E69" s="7" t="inlineStr">
        <is>
          <t>Fracture</t>
        </is>
      </c>
      <c r="F69" s="7" t="inlineStr">
        <is>
          <t>Home</t>
        </is>
      </c>
      <c r="G69" s="7" t="n">
        <v>10</v>
      </c>
      <c r="H69" s="7" t="inlineStr">
        <is>
          <t>Yes</t>
        </is>
      </c>
      <c r="I69" s="7" t="inlineStr">
        <is>
          <t>No</t>
        </is>
      </c>
      <c r="J69" s="7" t="inlineStr">
        <is>
          <t>Yes</t>
        </is>
      </c>
      <c r="K69" s="11" t="n">
        <v>34747</v>
      </c>
      <c r="L69" s="7" t="inlineStr">
        <is>
          <t>Self Pay</t>
        </is>
      </c>
      <c r="M69" s="11" t="n">
        <v>42255.83</v>
      </c>
    </row>
    <row r="70">
      <c r="A70" s="7" t="inlineStr">
        <is>
          <t>P0066</t>
        </is>
      </c>
      <c r="B70" s="10" t="n">
        <v>45892</v>
      </c>
      <c r="C70" s="7" t="inlineStr">
        <is>
          <t>Cardiology</t>
        </is>
      </c>
      <c r="D70" s="7" t="inlineStr">
        <is>
          <t>36-50</t>
        </is>
      </c>
      <c r="E70" s="7" t="inlineStr">
        <is>
          <t>COPD</t>
        </is>
      </c>
      <c r="F70" s="7" t="inlineStr">
        <is>
          <t>Transfer</t>
        </is>
      </c>
      <c r="G70" s="7" t="n">
        <v>5</v>
      </c>
      <c r="H70" s="7" t="inlineStr">
        <is>
          <t>Yes</t>
        </is>
      </c>
      <c r="I70" s="7" t="inlineStr">
        <is>
          <t>Yes</t>
        </is>
      </c>
      <c r="J70" s="7" t="inlineStr">
        <is>
          <t>Yes</t>
        </is>
      </c>
      <c r="K70" s="11" t="n">
        <v>26021</v>
      </c>
      <c r="L70" s="7" t="inlineStr">
        <is>
          <t>Government</t>
        </is>
      </c>
      <c r="M70" s="11" t="n">
        <v>18256.47</v>
      </c>
    </row>
    <row r="71">
      <c r="A71" s="7" t="inlineStr">
        <is>
          <t>P0067</t>
        </is>
      </c>
      <c r="B71" s="10" t="n">
        <v>45756</v>
      </c>
      <c r="C71" s="7" t="inlineStr">
        <is>
          <t>Cardiology</t>
        </is>
      </c>
      <c r="D71" s="7" t="inlineStr">
        <is>
          <t>51-65</t>
        </is>
      </c>
      <c r="E71" s="7" t="inlineStr">
        <is>
          <t>COPD</t>
        </is>
      </c>
      <c r="F71" s="7" t="inlineStr">
        <is>
          <t>Home + Support</t>
        </is>
      </c>
      <c r="G71" s="7" t="n">
        <v>12</v>
      </c>
      <c r="H71" s="7" t="inlineStr">
        <is>
          <t>No</t>
        </is>
      </c>
      <c r="I71" s="7" t="inlineStr">
        <is>
          <t>No</t>
        </is>
      </c>
      <c r="J71" s="7" t="inlineStr">
        <is>
          <t>No</t>
        </is>
      </c>
      <c r="K71" s="11" t="n">
        <v>36036</v>
      </c>
      <c r="L71" s="7" t="inlineStr">
        <is>
          <t>Government</t>
        </is>
      </c>
      <c r="M71" s="11" t="n">
        <v>0</v>
      </c>
    </row>
    <row r="72">
      <c r="A72" s="7" t="inlineStr">
        <is>
          <t>P0068</t>
        </is>
      </c>
      <c r="B72" s="10" t="n">
        <v>45742</v>
      </c>
      <c r="C72" s="7" t="inlineStr">
        <is>
          <t>Cardiology</t>
        </is>
      </c>
      <c r="D72" s="7" t="inlineStr">
        <is>
          <t>36-50</t>
        </is>
      </c>
      <c r="E72" s="7" t="inlineStr">
        <is>
          <t>Fracture</t>
        </is>
      </c>
      <c r="F72" s="7" t="inlineStr">
        <is>
          <t>Rehab</t>
        </is>
      </c>
      <c r="G72" s="7" t="n">
        <v>11</v>
      </c>
      <c r="H72" s="7" t="inlineStr">
        <is>
          <t>Yes</t>
        </is>
      </c>
      <c r="I72" s="7" t="inlineStr">
        <is>
          <t>No</t>
        </is>
      </c>
      <c r="J72" s="7" t="inlineStr">
        <is>
          <t>No</t>
        </is>
      </c>
      <c r="K72" s="11" t="n">
        <v>30847</v>
      </c>
      <c r="L72" s="7" t="inlineStr">
        <is>
          <t>Self Pay</t>
        </is>
      </c>
      <c r="M72" s="11" t="n">
        <v>0</v>
      </c>
    </row>
    <row r="73">
      <c r="A73" s="7" t="inlineStr">
        <is>
          <t>P0069</t>
        </is>
      </c>
      <c r="B73" s="10" t="n">
        <v>45916</v>
      </c>
      <c r="C73" s="7" t="inlineStr">
        <is>
          <t>Pulmonology</t>
        </is>
      </c>
      <c r="D73" s="7" t="inlineStr">
        <is>
          <t>18-35</t>
        </is>
      </c>
      <c r="E73" s="7" t="inlineStr">
        <is>
          <t>Diabetes</t>
        </is>
      </c>
      <c r="F73" s="7" t="inlineStr">
        <is>
          <t>Transfer</t>
        </is>
      </c>
      <c r="G73" s="7" t="n">
        <v>8</v>
      </c>
      <c r="H73" s="7" t="inlineStr">
        <is>
          <t>No</t>
        </is>
      </c>
      <c r="I73" s="7" t="inlineStr">
        <is>
          <t>No</t>
        </is>
      </c>
      <c r="J73" s="7" t="inlineStr">
        <is>
          <t>No</t>
        </is>
      </c>
      <c r="K73" s="11" t="n">
        <v>30496</v>
      </c>
      <c r="L73" s="7" t="inlineStr">
        <is>
          <t>Private</t>
        </is>
      </c>
      <c r="M73" s="11" t="n">
        <v>0</v>
      </c>
    </row>
    <row r="74">
      <c r="A74" s="7" t="inlineStr">
        <is>
          <t>P0070</t>
        </is>
      </c>
      <c r="B74" s="10" t="n">
        <v>45949</v>
      </c>
      <c r="C74" s="7" t="inlineStr">
        <is>
          <t>Cardiology</t>
        </is>
      </c>
      <c r="D74" s="7" t="inlineStr">
        <is>
          <t>51-65</t>
        </is>
      </c>
      <c r="E74" s="7" t="inlineStr">
        <is>
          <t>Diabetes</t>
        </is>
      </c>
      <c r="F74" s="7" t="inlineStr">
        <is>
          <t>Home</t>
        </is>
      </c>
      <c r="G74" s="7" t="n">
        <v>10</v>
      </c>
      <c r="H74" s="7" t="inlineStr">
        <is>
          <t>No</t>
        </is>
      </c>
      <c r="I74" s="7" t="inlineStr">
        <is>
          <t>Yes</t>
        </is>
      </c>
      <c r="J74" s="7" t="inlineStr">
        <is>
          <t>No</t>
        </is>
      </c>
      <c r="K74" s="11" t="n">
        <v>32900</v>
      </c>
      <c r="L74" s="7" t="inlineStr">
        <is>
          <t>Self Pay</t>
        </is>
      </c>
      <c r="M74" s="11" t="n">
        <v>0</v>
      </c>
    </row>
    <row r="75">
      <c r="A75" s="7" t="inlineStr">
        <is>
          <t>P0071</t>
        </is>
      </c>
      <c r="B75" s="10" t="n">
        <v>45735</v>
      </c>
      <c r="C75" s="7" t="inlineStr">
        <is>
          <t>Pulmonology</t>
        </is>
      </c>
      <c r="D75" s="7" t="inlineStr">
        <is>
          <t>18-35</t>
        </is>
      </c>
      <c r="E75" s="7" t="inlineStr">
        <is>
          <t>Fracture</t>
        </is>
      </c>
      <c r="F75" s="7" t="inlineStr">
        <is>
          <t>Transfer</t>
        </is>
      </c>
      <c r="G75" s="7" t="n">
        <v>3</v>
      </c>
      <c r="H75" s="7" t="inlineStr">
        <is>
          <t>No</t>
        </is>
      </c>
      <c r="I75" s="7" t="inlineStr">
        <is>
          <t>Yes</t>
        </is>
      </c>
      <c r="J75" s="7" t="inlineStr">
        <is>
          <t>No</t>
        </is>
      </c>
      <c r="K75" s="11" t="n">
        <v>23252</v>
      </c>
      <c r="L75" s="7" t="inlineStr">
        <is>
          <t>Self Pay</t>
        </is>
      </c>
      <c r="M75" s="11" t="n">
        <v>0</v>
      </c>
    </row>
    <row r="76">
      <c r="A76" s="7" t="inlineStr">
        <is>
          <t>P0072</t>
        </is>
      </c>
      <c r="B76" s="10" t="n">
        <v>45822</v>
      </c>
      <c r="C76" s="7" t="inlineStr">
        <is>
          <t>General Medicine</t>
        </is>
      </c>
      <c r="D76" s="7" t="inlineStr">
        <is>
          <t>66+</t>
        </is>
      </c>
      <c r="E76" s="7" t="inlineStr">
        <is>
          <t>Heart Failure</t>
        </is>
      </c>
      <c r="F76" s="7" t="inlineStr">
        <is>
          <t>Transfer</t>
        </is>
      </c>
      <c r="G76" s="7" t="n">
        <v>6</v>
      </c>
      <c r="H76" s="7" t="inlineStr">
        <is>
          <t>No</t>
        </is>
      </c>
      <c r="I76" s="7" t="inlineStr">
        <is>
          <t>Yes</t>
        </is>
      </c>
      <c r="J76" s="7" t="inlineStr">
        <is>
          <t>No</t>
        </is>
      </c>
      <c r="K76" s="11" t="n">
        <v>16784</v>
      </c>
      <c r="L76" s="7" t="inlineStr">
        <is>
          <t>Government</t>
        </is>
      </c>
      <c r="M76" s="11" t="n">
        <v>0</v>
      </c>
    </row>
    <row r="77">
      <c r="A77" s="7" t="inlineStr">
        <is>
          <t>P0073</t>
        </is>
      </c>
      <c r="B77" s="10" t="n">
        <v>45927</v>
      </c>
      <c r="C77" s="7" t="inlineStr">
        <is>
          <t>General Medicine</t>
        </is>
      </c>
      <c r="D77" s="7" t="inlineStr">
        <is>
          <t>18-35</t>
        </is>
      </c>
      <c r="E77" s="7" t="inlineStr">
        <is>
          <t>Fracture</t>
        </is>
      </c>
      <c r="F77" s="7" t="inlineStr">
        <is>
          <t>Home</t>
        </is>
      </c>
      <c r="G77" s="7" t="n">
        <v>8</v>
      </c>
      <c r="H77" s="7" t="inlineStr">
        <is>
          <t>Yes</t>
        </is>
      </c>
      <c r="I77" s="7" t="inlineStr">
        <is>
          <t>Yes</t>
        </is>
      </c>
      <c r="J77" s="7" t="inlineStr">
        <is>
          <t>No</t>
        </is>
      </c>
      <c r="K77" s="11" t="n">
        <v>28383</v>
      </c>
      <c r="L77" s="7" t="inlineStr">
        <is>
          <t>Self Pay</t>
        </is>
      </c>
      <c r="M77" s="11" t="n">
        <v>0</v>
      </c>
    </row>
    <row r="78">
      <c r="A78" s="7" t="inlineStr">
        <is>
          <t>P0074</t>
        </is>
      </c>
      <c r="B78" s="10" t="n">
        <v>45664</v>
      </c>
      <c r="C78" s="7" t="inlineStr">
        <is>
          <t>General Medicine</t>
        </is>
      </c>
      <c r="D78" s="7" t="inlineStr">
        <is>
          <t>18-35</t>
        </is>
      </c>
      <c r="E78" s="7" t="inlineStr">
        <is>
          <t>Diabetes</t>
        </is>
      </c>
      <c r="F78" s="7" t="inlineStr">
        <is>
          <t>Rehab</t>
        </is>
      </c>
      <c r="G78" s="7" t="n">
        <v>4</v>
      </c>
      <c r="H78" s="7" t="inlineStr">
        <is>
          <t>No</t>
        </is>
      </c>
      <c r="I78" s="7" t="inlineStr">
        <is>
          <t>Yes</t>
        </is>
      </c>
      <c r="J78" s="7" t="inlineStr">
        <is>
          <t>No</t>
        </is>
      </c>
      <c r="K78" s="11" t="n">
        <v>16008</v>
      </c>
      <c r="L78" s="7" t="inlineStr">
        <is>
          <t>Self Pay</t>
        </is>
      </c>
      <c r="M78" s="11" t="n">
        <v>0</v>
      </c>
    </row>
    <row r="79">
      <c r="A79" s="7" t="inlineStr">
        <is>
          <t>P0075</t>
        </is>
      </c>
      <c r="B79" s="10" t="n">
        <v>45770</v>
      </c>
      <c r="C79" s="7" t="inlineStr">
        <is>
          <t>Orthopedics</t>
        </is>
      </c>
      <c r="D79" s="7" t="inlineStr">
        <is>
          <t>66+</t>
        </is>
      </c>
      <c r="E79" s="7" t="inlineStr">
        <is>
          <t>Pneumonia</t>
        </is>
      </c>
      <c r="F79" s="7" t="inlineStr">
        <is>
          <t>Home + Support</t>
        </is>
      </c>
      <c r="G79" s="7" t="n">
        <v>12</v>
      </c>
      <c r="H79" s="7" t="inlineStr">
        <is>
          <t>No</t>
        </is>
      </c>
      <c r="I79" s="7" t="inlineStr">
        <is>
          <t>Yes</t>
        </is>
      </c>
      <c r="J79" s="7" t="inlineStr">
        <is>
          <t>No</t>
        </is>
      </c>
      <c r="K79" s="11" t="n">
        <v>31076</v>
      </c>
      <c r="L79" s="7" t="inlineStr">
        <is>
          <t>Government</t>
        </is>
      </c>
      <c r="M79" s="11" t="n">
        <v>0</v>
      </c>
    </row>
    <row r="80">
      <c r="A80" s="7" t="inlineStr">
        <is>
          <t>P0076</t>
        </is>
      </c>
      <c r="B80" s="10" t="n">
        <v>45709</v>
      </c>
      <c r="C80" s="7" t="inlineStr">
        <is>
          <t>Cardiology</t>
        </is>
      </c>
      <c r="D80" s="7" t="inlineStr">
        <is>
          <t>66+</t>
        </is>
      </c>
      <c r="E80" s="7" t="inlineStr">
        <is>
          <t>Fracture</t>
        </is>
      </c>
      <c r="F80" s="7" t="inlineStr">
        <is>
          <t>Home + Support</t>
        </is>
      </c>
      <c r="G80" s="7" t="n">
        <v>2</v>
      </c>
      <c r="H80" s="7" t="inlineStr">
        <is>
          <t>Yes</t>
        </is>
      </c>
      <c r="I80" s="7" t="inlineStr">
        <is>
          <t>No</t>
        </is>
      </c>
      <c r="J80" s="7" t="inlineStr">
        <is>
          <t>No</t>
        </is>
      </c>
      <c r="K80" s="11" t="n">
        <v>27423</v>
      </c>
      <c r="L80" s="7" t="inlineStr">
        <is>
          <t>Government</t>
        </is>
      </c>
      <c r="M80" s="11" t="n">
        <v>0</v>
      </c>
    </row>
    <row r="81">
      <c r="A81" s="7" t="inlineStr">
        <is>
          <t>P0077</t>
        </is>
      </c>
      <c r="B81" s="10" t="n">
        <v>45767</v>
      </c>
      <c r="C81" s="7" t="inlineStr">
        <is>
          <t>Pulmonology</t>
        </is>
      </c>
      <c r="D81" s="7" t="inlineStr">
        <is>
          <t>51-65</t>
        </is>
      </c>
      <c r="E81" s="7" t="inlineStr">
        <is>
          <t>Fracture</t>
        </is>
      </c>
      <c r="F81" s="7" t="inlineStr">
        <is>
          <t>Home + Support</t>
        </is>
      </c>
      <c r="G81" s="7" t="n">
        <v>7</v>
      </c>
      <c r="H81" s="7" t="inlineStr">
        <is>
          <t>No</t>
        </is>
      </c>
      <c r="I81" s="7" t="inlineStr">
        <is>
          <t>No</t>
        </is>
      </c>
      <c r="J81" s="7" t="inlineStr">
        <is>
          <t>Yes</t>
        </is>
      </c>
      <c r="K81" s="11" t="n">
        <v>29548</v>
      </c>
      <c r="L81" s="7" t="inlineStr">
        <is>
          <t>Private</t>
        </is>
      </c>
      <c r="M81" s="11" t="n">
        <v>23247.93</v>
      </c>
    </row>
    <row r="82">
      <c r="A82" s="7" t="inlineStr">
        <is>
          <t>P0078</t>
        </is>
      </c>
      <c r="B82" s="10" t="n">
        <v>45952</v>
      </c>
      <c r="C82" s="7" t="inlineStr">
        <is>
          <t>Pulmonology</t>
        </is>
      </c>
      <c r="D82" s="7" t="inlineStr">
        <is>
          <t>51-65</t>
        </is>
      </c>
      <c r="E82" s="7" t="inlineStr">
        <is>
          <t>Diabetes</t>
        </is>
      </c>
      <c r="F82" s="7" t="inlineStr">
        <is>
          <t>Transfer</t>
        </is>
      </c>
      <c r="G82" s="7" t="n">
        <v>9</v>
      </c>
      <c r="H82" s="7" t="inlineStr">
        <is>
          <t>No</t>
        </is>
      </c>
      <c r="I82" s="7" t="inlineStr">
        <is>
          <t>No</t>
        </is>
      </c>
      <c r="J82" s="7" t="inlineStr">
        <is>
          <t>Yes</t>
        </is>
      </c>
      <c r="K82" s="11" t="n">
        <v>29945</v>
      </c>
      <c r="L82" s="7" t="inlineStr">
        <is>
          <t>Private</t>
        </is>
      </c>
      <c r="M82" s="11" t="n">
        <v>36008.43</v>
      </c>
    </row>
    <row r="83">
      <c r="A83" s="7" t="inlineStr">
        <is>
          <t>P0079</t>
        </is>
      </c>
      <c r="B83" s="10" t="n">
        <v>45836</v>
      </c>
      <c r="C83" s="7" t="inlineStr">
        <is>
          <t>General Medicine</t>
        </is>
      </c>
      <c r="D83" s="7" t="inlineStr">
        <is>
          <t>66+</t>
        </is>
      </c>
      <c r="E83" s="7" t="inlineStr">
        <is>
          <t>Fracture</t>
        </is>
      </c>
      <c r="F83" s="7" t="inlineStr">
        <is>
          <t>Home + Support</t>
        </is>
      </c>
      <c r="G83" s="7" t="n">
        <v>6</v>
      </c>
      <c r="H83" s="7" t="inlineStr">
        <is>
          <t>No</t>
        </is>
      </c>
      <c r="I83" s="7" t="inlineStr">
        <is>
          <t>Yes</t>
        </is>
      </c>
      <c r="J83" s="7" t="inlineStr">
        <is>
          <t>No</t>
        </is>
      </c>
      <c r="K83" s="11" t="n">
        <v>18596</v>
      </c>
      <c r="L83" s="7" t="inlineStr">
        <is>
          <t>Self Pay</t>
        </is>
      </c>
      <c r="M83" s="11" t="n">
        <v>0</v>
      </c>
    </row>
    <row r="84">
      <c r="A84" s="7" t="inlineStr">
        <is>
          <t>P0080</t>
        </is>
      </c>
      <c r="B84" s="10" t="n">
        <v>45851</v>
      </c>
      <c r="C84" s="7" t="inlineStr">
        <is>
          <t>Orthopedics</t>
        </is>
      </c>
      <c r="D84" s="7" t="inlineStr">
        <is>
          <t>66+</t>
        </is>
      </c>
      <c r="E84" s="7" t="inlineStr">
        <is>
          <t>Fracture</t>
        </is>
      </c>
      <c r="F84" s="7" t="inlineStr">
        <is>
          <t>Home + Support</t>
        </is>
      </c>
      <c r="G84" s="7" t="n">
        <v>4</v>
      </c>
      <c r="H84" s="7" t="inlineStr">
        <is>
          <t>No</t>
        </is>
      </c>
      <c r="I84" s="7" t="inlineStr">
        <is>
          <t>Yes</t>
        </is>
      </c>
      <c r="J84" s="7" t="inlineStr">
        <is>
          <t>No</t>
        </is>
      </c>
      <c r="K84" s="11" t="n">
        <v>20088</v>
      </c>
      <c r="L84" s="7" t="inlineStr">
        <is>
          <t>Government</t>
        </is>
      </c>
      <c r="M84" s="11" t="n">
        <v>0</v>
      </c>
    </row>
    <row r="85">
      <c r="A85" s="7" t="inlineStr">
        <is>
          <t>P0081</t>
        </is>
      </c>
      <c r="B85" s="10" t="n">
        <v>45996</v>
      </c>
      <c r="C85" s="7" t="inlineStr">
        <is>
          <t>Cardiology</t>
        </is>
      </c>
      <c r="D85" s="7" t="inlineStr">
        <is>
          <t>51-65</t>
        </is>
      </c>
      <c r="E85" s="7" t="inlineStr">
        <is>
          <t>COPD</t>
        </is>
      </c>
      <c r="F85" s="7" t="inlineStr">
        <is>
          <t>Transfer</t>
        </is>
      </c>
      <c r="G85" s="7" t="n">
        <v>2</v>
      </c>
      <c r="H85" s="7" t="inlineStr">
        <is>
          <t>No</t>
        </is>
      </c>
      <c r="I85" s="7" t="inlineStr">
        <is>
          <t>Yes</t>
        </is>
      </c>
      <c r="J85" s="7" t="inlineStr">
        <is>
          <t>No</t>
        </is>
      </c>
      <c r="K85" s="11" t="n">
        <v>19630</v>
      </c>
      <c r="L85" s="7" t="inlineStr">
        <is>
          <t>Self Pay</t>
        </is>
      </c>
      <c r="M85" s="11" t="n">
        <v>0</v>
      </c>
    </row>
    <row r="86">
      <c r="A86" s="7" t="inlineStr">
        <is>
          <t>P0082</t>
        </is>
      </c>
      <c r="B86" s="10" t="n">
        <v>45836</v>
      </c>
      <c r="C86" s="7" t="inlineStr">
        <is>
          <t>Orthopedics</t>
        </is>
      </c>
      <c r="D86" s="7" t="inlineStr">
        <is>
          <t>66+</t>
        </is>
      </c>
      <c r="E86" s="7" t="inlineStr">
        <is>
          <t>Heart Failure</t>
        </is>
      </c>
      <c r="F86" s="7" t="inlineStr">
        <is>
          <t>Transfer</t>
        </is>
      </c>
      <c r="G86" s="7" t="n">
        <v>5</v>
      </c>
      <c r="H86" s="7" t="inlineStr">
        <is>
          <t>No</t>
        </is>
      </c>
      <c r="I86" s="7" t="inlineStr">
        <is>
          <t>Yes</t>
        </is>
      </c>
      <c r="J86" s="7" t="inlineStr">
        <is>
          <t>No</t>
        </is>
      </c>
      <c r="K86" s="11" t="n">
        <v>18410</v>
      </c>
      <c r="L86" s="7" t="inlineStr">
        <is>
          <t>Government</t>
        </is>
      </c>
      <c r="M86" s="11" t="n">
        <v>0</v>
      </c>
    </row>
    <row r="87">
      <c r="A87" s="7" t="inlineStr">
        <is>
          <t>P0083</t>
        </is>
      </c>
      <c r="B87" s="10" t="n">
        <v>45994</v>
      </c>
      <c r="C87" s="7" t="inlineStr">
        <is>
          <t>General Medicine</t>
        </is>
      </c>
      <c r="D87" s="7" t="inlineStr">
        <is>
          <t>18-35</t>
        </is>
      </c>
      <c r="E87" s="7" t="inlineStr">
        <is>
          <t>Fracture</t>
        </is>
      </c>
      <c r="F87" s="7" t="inlineStr">
        <is>
          <t>Transfer</t>
        </is>
      </c>
      <c r="G87" s="7" t="n">
        <v>10</v>
      </c>
      <c r="H87" s="7" t="inlineStr">
        <is>
          <t>Yes</t>
        </is>
      </c>
      <c r="I87" s="7" t="inlineStr">
        <is>
          <t>Yes</t>
        </is>
      </c>
      <c r="J87" s="7" t="inlineStr">
        <is>
          <t>No</t>
        </is>
      </c>
      <c r="K87" s="11" t="n">
        <v>25871</v>
      </c>
      <c r="L87" s="7" t="inlineStr">
        <is>
          <t>Private</t>
        </is>
      </c>
      <c r="M87" s="11" t="n">
        <v>0</v>
      </c>
    </row>
    <row r="88">
      <c r="A88" s="7" t="inlineStr">
        <is>
          <t>P0084</t>
        </is>
      </c>
      <c r="B88" s="10" t="n">
        <v>45822</v>
      </c>
      <c r="C88" s="7" t="inlineStr">
        <is>
          <t>Cardiology</t>
        </is>
      </c>
      <c r="D88" s="7" t="inlineStr">
        <is>
          <t>36-50</t>
        </is>
      </c>
      <c r="E88" s="7" t="inlineStr">
        <is>
          <t>Diabetes</t>
        </is>
      </c>
      <c r="F88" s="7" t="inlineStr">
        <is>
          <t>Home + Support</t>
        </is>
      </c>
      <c r="G88" s="7" t="n">
        <v>12</v>
      </c>
      <c r="H88" s="7" t="inlineStr">
        <is>
          <t>No</t>
        </is>
      </c>
      <c r="I88" s="7" t="inlineStr">
        <is>
          <t>No</t>
        </is>
      </c>
      <c r="J88" s="7" t="inlineStr">
        <is>
          <t>Yes</t>
        </is>
      </c>
      <c r="K88" s="11" t="n">
        <v>28284</v>
      </c>
      <c r="L88" s="7" t="inlineStr">
        <is>
          <t>Private</t>
        </is>
      </c>
      <c r="M88" s="11" t="n">
        <v>24777.37</v>
      </c>
    </row>
    <row r="89">
      <c r="A89" s="7" t="inlineStr">
        <is>
          <t>P0085</t>
        </is>
      </c>
      <c r="B89" s="10" t="n">
        <v>45763</v>
      </c>
      <c r="C89" s="7" t="inlineStr">
        <is>
          <t>General Medicine</t>
        </is>
      </c>
      <c r="D89" s="7" t="inlineStr">
        <is>
          <t>36-50</t>
        </is>
      </c>
      <c r="E89" s="7" t="inlineStr">
        <is>
          <t>Fracture</t>
        </is>
      </c>
      <c r="F89" s="7" t="inlineStr">
        <is>
          <t>Home + Support</t>
        </is>
      </c>
      <c r="G89" s="7" t="n">
        <v>3</v>
      </c>
      <c r="H89" s="7" t="inlineStr">
        <is>
          <t>Yes</t>
        </is>
      </c>
      <c r="I89" s="7" t="inlineStr">
        <is>
          <t>Yes</t>
        </is>
      </c>
      <c r="J89" s="7" t="inlineStr">
        <is>
          <t>No</t>
        </is>
      </c>
      <c r="K89" s="11" t="n">
        <v>21100</v>
      </c>
      <c r="L89" s="7" t="inlineStr">
        <is>
          <t>Private</t>
        </is>
      </c>
      <c r="M89" s="11" t="n">
        <v>0</v>
      </c>
    </row>
    <row r="90">
      <c r="A90" s="7" t="inlineStr">
        <is>
          <t>P0086</t>
        </is>
      </c>
      <c r="B90" s="10" t="n">
        <v>45799</v>
      </c>
      <c r="C90" s="7" t="inlineStr">
        <is>
          <t>General Medicine</t>
        </is>
      </c>
      <c r="D90" s="7" t="inlineStr">
        <is>
          <t>51-65</t>
        </is>
      </c>
      <c r="E90" s="7" t="inlineStr">
        <is>
          <t>Hypertension</t>
        </is>
      </c>
      <c r="F90" s="7" t="inlineStr">
        <is>
          <t>Home + Support</t>
        </is>
      </c>
      <c r="G90" s="7" t="n">
        <v>8</v>
      </c>
      <c r="H90" s="7" t="inlineStr">
        <is>
          <t>No</t>
        </is>
      </c>
      <c r="I90" s="7" t="inlineStr">
        <is>
          <t>No</t>
        </is>
      </c>
      <c r="J90" s="7" t="inlineStr">
        <is>
          <t>No</t>
        </is>
      </c>
      <c r="K90" s="11" t="n">
        <v>21208</v>
      </c>
      <c r="L90" s="7" t="inlineStr">
        <is>
          <t>Private</t>
        </is>
      </c>
      <c r="M90" s="11" t="n">
        <v>0</v>
      </c>
    </row>
    <row r="91">
      <c r="A91" s="7" t="inlineStr">
        <is>
          <t>P0087</t>
        </is>
      </c>
      <c r="B91" s="10" t="n">
        <v>45760</v>
      </c>
      <c r="C91" s="7" t="inlineStr">
        <is>
          <t>General Medicine</t>
        </is>
      </c>
      <c r="D91" s="7" t="inlineStr">
        <is>
          <t>51-65</t>
        </is>
      </c>
      <c r="E91" s="7" t="inlineStr">
        <is>
          <t>Pneumonia</t>
        </is>
      </c>
      <c r="F91" s="7" t="inlineStr">
        <is>
          <t>Transfer</t>
        </is>
      </c>
      <c r="G91" s="7" t="n">
        <v>11</v>
      </c>
      <c r="H91" s="7" t="inlineStr">
        <is>
          <t>No</t>
        </is>
      </c>
      <c r="I91" s="7" t="inlineStr">
        <is>
          <t>No</t>
        </is>
      </c>
      <c r="J91" s="7" t="inlineStr">
        <is>
          <t>No</t>
        </is>
      </c>
      <c r="K91" s="11" t="n">
        <v>23199</v>
      </c>
      <c r="L91" s="7" t="inlineStr">
        <is>
          <t>Private</t>
        </is>
      </c>
      <c r="M91" s="11" t="n">
        <v>0</v>
      </c>
    </row>
    <row r="92">
      <c r="A92" s="7" t="inlineStr">
        <is>
          <t>P0088</t>
        </is>
      </c>
      <c r="B92" s="10" t="n">
        <v>45847</v>
      </c>
      <c r="C92" s="7" t="inlineStr">
        <is>
          <t>Orthopedics</t>
        </is>
      </c>
      <c r="D92" s="7" t="inlineStr">
        <is>
          <t>51-65</t>
        </is>
      </c>
      <c r="E92" s="7" t="inlineStr">
        <is>
          <t>Diabetes</t>
        </is>
      </c>
      <c r="F92" s="7" t="inlineStr">
        <is>
          <t>Home</t>
        </is>
      </c>
      <c r="G92" s="7" t="n">
        <v>10</v>
      </c>
      <c r="H92" s="7" t="inlineStr">
        <is>
          <t>No</t>
        </is>
      </c>
      <c r="I92" s="7" t="inlineStr">
        <is>
          <t>No</t>
        </is>
      </c>
      <c r="J92" s="7" t="inlineStr">
        <is>
          <t>No</t>
        </is>
      </c>
      <c r="K92" s="11" t="n">
        <v>28740</v>
      </c>
      <c r="L92" s="7" t="inlineStr">
        <is>
          <t>Self Pay</t>
        </is>
      </c>
      <c r="M92" s="11" t="n">
        <v>0</v>
      </c>
    </row>
    <row r="93">
      <c r="A93" s="7" t="inlineStr">
        <is>
          <t>P0089</t>
        </is>
      </c>
      <c r="B93" s="10" t="n">
        <v>45939</v>
      </c>
      <c r="C93" s="7" t="inlineStr">
        <is>
          <t>Cardiology</t>
        </is>
      </c>
      <c r="D93" s="7" t="inlineStr">
        <is>
          <t>66+</t>
        </is>
      </c>
      <c r="E93" s="7" t="inlineStr">
        <is>
          <t>Fracture</t>
        </is>
      </c>
      <c r="F93" s="7" t="inlineStr">
        <is>
          <t>Home + Support</t>
        </is>
      </c>
      <c r="G93" s="7" t="n">
        <v>5</v>
      </c>
      <c r="H93" s="7" t="inlineStr">
        <is>
          <t>Yes</t>
        </is>
      </c>
      <c r="I93" s="7" t="inlineStr">
        <is>
          <t>Yes</t>
        </is>
      </c>
      <c r="J93" s="7" t="inlineStr">
        <is>
          <t>No</t>
        </is>
      </c>
      <c r="K93" s="11" t="n">
        <v>29033</v>
      </c>
      <c r="L93" s="7" t="inlineStr">
        <is>
          <t>Self Pay</t>
        </is>
      </c>
      <c r="M93" s="11" t="n">
        <v>0</v>
      </c>
    </row>
    <row r="94">
      <c r="A94" s="7" t="inlineStr">
        <is>
          <t>P0090</t>
        </is>
      </c>
      <c r="B94" s="10" t="n">
        <v>45698</v>
      </c>
      <c r="C94" s="7" t="inlineStr">
        <is>
          <t>Cardiology</t>
        </is>
      </c>
      <c r="D94" s="7" t="inlineStr">
        <is>
          <t>18-35</t>
        </is>
      </c>
      <c r="E94" s="7" t="inlineStr">
        <is>
          <t>Hypertension</t>
        </is>
      </c>
      <c r="F94" s="7" t="inlineStr">
        <is>
          <t>Rehab</t>
        </is>
      </c>
      <c r="G94" s="7" t="n">
        <v>5</v>
      </c>
      <c r="H94" s="7" t="inlineStr">
        <is>
          <t>No</t>
        </is>
      </c>
      <c r="I94" s="7" t="inlineStr">
        <is>
          <t>Yes</t>
        </is>
      </c>
      <c r="J94" s="7" t="inlineStr">
        <is>
          <t>No</t>
        </is>
      </c>
      <c r="K94" s="11" t="n">
        <v>22670</v>
      </c>
      <c r="L94" s="7" t="inlineStr">
        <is>
          <t>Self Pay</t>
        </is>
      </c>
      <c r="M94" s="11" t="n">
        <v>0</v>
      </c>
    </row>
    <row r="95">
      <c r="A95" s="7" t="inlineStr">
        <is>
          <t>P0091</t>
        </is>
      </c>
      <c r="B95" s="10" t="n">
        <v>45804</v>
      </c>
      <c r="C95" s="7" t="inlineStr">
        <is>
          <t>General Medicine</t>
        </is>
      </c>
      <c r="D95" s="7" t="inlineStr">
        <is>
          <t>36-50</t>
        </is>
      </c>
      <c r="E95" s="7" t="inlineStr">
        <is>
          <t>COPD</t>
        </is>
      </c>
      <c r="F95" s="7" t="inlineStr">
        <is>
          <t>Transfer</t>
        </is>
      </c>
      <c r="G95" s="7" t="n">
        <v>3</v>
      </c>
      <c r="H95" s="7" t="inlineStr">
        <is>
          <t>No</t>
        </is>
      </c>
      <c r="I95" s="7" t="inlineStr">
        <is>
          <t>Yes</t>
        </is>
      </c>
      <c r="J95" s="7" t="inlineStr">
        <is>
          <t>No</t>
        </is>
      </c>
      <c r="K95" s="11" t="n">
        <v>13904</v>
      </c>
      <c r="L95" s="7" t="inlineStr">
        <is>
          <t>Government</t>
        </is>
      </c>
      <c r="M95" s="11" t="n">
        <v>0</v>
      </c>
    </row>
    <row r="96">
      <c r="A96" s="7" t="inlineStr">
        <is>
          <t>P0092</t>
        </is>
      </c>
      <c r="B96" s="10" t="n">
        <v>45866</v>
      </c>
      <c r="C96" s="7" t="inlineStr">
        <is>
          <t>Pulmonology</t>
        </is>
      </c>
      <c r="D96" s="7" t="inlineStr">
        <is>
          <t>66+</t>
        </is>
      </c>
      <c r="E96" s="7" t="inlineStr">
        <is>
          <t>Heart Failure</t>
        </is>
      </c>
      <c r="F96" s="7" t="inlineStr">
        <is>
          <t>Rehab</t>
        </is>
      </c>
      <c r="G96" s="7" t="n">
        <v>2</v>
      </c>
      <c r="H96" s="7" t="inlineStr">
        <is>
          <t>Yes</t>
        </is>
      </c>
      <c r="I96" s="7" t="inlineStr">
        <is>
          <t>No</t>
        </is>
      </c>
      <c r="J96" s="7" t="inlineStr">
        <is>
          <t>Yes</t>
        </is>
      </c>
      <c r="K96" s="11" t="n">
        <v>28950</v>
      </c>
      <c r="L96" s="7" t="inlineStr">
        <is>
          <t>Private</t>
        </is>
      </c>
      <c r="M96" s="11" t="n">
        <v>31979.44</v>
      </c>
    </row>
    <row r="97">
      <c r="A97" s="7" t="inlineStr">
        <is>
          <t>P0093</t>
        </is>
      </c>
      <c r="B97" s="10" t="n">
        <v>45943</v>
      </c>
      <c r="C97" s="7" t="inlineStr">
        <is>
          <t>General Medicine</t>
        </is>
      </c>
      <c r="D97" s="7" t="inlineStr">
        <is>
          <t>51-65</t>
        </is>
      </c>
      <c r="E97" s="7" t="inlineStr">
        <is>
          <t>Heart Failure</t>
        </is>
      </c>
      <c r="F97" s="7" t="inlineStr">
        <is>
          <t>Rehab</t>
        </is>
      </c>
      <c r="G97" s="7" t="n">
        <v>9</v>
      </c>
      <c r="H97" s="7" t="inlineStr">
        <is>
          <t>Yes</t>
        </is>
      </c>
      <c r="I97" s="7" t="inlineStr">
        <is>
          <t>Yes</t>
        </is>
      </c>
      <c r="J97" s="7" t="inlineStr">
        <is>
          <t>No</t>
        </is>
      </c>
      <c r="K97" s="11" t="n">
        <v>28465</v>
      </c>
      <c r="L97" s="7" t="inlineStr">
        <is>
          <t>Private</t>
        </is>
      </c>
      <c r="M97" s="11" t="n">
        <v>0</v>
      </c>
    </row>
    <row r="98">
      <c r="A98" s="7" t="inlineStr">
        <is>
          <t>P0094</t>
        </is>
      </c>
      <c r="B98" s="10" t="n">
        <v>45892</v>
      </c>
      <c r="C98" s="7" t="inlineStr">
        <is>
          <t>Orthopedics</t>
        </is>
      </c>
      <c r="D98" s="7" t="inlineStr">
        <is>
          <t>18-35</t>
        </is>
      </c>
      <c r="E98" s="7" t="inlineStr">
        <is>
          <t>Diabetes</t>
        </is>
      </c>
      <c r="F98" s="7" t="inlineStr">
        <is>
          <t>Rehab</t>
        </is>
      </c>
      <c r="G98" s="7" t="n">
        <v>10</v>
      </c>
      <c r="H98" s="7" t="inlineStr">
        <is>
          <t>No</t>
        </is>
      </c>
      <c r="I98" s="7" t="inlineStr">
        <is>
          <t>No</t>
        </is>
      </c>
      <c r="J98" s="7" t="inlineStr">
        <is>
          <t>Yes</t>
        </is>
      </c>
      <c r="K98" s="11" t="n">
        <v>22640</v>
      </c>
      <c r="L98" s="7" t="inlineStr">
        <is>
          <t>Self Pay</t>
        </is>
      </c>
      <c r="M98" s="11" t="n">
        <v>24479.33</v>
      </c>
    </row>
    <row r="99">
      <c r="A99" s="7" t="inlineStr">
        <is>
          <t>P0095</t>
        </is>
      </c>
      <c r="B99" s="10" t="n">
        <v>45905</v>
      </c>
      <c r="C99" s="7" t="inlineStr">
        <is>
          <t>General Medicine</t>
        </is>
      </c>
      <c r="D99" s="7" t="inlineStr">
        <is>
          <t>36-50</t>
        </is>
      </c>
      <c r="E99" s="7" t="inlineStr">
        <is>
          <t>Heart Failure</t>
        </is>
      </c>
      <c r="F99" s="7" t="inlineStr">
        <is>
          <t>Transfer</t>
        </is>
      </c>
      <c r="G99" s="7" t="n">
        <v>1</v>
      </c>
      <c r="H99" s="7" t="inlineStr">
        <is>
          <t>Yes</t>
        </is>
      </c>
      <c r="I99" s="7" t="inlineStr">
        <is>
          <t>Yes</t>
        </is>
      </c>
      <c r="J99" s="7" t="inlineStr">
        <is>
          <t>No</t>
        </is>
      </c>
      <c r="K99" s="11" t="n">
        <v>15860</v>
      </c>
      <c r="L99" s="7" t="inlineStr">
        <is>
          <t>Government</t>
        </is>
      </c>
      <c r="M99" s="11" t="n">
        <v>0</v>
      </c>
    </row>
    <row r="100">
      <c r="A100" s="7" t="inlineStr">
        <is>
          <t>P0096</t>
        </is>
      </c>
      <c r="B100" s="10" t="n">
        <v>45847</v>
      </c>
      <c r="C100" s="7" t="inlineStr">
        <is>
          <t>Pulmonology</t>
        </is>
      </c>
      <c r="D100" s="7" t="inlineStr">
        <is>
          <t>66+</t>
        </is>
      </c>
      <c r="E100" s="7" t="inlineStr">
        <is>
          <t>Hypertension</t>
        </is>
      </c>
      <c r="F100" s="7" t="inlineStr">
        <is>
          <t>Home</t>
        </is>
      </c>
      <c r="G100" s="7" t="n">
        <v>10</v>
      </c>
      <c r="H100" s="7" t="inlineStr">
        <is>
          <t>Yes</t>
        </is>
      </c>
      <c r="I100" s="7" t="inlineStr">
        <is>
          <t>No</t>
        </is>
      </c>
      <c r="J100" s="7" t="inlineStr">
        <is>
          <t>No</t>
        </is>
      </c>
      <c r="K100" s="11" t="n">
        <v>38531</v>
      </c>
      <c r="L100" s="7" t="inlineStr">
        <is>
          <t>Self Pay</t>
        </is>
      </c>
      <c r="M100" s="11" t="n">
        <v>0</v>
      </c>
    </row>
    <row r="101">
      <c r="A101" s="7" t="inlineStr">
        <is>
          <t>P0097</t>
        </is>
      </c>
      <c r="B101" s="10" t="n">
        <v>45973</v>
      </c>
      <c r="C101" s="7" t="inlineStr">
        <is>
          <t>Pulmonology</t>
        </is>
      </c>
      <c r="D101" s="7" t="inlineStr">
        <is>
          <t>66+</t>
        </is>
      </c>
      <c r="E101" s="7" t="inlineStr">
        <is>
          <t>COPD</t>
        </is>
      </c>
      <c r="F101" s="7" t="inlineStr">
        <is>
          <t>Home</t>
        </is>
      </c>
      <c r="G101" s="7" t="n">
        <v>8</v>
      </c>
      <c r="H101" s="7" t="inlineStr">
        <is>
          <t>Yes</t>
        </is>
      </c>
      <c r="I101" s="7" t="inlineStr">
        <is>
          <t>No</t>
        </is>
      </c>
      <c r="J101" s="7" t="inlineStr">
        <is>
          <t>Yes</t>
        </is>
      </c>
      <c r="K101" s="11" t="n">
        <v>36520</v>
      </c>
      <c r="L101" s="7" t="inlineStr">
        <is>
          <t>Government</t>
        </is>
      </c>
      <c r="M101" s="11" t="n">
        <v>37494.34</v>
      </c>
    </row>
    <row r="102">
      <c r="A102" s="7" t="inlineStr">
        <is>
          <t>P0098</t>
        </is>
      </c>
      <c r="B102" s="10" t="n">
        <v>45659</v>
      </c>
      <c r="C102" s="7" t="inlineStr">
        <is>
          <t>Pulmonology</t>
        </is>
      </c>
      <c r="D102" s="7" t="inlineStr">
        <is>
          <t>18-35</t>
        </is>
      </c>
      <c r="E102" s="7" t="inlineStr">
        <is>
          <t>COPD</t>
        </is>
      </c>
      <c r="F102" s="7" t="inlineStr">
        <is>
          <t>Rehab</t>
        </is>
      </c>
      <c r="G102" s="7" t="n">
        <v>8</v>
      </c>
      <c r="H102" s="7" t="inlineStr">
        <is>
          <t>Yes</t>
        </is>
      </c>
      <c r="I102" s="7" t="inlineStr">
        <is>
          <t>No</t>
        </is>
      </c>
      <c r="J102" s="7" t="inlineStr">
        <is>
          <t>No</t>
        </is>
      </c>
      <c r="K102" s="11" t="n">
        <v>38265</v>
      </c>
      <c r="L102" s="7" t="inlineStr">
        <is>
          <t>Private</t>
        </is>
      </c>
      <c r="M102" s="11" t="n">
        <v>0</v>
      </c>
    </row>
    <row r="103">
      <c r="A103" s="7" t="inlineStr">
        <is>
          <t>P0099</t>
        </is>
      </c>
      <c r="B103" s="10" t="n">
        <v>45742</v>
      </c>
      <c r="C103" s="7" t="inlineStr">
        <is>
          <t>Orthopedics</t>
        </is>
      </c>
      <c r="D103" s="7" t="inlineStr">
        <is>
          <t>36-50</t>
        </is>
      </c>
      <c r="E103" s="7" t="inlineStr">
        <is>
          <t>Fracture</t>
        </is>
      </c>
      <c r="F103" s="7" t="inlineStr">
        <is>
          <t>Home</t>
        </is>
      </c>
      <c r="G103" s="7" t="n">
        <v>2</v>
      </c>
      <c r="H103" s="7" t="inlineStr">
        <is>
          <t>Yes</t>
        </is>
      </c>
      <c r="I103" s="7" t="inlineStr">
        <is>
          <t>Yes</t>
        </is>
      </c>
      <c r="J103" s="7" t="inlineStr">
        <is>
          <t>No</t>
        </is>
      </c>
      <c r="K103" s="11" t="n">
        <v>20421</v>
      </c>
      <c r="L103" s="7" t="inlineStr">
        <is>
          <t>Government</t>
        </is>
      </c>
      <c r="M103" s="11" t="n">
        <v>0</v>
      </c>
    </row>
    <row r="104">
      <c r="A104" s="7" t="inlineStr">
        <is>
          <t>P0100</t>
        </is>
      </c>
      <c r="B104" s="10" t="n">
        <v>45766</v>
      </c>
      <c r="C104" s="7" t="inlineStr">
        <is>
          <t>Orthopedics</t>
        </is>
      </c>
      <c r="D104" s="7" t="inlineStr">
        <is>
          <t>51-65</t>
        </is>
      </c>
      <c r="E104" s="7" t="inlineStr">
        <is>
          <t>COPD</t>
        </is>
      </c>
      <c r="F104" s="7" t="inlineStr">
        <is>
          <t>Rehab</t>
        </is>
      </c>
      <c r="G104" s="7" t="n">
        <v>3</v>
      </c>
      <c r="H104" s="7" t="inlineStr">
        <is>
          <t>Yes</t>
        </is>
      </c>
      <c r="I104" s="7" t="inlineStr">
        <is>
          <t>No</t>
        </is>
      </c>
      <c r="J104" s="7" t="inlineStr">
        <is>
          <t>Yes</t>
        </is>
      </c>
      <c r="K104" s="11" t="n">
        <v>20912</v>
      </c>
      <c r="L104" s="7" t="inlineStr">
        <is>
          <t>Private</t>
        </is>
      </c>
      <c r="M104" s="11" t="n">
        <v>24550.5</v>
      </c>
    </row>
    <row r="105">
      <c r="A105" s="7" t="inlineStr">
        <is>
          <t>P0101</t>
        </is>
      </c>
      <c r="B105" s="10" t="n">
        <v>45894</v>
      </c>
      <c r="C105" s="7" t="inlineStr">
        <is>
          <t>Orthopedics</t>
        </is>
      </c>
      <c r="D105" s="7" t="inlineStr">
        <is>
          <t>18-35</t>
        </is>
      </c>
      <c r="E105" s="7" t="inlineStr">
        <is>
          <t>Pneumonia</t>
        </is>
      </c>
      <c r="F105" s="7" t="inlineStr">
        <is>
          <t>Rehab</t>
        </is>
      </c>
      <c r="G105" s="7" t="n">
        <v>3</v>
      </c>
      <c r="H105" s="7" t="inlineStr">
        <is>
          <t>No</t>
        </is>
      </c>
      <c r="I105" s="7" t="inlineStr">
        <is>
          <t>Yes</t>
        </is>
      </c>
      <c r="J105" s="7" t="inlineStr">
        <is>
          <t>No</t>
        </is>
      </c>
      <c r="K105" s="11" t="n">
        <v>17861</v>
      </c>
      <c r="L105" s="7" t="inlineStr">
        <is>
          <t>Self Pay</t>
        </is>
      </c>
      <c r="M105" s="11" t="n">
        <v>0</v>
      </c>
    </row>
    <row r="106">
      <c r="A106" s="7" t="inlineStr">
        <is>
          <t>P0102</t>
        </is>
      </c>
      <c r="B106" s="10" t="n">
        <v>45792</v>
      </c>
      <c r="C106" s="7" t="inlineStr">
        <is>
          <t>Cardiology</t>
        </is>
      </c>
      <c r="D106" s="7" t="inlineStr">
        <is>
          <t>36-50</t>
        </is>
      </c>
      <c r="E106" s="7" t="inlineStr">
        <is>
          <t>Diabetes</t>
        </is>
      </c>
      <c r="F106" s="7" t="inlineStr">
        <is>
          <t>Home</t>
        </is>
      </c>
      <c r="G106" s="7" t="n">
        <v>10</v>
      </c>
      <c r="H106" s="7" t="inlineStr">
        <is>
          <t>Yes</t>
        </is>
      </c>
      <c r="I106" s="7" t="inlineStr">
        <is>
          <t>No</t>
        </is>
      </c>
      <c r="J106" s="7" t="inlineStr">
        <is>
          <t>No</t>
        </is>
      </c>
      <c r="K106" s="11" t="n">
        <v>37875</v>
      </c>
      <c r="L106" s="7" t="inlineStr">
        <is>
          <t>Private</t>
        </is>
      </c>
      <c r="M106" s="11" t="n">
        <v>0</v>
      </c>
    </row>
    <row r="107">
      <c r="A107" s="7" t="inlineStr">
        <is>
          <t>P0103</t>
        </is>
      </c>
      <c r="B107" s="10" t="n">
        <v>45699</v>
      </c>
      <c r="C107" s="7" t="inlineStr">
        <is>
          <t>General Medicine</t>
        </is>
      </c>
      <c r="D107" s="7" t="inlineStr">
        <is>
          <t>66+</t>
        </is>
      </c>
      <c r="E107" s="7" t="inlineStr">
        <is>
          <t>Diabetes</t>
        </is>
      </c>
      <c r="F107" s="7" t="inlineStr">
        <is>
          <t>Home + Support</t>
        </is>
      </c>
      <c r="G107" s="7" t="n">
        <v>11</v>
      </c>
      <c r="H107" s="7" t="inlineStr">
        <is>
          <t>Yes</t>
        </is>
      </c>
      <c r="I107" s="7" t="inlineStr">
        <is>
          <t>Yes</t>
        </is>
      </c>
      <c r="J107" s="7" t="inlineStr">
        <is>
          <t>No</t>
        </is>
      </c>
      <c r="K107" s="11" t="n">
        <v>27308</v>
      </c>
      <c r="L107" s="7" t="inlineStr">
        <is>
          <t>Private</t>
        </is>
      </c>
      <c r="M107" s="11" t="n">
        <v>0</v>
      </c>
    </row>
    <row r="108">
      <c r="A108" s="7" t="inlineStr">
        <is>
          <t>P0104</t>
        </is>
      </c>
      <c r="B108" s="10" t="n">
        <v>45995</v>
      </c>
      <c r="C108" s="7" t="inlineStr">
        <is>
          <t>Orthopedics</t>
        </is>
      </c>
      <c r="D108" s="7" t="inlineStr">
        <is>
          <t>51-65</t>
        </is>
      </c>
      <c r="E108" s="7" t="inlineStr">
        <is>
          <t>Pneumonia</t>
        </is>
      </c>
      <c r="F108" s="7" t="inlineStr">
        <is>
          <t>Home + Support</t>
        </is>
      </c>
      <c r="G108" s="7" t="n">
        <v>7</v>
      </c>
      <c r="H108" s="7" t="inlineStr">
        <is>
          <t>No</t>
        </is>
      </c>
      <c r="I108" s="7" t="inlineStr">
        <is>
          <t>Yes</t>
        </is>
      </c>
      <c r="J108" s="7" t="inlineStr">
        <is>
          <t>No</t>
        </is>
      </c>
      <c r="K108" s="11" t="n">
        <v>20307</v>
      </c>
      <c r="L108" s="7" t="inlineStr">
        <is>
          <t>Government</t>
        </is>
      </c>
      <c r="M108" s="11" t="n">
        <v>0</v>
      </c>
    </row>
    <row r="109">
      <c r="A109" s="7" t="inlineStr">
        <is>
          <t>P0105</t>
        </is>
      </c>
      <c r="B109" s="10" t="n">
        <v>45849</v>
      </c>
      <c r="C109" s="7" t="inlineStr">
        <is>
          <t>General Medicine</t>
        </is>
      </c>
      <c r="D109" s="7" t="inlineStr">
        <is>
          <t>66+</t>
        </is>
      </c>
      <c r="E109" s="7" t="inlineStr">
        <is>
          <t>COPD</t>
        </is>
      </c>
      <c r="F109" s="7" t="inlineStr">
        <is>
          <t>Rehab</t>
        </is>
      </c>
      <c r="G109" s="7" t="n">
        <v>6</v>
      </c>
      <c r="H109" s="7" t="inlineStr">
        <is>
          <t>No</t>
        </is>
      </c>
      <c r="I109" s="7" t="inlineStr">
        <is>
          <t>Yes</t>
        </is>
      </c>
      <c r="J109" s="7" t="inlineStr">
        <is>
          <t>No</t>
        </is>
      </c>
      <c r="K109" s="11" t="n">
        <v>17720</v>
      </c>
      <c r="L109" s="7" t="inlineStr">
        <is>
          <t>Government</t>
        </is>
      </c>
      <c r="M109" s="11" t="n">
        <v>0</v>
      </c>
    </row>
    <row r="110">
      <c r="A110" s="7" t="inlineStr">
        <is>
          <t>P0106</t>
        </is>
      </c>
      <c r="B110" s="10" t="n">
        <v>45734</v>
      </c>
      <c r="C110" s="7" t="inlineStr">
        <is>
          <t>Orthopedics</t>
        </is>
      </c>
      <c r="D110" s="7" t="inlineStr">
        <is>
          <t>66+</t>
        </is>
      </c>
      <c r="E110" s="7" t="inlineStr">
        <is>
          <t>Hypertension</t>
        </is>
      </c>
      <c r="F110" s="7" t="inlineStr">
        <is>
          <t>Home</t>
        </is>
      </c>
      <c r="G110" s="7" t="n">
        <v>2</v>
      </c>
      <c r="H110" s="7" t="inlineStr">
        <is>
          <t>Yes</t>
        </is>
      </c>
      <c r="I110" s="7" t="inlineStr">
        <is>
          <t>No</t>
        </is>
      </c>
      <c r="J110" s="7" t="inlineStr">
        <is>
          <t>Yes</t>
        </is>
      </c>
      <c r="K110" s="11" t="n">
        <v>21845</v>
      </c>
      <c r="L110" s="7" t="inlineStr">
        <is>
          <t>Self Pay</t>
        </is>
      </c>
      <c r="M110" s="11" t="n">
        <v>24974.9</v>
      </c>
    </row>
    <row r="111">
      <c r="A111" s="7" t="inlineStr">
        <is>
          <t>P0107</t>
        </is>
      </c>
      <c r="B111" s="10" t="n">
        <v>45993</v>
      </c>
      <c r="C111" s="7" t="inlineStr">
        <is>
          <t>Pulmonology</t>
        </is>
      </c>
      <c r="D111" s="7" t="inlineStr">
        <is>
          <t>18-35</t>
        </is>
      </c>
      <c r="E111" s="7" t="inlineStr">
        <is>
          <t>Hypertension</t>
        </is>
      </c>
      <c r="F111" s="7" t="inlineStr">
        <is>
          <t>Rehab</t>
        </is>
      </c>
      <c r="G111" s="7" t="n">
        <v>7</v>
      </c>
      <c r="H111" s="7" t="inlineStr">
        <is>
          <t>No</t>
        </is>
      </c>
      <c r="I111" s="7" t="inlineStr">
        <is>
          <t>No</t>
        </is>
      </c>
      <c r="J111" s="7" t="inlineStr">
        <is>
          <t>No</t>
        </is>
      </c>
      <c r="K111" s="11" t="n">
        <v>28631</v>
      </c>
      <c r="L111" s="7" t="inlineStr">
        <is>
          <t>Self Pay</t>
        </is>
      </c>
      <c r="M111" s="11" t="n">
        <v>0</v>
      </c>
    </row>
    <row r="112">
      <c r="A112" s="7" t="inlineStr">
        <is>
          <t>P0108</t>
        </is>
      </c>
      <c r="B112" s="10" t="n">
        <v>45912</v>
      </c>
      <c r="C112" s="7" t="inlineStr">
        <is>
          <t>Pulmonology</t>
        </is>
      </c>
      <c r="D112" s="7" t="inlineStr">
        <is>
          <t>18-35</t>
        </is>
      </c>
      <c r="E112" s="7" t="inlineStr">
        <is>
          <t>Pneumonia</t>
        </is>
      </c>
      <c r="F112" s="7" t="inlineStr">
        <is>
          <t>Home</t>
        </is>
      </c>
      <c r="G112" s="7" t="n">
        <v>10</v>
      </c>
      <c r="H112" s="7" t="inlineStr">
        <is>
          <t>Yes</t>
        </is>
      </c>
      <c r="I112" s="7" t="inlineStr">
        <is>
          <t>Yes</t>
        </is>
      </c>
      <c r="J112" s="7" t="inlineStr">
        <is>
          <t>No</t>
        </is>
      </c>
      <c r="K112" s="11" t="n">
        <v>33534</v>
      </c>
      <c r="L112" s="7" t="inlineStr">
        <is>
          <t>Government</t>
        </is>
      </c>
      <c r="M112" s="11" t="n">
        <v>0</v>
      </c>
    </row>
    <row r="113">
      <c r="A113" s="7" t="inlineStr">
        <is>
          <t>P0109</t>
        </is>
      </c>
      <c r="B113" s="10" t="n">
        <v>45788</v>
      </c>
      <c r="C113" s="7" t="inlineStr">
        <is>
          <t>Orthopedics</t>
        </is>
      </c>
      <c r="D113" s="7" t="inlineStr">
        <is>
          <t>18-35</t>
        </is>
      </c>
      <c r="E113" s="7" t="inlineStr">
        <is>
          <t>Diabetes</t>
        </is>
      </c>
      <c r="F113" s="7" t="inlineStr">
        <is>
          <t>Rehab</t>
        </is>
      </c>
      <c r="G113" s="7" t="n">
        <v>10</v>
      </c>
      <c r="H113" s="7" t="inlineStr">
        <is>
          <t>No</t>
        </is>
      </c>
      <c r="I113" s="7" t="inlineStr">
        <is>
          <t>Yes</t>
        </is>
      </c>
      <c r="J113" s="7" t="inlineStr">
        <is>
          <t>No</t>
        </is>
      </c>
      <c r="K113" s="11" t="n">
        <v>29800</v>
      </c>
      <c r="L113" s="7" t="inlineStr">
        <is>
          <t>Private</t>
        </is>
      </c>
      <c r="M113" s="11" t="n">
        <v>0</v>
      </c>
    </row>
    <row r="114">
      <c r="A114" s="7" t="inlineStr">
        <is>
          <t>P0110</t>
        </is>
      </c>
      <c r="B114" s="10" t="n">
        <v>45907</v>
      </c>
      <c r="C114" s="7" t="inlineStr">
        <is>
          <t>Orthopedics</t>
        </is>
      </c>
      <c r="D114" s="7" t="inlineStr">
        <is>
          <t>66+</t>
        </is>
      </c>
      <c r="E114" s="7" t="inlineStr">
        <is>
          <t>COPD</t>
        </is>
      </c>
      <c r="F114" s="7" t="inlineStr">
        <is>
          <t>Transfer</t>
        </is>
      </c>
      <c r="G114" s="7" t="n">
        <v>2</v>
      </c>
      <c r="H114" s="7" t="inlineStr">
        <is>
          <t>Yes</t>
        </is>
      </c>
      <c r="I114" s="7" t="inlineStr">
        <is>
          <t>No</t>
        </is>
      </c>
      <c r="J114" s="7" t="inlineStr">
        <is>
          <t>No</t>
        </is>
      </c>
      <c r="K114" s="11" t="n">
        <v>21842</v>
      </c>
      <c r="L114" s="7" t="inlineStr">
        <is>
          <t>Government</t>
        </is>
      </c>
      <c r="M114" s="11" t="n">
        <v>0</v>
      </c>
    </row>
    <row r="115">
      <c r="A115" s="7" t="inlineStr">
        <is>
          <t>P0111</t>
        </is>
      </c>
      <c r="B115" s="10" t="n">
        <v>45933</v>
      </c>
      <c r="C115" s="7" t="inlineStr">
        <is>
          <t>General Medicine</t>
        </is>
      </c>
      <c r="D115" s="7" t="inlineStr">
        <is>
          <t>36-50</t>
        </is>
      </c>
      <c r="E115" s="7" t="inlineStr">
        <is>
          <t>Pneumonia</t>
        </is>
      </c>
      <c r="F115" s="7" t="inlineStr">
        <is>
          <t>Home</t>
        </is>
      </c>
      <c r="G115" s="7" t="n">
        <v>6</v>
      </c>
      <c r="H115" s="7" t="inlineStr">
        <is>
          <t>No</t>
        </is>
      </c>
      <c r="I115" s="7" t="inlineStr">
        <is>
          <t>No</t>
        </is>
      </c>
      <c r="J115" s="7" t="inlineStr">
        <is>
          <t>No</t>
        </is>
      </c>
      <c r="K115" s="11" t="n">
        <v>19286</v>
      </c>
      <c r="L115" s="7" t="inlineStr">
        <is>
          <t>Private</t>
        </is>
      </c>
      <c r="M115" s="11" t="n">
        <v>0</v>
      </c>
    </row>
    <row r="116">
      <c r="A116" s="7" t="inlineStr">
        <is>
          <t>P0112</t>
        </is>
      </c>
      <c r="B116" s="10" t="n">
        <v>45883</v>
      </c>
      <c r="C116" s="7" t="inlineStr">
        <is>
          <t>Orthopedics</t>
        </is>
      </c>
      <c r="D116" s="7" t="inlineStr">
        <is>
          <t>18-35</t>
        </is>
      </c>
      <c r="E116" s="7" t="inlineStr">
        <is>
          <t>Fracture</t>
        </is>
      </c>
      <c r="F116" s="7" t="inlineStr">
        <is>
          <t>Rehab</t>
        </is>
      </c>
      <c r="G116" s="7" t="n">
        <v>11</v>
      </c>
      <c r="H116" s="7" t="inlineStr">
        <is>
          <t>Yes</t>
        </is>
      </c>
      <c r="I116" s="7" t="inlineStr">
        <is>
          <t>Yes</t>
        </is>
      </c>
      <c r="J116" s="7" t="inlineStr">
        <is>
          <t>No</t>
        </is>
      </c>
      <c r="K116" s="11" t="n">
        <v>33753</v>
      </c>
      <c r="L116" s="7" t="inlineStr">
        <is>
          <t>Private</t>
        </is>
      </c>
      <c r="M116" s="11" t="n">
        <v>0</v>
      </c>
    </row>
    <row r="117">
      <c r="A117" s="7" t="inlineStr">
        <is>
          <t>P0113</t>
        </is>
      </c>
      <c r="B117" s="10" t="n">
        <v>45971</v>
      </c>
      <c r="C117" s="7" t="inlineStr">
        <is>
          <t>Cardiology</t>
        </is>
      </c>
      <c r="D117" s="7" t="inlineStr">
        <is>
          <t>66+</t>
        </is>
      </c>
      <c r="E117" s="7" t="inlineStr">
        <is>
          <t>Pneumonia</t>
        </is>
      </c>
      <c r="F117" s="7" t="inlineStr">
        <is>
          <t>Home</t>
        </is>
      </c>
      <c r="G117" s="7" t="n">
        <v>2</v>
      </c>
      <c r="H117" s="7" t="inlineStr">
        <is>
          <t>No</t>
        </is>
      </c>
      <c r="I117" s="7" t="inlineStr">
        <is>
          <t>No</t>
        </is>
      </c>
      <c r="J117" s="7" t="inlineStr">
        <is>
          <t>No</t>
        </is>
      </c>
      <c r="K117" s="11" t="n">
        <v>20678</v>
      </c>
      <c r="L117" s="7" t="inlineStr">
        <is>
          <t>Private</t>
        </is>
      </c>
      <c r="M117" s="11" t="n">
        <v>0</v>
      </c>
    </row>
    <row r="118">
      <c r="A118" s="7" t="inlineStr">
        <is>
          <t>P0114</t>
        </is>
      </c>
      <c r="B118" s="10" t="n">
        <v>45787</v>
      </c>
      <c r="C118" s="7" t="inlineStr">
        <is>
          <t>General Medicine</t>
        </is>
      </c>
      <c r="D118" s="7" t="inlineStr">
        <is>
          <t>18-35</t>
        </is>
      </c>
      <c r="E118" s="7" t="inlineStr">
        <is>
          <t>Fracture</t>
        </is>
      </c>
      <c r="F118" s="7" t="inlineStr">
        <is>
          <t>Rehab</t>
        </is>
      </c>
      <c r="G118" s="7" t="n">
        <v>1</v>
      </c>
      <c r="H118" s="7" t="inlineStr">
        <is>
          <t>Yes</t>
        </is>
      </c>
      <c r="I118" s="7" t="inlineStr">
        <is>
          <t>Yes</t>
        </is>
      </c>
      <c r="J118" s="7" t="inlineStr">
        <is>
          <t>No</t>
        </is>
      </c>
      <c r="K118" s="11" t="n">
        <v>18070</v>
      </c>
      <c r="L118" s="7" t="inlineStr">
        <is>
          <t>Private</t>
        </is>
      </c>
      <c r="M118" s="11" t="n">
        <v>0</v>
      </c>
    </row>
    <row r="119">
      <c r="A119" s="7" t="inlineStr">
        <is>
          <t>P0115</t>
        </is>
      </c>
      <c r="B119" s="10" t="n">
        <v>45987</v>
      </c>
      <c r="C119" s="7" t="inlineStr">
        <is>
          <t>Cardiology</t>
        </is>
      </c>
      <c r="D119" s="7" t="inlineStr">
        <is>
          <t>66+</t>
        </is>
      </c>
      <c r="E119" s="7" t="inlineStr">
        <is>
          <t>Diabetes</t>
        </is>
      </c>
      <c r="F119" s="7" t="inlineStr">
        <is>
          <t>Rehab</t>
        </is>
      </c>
      <c r="G119" s="7" t="n">
        <v>3</v>
      </c>
      <c r="H119" s="7" t="inlineStr">
        <is>
          <t>Yes</t>
        </is>
      </c>
      <c r="I119" s="7" t="inlineStr">
        <is>
          <t>Yes</t>
        </is>
      </c>
      <c r="J119" s="7" t="inlineStr">
        <is>
          <t>No</t>
        </is>
      </c>
      <c r="K119" s="11" t="n">
        <v>27224</v>
      </c>
      <c r="L119" s="7" t="inlineStr">
        <is>
          <t>Private</t>
        </is>
      </c>
      <c r="M119" s="11" t="n">
        <v>0</v>
      </c>
    </row>
    <row r="120">
      <c r="A120" s="7" t="inlineStr">
        <is>
          <t>P0116</t>
        </is>
      </c>
      <c r="B120" s="10" t="n">
        <v>45861</v>
      </c>
      <c r="C120" s="7" t="inlineStr">
        <is>
          <t>General Medicine</t>
        </is>
      </c>
      <c r="D120" s="7" t="inlineStr">
        <is>
          <t>18-35</t>
        </is>
      </c>
      <c r="E120" s="7" t="inlineStr">
        <is>
          <t>Hypertension</t>
        </is>
      </c>
      <c r="F120" s="7" t="inlineStr">
        <is>
          <t>Transfer</t>
        </is>
      </c>
      <c r="G120" s="7" t="n">
        <v>7</v>
      </c>
      <c r="H120" s="7" t="inlineStr">
        <is>
          <t>Yes</t>
        </is>
      </c>
      <c r="I120" s="7" t="inlineStr">
        <is>
          <t>Yes</t>
        </is>
      </c>
      <c r="J120" s="7" t="inlineStr">
        <is>
          <t>Yes</t>
        </is>
      </c>
      <c r="K120" s="11" t="n">
        <v>24198</v>
      </c>
      <c r="L120" s="7" t="inlineStr">
        <is>
          <t>Government</t>
        </is>
      </c>
      <c r="M120" s="11" t="n">
        <v>23171.29</v>
      </c>
    </row>
    <row r="121">
      <c r="A121" s="7" t="inlineStr">
        <is>
          <t>P0117</t>
        </is>
      </c>
      <c r="B121" s="10" t="n">
        <v>45811</v>
      </c>
      <c r="C121" s="7" t="inlineStr">
        <is>
          <t>Cardiology</t>
        </is>
      </c>
      <c r="D121" s="7" t="inlineStr">
        <is>
          <t>18-35</t>
        </is>
      </c>
      <c r="E121" s="7" t="inlineStr">
        <is>
          <t>Diabetes</t>
        </is>
      </c>
      <c r="F121" s="7" t="inlineStr">
        <is>
          <t>Transfer</t>
        </is>
      </c>
      <c r="G121" s="7" t="n">
        <v>6</v>
      </c>
      <c r="H121" s="7" t="inlineStr">
        <is>
          <t>Yes</t>
        </is>
      </c>
      <c r="I121" s="7" t="inlineStr">
        <is>
          <t>No</t>
        </is>
      </c>
      <c r="J121" s="7" t="inlineStr">
        <is>
          <t>No</t>
        </is>
      </c>
      <c r="K121" s="11" t="n">
        <v>33803</v>
      </c>
      <c r="L121" s="7" t="inlineStr">
        <is>
          <t>Private</t>
        </is>
      </c>
      <c r="M121" s="11" t="n">
        <v>0</v>
      </c>
    </row>
    <row r="122">
      <c r="A122" s="7" t="inlineStr">
        <is>
          <t>P0118</t>
        </is>
      </c>
      <c r="B122" s="10" t="n">
        <v>45833</v>
      </c>
      <c r="C122" s="7" t="inlineStr">
        <is>
          <t>Orthopedics</t>
        </is>
      </c>
      <c r="D122" s="7" t="inlineStr">
        <is>
          <t>66+</t>
        </is>
      </c>
      <c r="E122" s="7" t="inlineStr">
        <is>
          <t>Diabetes</t>
        </is>
      </c>
      <c r="F122" s="7" t="inlineStr">
        <is>
          <t>Home + Support</t>
        </is>
      </c>
      <c r="G122" s="7" t="n">
        <v>9</v>
      </c>
      <c r="H122" s="7" t="inlineStr">
        <is>
          <t>Yes</t>
        </is>
      </c>
      <c r="I122" s="7" t="inlineStr">
        <is>
          <t>Yes</t>
        </is>
      </c>
      <c r="J122" s="7" t="inlineStr">
        <is>
          <t>No</t>
        </is>
      </c>
      <c r="K122" s="11" t="n">
        <v>28230</v>
      </c>
      <c r="L122" s="7" t="inlineStr">
        <is>
          <t>Private</t>
        </is>
      </c>
      <c r="M122" s="11" t="n">
        <v>0</v>
      </c>
    </row>
    <row r="123">
      <c r="A123" s="7" t="inlineStr">
        <is>
          <t>P0119</t>
        </is>
      </c>
      <c r="B123" s="10" t="n">
        <v>45751</v>
      </c>
      <c r="C123" s="7" t="inlineStr">
        <is>
          <t>Cardiology</t>
        </is>
      </c>
      <c r="D123" s="7" t="inlineStr">
        <is>
          <t>36-50</t>
        </is>
      </c>
      <c r="E123" s="7" t="inlineStr">
        <is>
          <t>Fracture</t>
        </is>
      </c>
      <c r="F123" s="7" t="inlineStr">
        <is>
          <t>Home + Support</t>
        </is>
      </c>
      <c r="G123" s="7" t="n">
        <v>6</v>
      </c>
      <c r="H123" s="7" t="inlineStr">
        <is>
          <t>No</t>
        </is>
      </c>
      <c r="I123" s="7" t="inlineStr">
        <is>
          <t>No</t>
        </is>
      </c>
      <c r="J123" s="7" t="inlineStr">
        <is>
          <t>No</t>
        </is>
      </c>
      <c r="K123" s="11" t="n">
        <v>23706</v>
      </c>
      <c r="L123" s="7" t="inlineStr">
        <is>
          <t>Government</t>
        </is>
      </c>
      <c r="M123" s="11" t="n">
        <v>0</v>
      </c>
    </row>
    <row r="124">
      <c r="A124" s="7" t="inlineStr">
        <is>
          <t>P0120</t>
        </is>
      </c>
      <c r="B124" s="10" t="n">
        <v>45955</v>
      </c>
      <c r="C124" s="7" t="inlineStr">
        <is>
          <t>Orthopedics</t>
        </is>
      </c>
      <c r="D124" s="7" t="inlineStr">
        <is>
          <t>36-50</t>
        </is>
      </c>
      <c r="E124" s="7" t="inlineStr">
        <is>
          <t>COPD</t>
        </is>
      </c>
      <c r="F124" s="7" t="inlineStr">
        <is>
          <t>Transfer</t>
        </is>
      </c>
      <c r="G124" s="7" t="n">
        <v>11</v>
      </c>
      <c r="H124" s="7" t="inlineStr">
        <is>
          <t>Yes</t>
        </is>
      </c>
      <c r="I124" s="7" t="inlineStr">
        <is>
          <t>Yes</t>
        </is>
      </c>
      <c r="J124" s="7" t="inlineStr">
        <is>
          <t>No</t>
        </is>
      </c>
      <c r="K124" s="11" t="n">
        <v>33255</v>
      </c>
      <c r="L124" s="7" t="inlineStr">
        <is>
          <t>Self Pay</t>
        </is>
      </c>
      <c r="M124" s="11" t="n">
        <v>0</v>
      </c>
    </row>
  </sheetData>
  <mergeCells count="2">
    <mergeCell ref="A2:M2"/>
    <mergeCell ref="A1:M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31"/>
  <sheetViews>
    <sheetView showGridLines="0" workbookViewId="0">
      <pane ySplit="3" topLeftCell="A4" activePane="bottomLeft" state="frozen"/>
      <selection pane="bottomLeft" activeCell="A1" sqref="A1"/>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 t="inlineStr">
        <is>
          <t>HEALTHCARE ANALYSIS — ACTIVITY TRACK</t>
        </is>
      </c>
    </row>
    <row r="2"/>
    <row r="3">
      <c r="A3" s="4" t="inlineStr">
        <is>
          <t>PART A — DATA UNDERSTANDING</t>
        </is>
      </c>
    </row>
    <row r="4">
      <c r="A4" s="12" t="inlineStr">
        <is>
          <t>Task</t>
        </is>
      </c>
      <c r="B4" s="12" t="inlineStr">
        <is>
          <t>What you must do</t>
        </is>
      </c>
      <c r="C4" s="12" t="inlineStr">
        <is>
          <t>Your answer</t>
        </is>
      </c>
    </row>
    <row r="5">
      <c r="A5" s="7" t="inlineStr">
        <is>
          <t>1</t>
        </is>
      </c>
      <c r="B5" s="7" t="inlineStr">
        <is>
          <t>Explain what '30-Day Readmission' means.</t>
        </is>
      </c>
      <c r="C5" s="7" t="inlineStr"/>
    </row>
    <row r="6">
      <c r="A6" s="7" t="inlineStr">
        <is>
          <t>2</t>
        </is>
      </c>
      <c r="B6" s="7" t="inlineStr">
        <is>
          <t>Identify the KPI denominator for readmission rate.</t>
        </is>
      </c>
      <c r="C6" s="7" t="inlineStr"/>
    </row>
    <row r="7">
      <c r="A7" s="7" t="inlineStr">
        <is>
          <t>3</t>
        </is>
      </c>
      <c r="B7" s="7" t="inlineStr">
        <is>
          <t>List 5 dimensions you can use to segment patients.</t>
        </is>
      </c>
      <c r="C7" s="7" t="inlineStr"/>
    </row>
    <row r="8">
      <c r="A8" s="7" t="inlineStr">
        <is>
          <t>4</t>
        </is>
      </c>
      <c r="B8" s="7" t="inlineStr">
        <is>
          <t>Identify 2 fields that could create data-quality problems.</t>
        </is>
      </c>
      <c r="C8" s="7" t="inlineStr"/>
    </row>
    <row r="9"/>
    <row r="10">
      <c r="A10" s="6" t="inlineStr">
        <is>
          <t>PART B — ANALYSIS</t>
        </is>
      </c>
    </row>
    <row r="11">
      <c r="A11" s="9" t="inlineStr">
        <is>
          <t>Task</t>
        </is>
      </c>
      <c r="B11" s="9" t="inlineStr">
        <is>
          <t>Analysis</t>
        </is>
      </c>
      <c r="C11" s="9" t="inlineStr">
        <is>
          <t>Suggested Excel approach</t>
        </is>
      </c>
      <c r="D11" s="9" t="inlineStr">
        <is>
          <t>Your finding</t>
        </is>
      </c>
    </row>
    <row r="12">
      <c r="A12" s="7" t="inlineStr">
        <is>
          <t>5</t>
        </is>
      </c>
      <c r="B12" s="7" t="inlineStr">
        <is>
          <t>Overall readmission rate</t>
        </is>
      </c>
      <c r="C12" s="7" t="inlineStr">
        <is>
          <t>COUNTIF / COUNTIFS</t>
        </is>
      </c>
      <c r="D12" s="7" t="inlineStr"/>
    </row>
    <row r="13">
      <c r="A13" s="7" t="inlineStr">
        <is>
          <t>6</t>
        </is>
      </c>
      <c r="B13" s="7" t="inlineStr">
        <is>
          <t>Department readmission rate</t>
        </is>
      </c>
      <c r="C13" s="7" t="inlineStr">
        <is>
          <t>PivotTable or COUNTIFS</t>
        </is>
      </c>
      <c r="D13" s="7" t="inlineStr"/>
    </row>
    <row r="14">
      <c r="A14" s="7" t="inlineStr">
        <is>
          <t>7</t>
        </is>
      </c>
      <c r="B14" s="7" t="inlineStr">
        <is>
          <t>Diagnosis readmission rate</t>
        </is>
      </c>
      <c r="C14" s="7" t="inlineStr">
        <is>
          <t>PivotTable or COUNTIFS</t>
        </is>
      </c>
      <c r="D14" s="7" t="inlineStr"/>
    </row>
    <row r="15">
      <c r="A15" s="7" t="inlineStr">
        <is>
          <t>8</t>
        </is>
      </c>
      <c r="B15" s="7" t="inlineStr">
        <is>
          <t>Follow-up vs readmission</t>
        </is>
      </c>
      <c r="C15" s="7" t="inlineStr">
        <is>
          <t>COUNTIFS</t>
        </is>
      </c>
      <c r="D15" s="7" t="inlineStr"/>
    </row>
    <row r="16">
      <c r="A16" s="7" t="inlineStr">
        <is>
          <t>9</t>
        </is>
      </c>
      <c r="B16" s="7" t="inlineStr">
        <is>
          <t>Multiple conditions vs readmission</t>
        </is>
      </c>
      <c r="C16" s="7" t="inlineStr">
        <is>
          <t>COUNTIFS</t>
        </is>
      </c>
      <c r="D16" s="7" t="inlineStr"/>
    </row>
    <row r="17">
      <c r="A17" s="7" t="inlineStr">
        <is>
          <t>10</t>
        </is>
      </c>
      <c r="B17" s="7" t="inlineStr">
        <is>
          <t>Length-of-stay comparison</t>
        </is>
      </c>
      <c r="C17" s="7" t="inlineStr">
        <is>
          <t>AVERAGEIF / PivotTable</t>
        </is>
      </c>
      <c r="D17" s="7" t="inlineStr"/>
    </row>
    <row r="18">
      <c r="A18" s="7" t="inlineStr">
        <is>
          <t>11</t>
        </is>
      </c>
      <c r="B18" s="7" t="inlineStr">
        <is>
          <t>Cost of readmissions</t>
        </is>
      </c>
      <c r="C18" s="7" t="inlineStr">
        <is>
          <t>SUMIF / PivotTable</t>
        </is>
      </c>
      <c r="D18" s="7" t="inlineStr"/>
    </row>
    <row r="19"/>
    <row r="20">
      <c r="A20" s="13" t="inlineStr">
        <is>
          <t>PART C — AI ANALYST TRACK</t>
        </is>
      </c>
    </row>
    <row r="21">
      <c r="A21" s="14" t="inlineStr">
        <is>
          <t>Step</t>
        </is>
      </c>
      <c r="B21" s="14" t="inlineStr">
        <is>
          <t>Prompt / task</t>
        </is>
      </c>
      <c r="C21" s="14" t="inlineStr">
        <is>
          <t>Expected output</t>
        </is>
      </c>
      <c r="D21" s="14" t="inlineStr">
        <is>
          <t>Your validation</t>
        </is>
      </c>
    </row>
    <row r="22">
      <c r="A22" s="7" t="inlineStr">
        <is>
          <t>1</t>
        </is>
      </c>
      <c r="B22" s="7" t="inlineStr">
        <is>
          <t>Ask AI to identify 5 possible drivers of readmission from the available fields.</t>
        </is>
      </c>
      <c r="C22" s="7" t="inlineStr">
        <is>
          <t>5 testable hypotheses</t>
        </is>
      </c>
      <c r="D22" s="7" t="inlineStr">
        <is>
          <t>Check every hypothesis against data.</t>
        </is>
      </c>
    </row>
    <row r="23">
      <c r="A23" s="7" t="inlineStr">
        <is>
          <t>2</t>
        </is>
      </c>
      <c r="B23" s="7" t="inlineStr">
        <is>
          <t>Ask AI which KPIs should be used to compare departments fairly.</t>
        </is>
      </c>
      <c r="C23" s="7" t="inlineStr">
        <is>
          <t>KPI definitions + formulas</t>
        </is>
      </c>
      <c r="D23" s="7" t="inlineStr">
        <is>
          <t>Confirm denominator and population.</t>
        </is>
      </c>
    </row>
    <row r="24">
      <c r="A24" s="7" t="inlineStr">
        <is>
          <t>3</t>
        </is>
      </c>
      <c r="B24" s="7" t="inlineStr">
        <is>
          <t>Ask AI to challenge your strongest finding.</t>
        </is>
      </c>
      <c r="C24" s="7" t="inlineStr">
        <is>
          <t>Alternative explanations</t>
        </is>
      </c>
      <c r="D24" s="7" t="inlineStr">
        <is>
          <t>Test alternatives.</t>
        </is>
      </c>
    </row>
    <row r="25">
      <c r="A25" s="7" t="inlineStr">
        <is>
          <t>4</t>
        </is>
      </c>
      <c r="B25" s="7" t="inlineStr">
        <is>
          <t>Ask AI for 3 possible actions to reduce readmissions.</t>
        </is>
      </c>
      <c r="C25" s="7" t="inlineStr">
        <is>
          <t>Action ideas + expected metric impact</t>
        </is>
      </c>
      <c r="D25" s="7" t="inlineStr">
        <is>
          <t>Do not accept unsupported claims.</t>
        </is>
      </c>
    </row>
    <row r="26"/>
    <row r="27">
      <c r="A27" s="15" t="inlineStr">
        <is>
          <t>PART D — EXECUTIVE ANSWER</t>
        </is>
      </c>
    </row>
    <row r="28">
      <c r="A28" s="16" t="inlineStr">
        <is>
          <t>Write a 5-part answer: 1) What is happening? 2) Where is it happening? 3) What evidence explains it? 4) What should be tested next? 5) What action would you recommend?</t>
        </is>
      </c>
    </row>
    <row r="29"/>
    <row r="30"/>
    <row r="31"/>
  </sheetData>
  <mergeCells count="6">
    <mergeCell ref="A3:H3"/>
    <mergeCell ref="A28:H31"/>
    <mergeCell ref="A20:H20"/>
    <mergeCell ref="A10:H10"/>
    <mergeCell ref="A1:H1"/>
    <mergeCell ref="A27:H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
  <sheetViews>
    <sheetView showGridLines="0" workbookViewId="0">
      <pane ySplit="3" topLeftCell="A4" activePane="bottomLeft" state="frozen"/>
      <selection pane="bottomLeft" activeCell="A1" sqref="A1"/>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 width="23" customWidth="1" min="7" max="7"/>
    <col width="23" customWidth="1" min="8" max="8"/>
    <col width="23" customWidth="1" min="9" max="9"/>
  </cols>
  <sheetData>
    <row r="1">
      <c r="A1" s="1" t="inlineStr">
        <is>
          <t>HEALTHCARE — MODEL SOLUTION &amp; EXPLANATION</t>
        </is>
      </c>
    </row>
    <row r="2"/>
    <row r="3">
      <c r="A3" s="4" t="inlineStr">
        <is>
          <t>1. CORE KPIs</t>
        </is>
      </c>
    </row>
    <row r="4">
      <c r="A4" s="12" t="inlineStr">
        <is>
          <t>KPI</t>
        </is>
      </c>
      <c r="B4" s="12" t="inlineStr">
        <is>
          <t>Formula logic</t>
        </is>
      </c>
      <c r="C4" s="12" t="inlineStr">
        <is>
          <t>Why it matters</t>
        </is>
      </c>
      <c r="D4" s="12" t="inlineStr">
        <is>
          <t>Interpretation</t>
        </is>
      </c>
    </row>
    <row r="5">
      <c r="A5" s="7" t="inlineStr">
        <is>
          <t>Total Patients</t>
        </is>
      </c>
      <c r="B5" s="7" t="inlineStr">
        <is>
          <t>COUNTA(Patient ID)</t>
        </is>
      </c>
      <c r="C5" s="7" t="inlineStr">
        <is>
          <t>Population size</t>
        </is>
      </c>
      <c r="D5" s="7" t="inlineStr">
        <is>
          <t>Base denominator for the analysis.</t>
        </is>
      </c>
    </row>
    <row r="6">
      <c r="A6" s="7" t="inlineStr">
        <is>
          <t>Readmissions</t>
        </is>
      </c>
      <c r="B6" s="7" t="inlineStr">
        <is>
          <t>COUNTIF(30-Day Readmission,"Yes")</t>
        </is>
      </c>
      <c r="C6" s="7" t="inlineStr">
        <is>
          <t>Number of readmitted patients</t>
        </is>
      </c>
      <c r="D6" s="7" t="inlineStr">
        <is>
          <t>Absolute burden.</t>
        </is>
      </c>
    </row>
    <row r="7">
      <c r="A7" s="7" t="inlineStr">
        <is>
          <t>Readmission Rate</t>
        </is>
      </c>
      <c r="B7" s="7" t="inlineStr">
        <is>
          <t>Readmissions / Total Patients</t>
        </is>
      </c>
      <c r="C7" s="7" t="inlineStr">
        <is>
          <t>Fair comparison across groups</t>
        </is>
      </c>
      <c r="D7" s="7" t="inlineStr">
        <is>
          <t>Primary KPI.</t>
        </is>
      </c>
    </row>
    <row r="8">
      <c r="A8" s="7" t="inlineStr">
        <is>
          <t>Average Length of Stay</t>
        </is>
      </c>
      <c r="B8" s="7" t="inlineStr">
        <is>
          <t>AVERAGE(Length of Stay)</t>
        </is>
      </c>
      <c r="C8" s="7" t="inlineStr">
        <is>
          <t>Resource / complexity signal</t>
        </is>
      </c>
      <c r="D8" s="7" t="inlineStr">
        <is>
          <t>Compare readmitted vs non-readmitted.</t>
        </is>
      </c>
    </row>
    <row r="9">
      <c r="A9" s="7" t="inlineStr">
        <is>
          <t>Follow-up Completion</t>
        </is>
      </c>
      <c r="B9" s="7" t="inlineStr">
        <is>
          <t>COUNTIF(Follow-up,"Yes") / Total</t>
        </is>
      </c>
      <c r="C9" s="7" t="inlineStr">
        <is>
          <t>Post-discharge care signal</t>
        </is>
      </c>
      <c r="D9" s="7" t="inlineStr">
        <is>
          <t>Compare with readmission rate.</t>
        </is>
      </c>
    </row>
    <row r="10">
      <c r="A10" s="7" t="inlineStr">
        <is>
          <t>Readmission Cost</t>
        </is>
      </c>
      <c r="B10" s="7" t="inlineStr">
        <is>
          <t>SUMIF(Readmission,"Yes",Readmission Cost)</t>
        </is>
      </c>
      <c r="C10" s="7" t="inlineStr">
        <is>
          <t>Financial impact</t>
        </is>
      </c>
      <c r="D10" s="7" t="inlineStr">
        <is>
          <t>Quantifies avoidable-looking burden for further investigation.</t>
        </is>
      </c>
    </row>
    <row r="11"/>
    <row r="12"/>
    <row r="13">
      <c r="A13" s="6" t="inlineStr">
        <is>
          <t>2. MODEL FINDINGS TO TEST</t>
        </is>
      </c>
    </row>
    <row r="14">
      <c r="A14" s="9" t="inlineStr">
        <is>
          <t>Area</t>
        </is>
      </c>
      <c r="B14" s="9" t="inlineStr">
        <is>
          <t>Expected pattern in designed dataset</t>
        </is>
      </c>
      <c r="C14" s="9" t="inlineStr">
        <is>
          <t>Why</t>
        </is>
      </c>
      <c r="D14" s="9" t="inlineStr">
        <is>
          <t>What to validate</t>
        </is>
      </c>
    </row>
    <row r="15">
      <c r="A15" s="7" t="inlineStr">
        <is>
          <t>Department</t>
        </is>
      </c>
      <c r="B15" s="7" t="inlineStr">
        <is>
          <t>Cardiology / Pulmonology may be higher</t>
        </is>
      </c>
      <c r="C15" s="7" t="inlineStr">
        <is>
          <t>Dataset intentionally adds risk signals</t>
        </is>
      </c>
      <c r="D15" s="7" t="inlineStr">
        <is>
          <t>Calculate department-specific rates.</t>
        </is>
      </c>
    </row>
    <row r="16">
      <c r="A16" s="7" t="inlineStr">
        <is>
          <t>Diagnosis</t>
        </is>
      </c>
      <c r="B16" s="7" t="inlineStr">
        <is>
          <t>Heart Failure / COPD may be higher</t>
        </is>
      </c>
      <c r="C16" s="7" t="inlineStr">
        <is>
          <t>Risk weighting in dataset</t>
        </is>
      </c>
      <c r="D16" s="7" t="inlineStr">
        <is>
          <t>Compare rates with sufficient sample size.</t>
        </is>
      </c>
    </row>
    <row r="17">
      <c r="A17" s="7" t="inlineStr">
        <is>
          <t>Follow-up</t>
        </is>
      </c>
      <c r="B17" s="7" t="inlineStr">
        <is>
          <t>No follow-up may show higher readmission</t>
        </is>
      </c>
      <c r="C17" s="7" t="inlineStr">
        <is>
          <t>Dataset includes a risk signal</t>
        </is>
      </c>
      <c r="D17" s="7" t="inlineStr">
        <is>
          <t>Control for other factors before claiming causality.</t>
        </is>
      </c>
    </row>
    <row r="18">
      <c r="A18" s="7" t="inlineStr">
        <is>
          <t>Multiple conditions</t>
        </is>
      </c>
      <c r="B18" s="7" t="inlineStr">
        <is>
          <t>Yes may show higher readmission</t>
        </is>
      </c>
      <c r="C18" s="7" t="inlineStr">
        <is>
          <t>Comorbidity signal</t>
        </is>
      </c>
      <c r="D18" s="7" t="inlineStr">
        <is>
          <t>Compare segment rates.</t>
        </is>
      </c>
    </row>
    <row r="19">
      <c r="A19" s="7" t="inlineStr">
        <is>
          <t>Length of stay</t>
        </is>
      </c>
      <c r="B19" s="7" t="inlineStr">
        <is>
          <t>Longer stays may correlate with readmission</t>
        </is>
      </c>
      <c r="C19" s="7" t="inlineStr">
        <is>
          <t>Designed risk factor</t>
        </is>
      </c>
      <c r="D19" s="7" t="inlineStr">
        <is>
          <t>Correlation is not causation.</t>
        </is>
      </c>
    </row>
    <row r="20">
      <c r="A20" s="7" t="inlineStr">
        <is>
          <t>Cost</t>
        </is>
      </c>
      <c r="B20" s="7" t="inlineStr">
        <is>
          <t>Readmitted patients carry additional cost</t>
        </is>
      </c>
      <c r="C20" s="7" t="inlineStr">
        <is>
          <t>Readmission cost field</t>
        </is>
      </c>
      <c r="D20" s="7" t="inlineStr">
        <is>
          <t>Quantify financial impact.</t>
        </is>
      </c>
    </row>
    <row r="21"/>
    <row r="22"/>
    <row r="23">
      <c r="A23" s="13" t="inlineStr">
        <is>
          <t>3. SAMPLE EXCEL FORMULAS</t>
        </is>
      </c>
    </row>
    <row r="24">
      <c r="A24" s="14" t="inlineStr">
        <is>
          <t>Purpose</t>
        </is>
      </c>
      <c r="B24" s="14" t="inlineStr">
        <is>
          <t>Example formula</t>
        </is>
      </c>
      <c r="C24" s="14" t="inlineStr">
        <is>
          <t>What it does</t>
        </is>
      </c>
    </row>
    <row r="25">
      <c r="A25" s="7" t="inlineStr">
        <is>
          <t>Overall readmissions</t>
        </is>
      </c>
      <c r="B25" s="7">
        <f>COUNTIF(Healthcare_Practice!J5:J124,"Yes")</f>
        <v/>
      </c>
      <c r="C25" s="7" t="inlineStr">
        <is>
          <t>Counts readmitted patients.</t>
        </is>
      </c>
    </row>
    <row r="26">
      <c r="A26" s="7" t="inlineStr">
        <is>
          <t>Overall readmission rate</t>
        </is>
      </c>
      <c r="B26" s="7">
        <f>COUNTIF(Healthcare_Practice!J5:J124,"Yes")/COUNTA(Healthcare_Practice!A5:A124)</f>
        <v/>
      </c>
      <c r="C26" s="7" t="inlineStr">
        <is>
          <t>Calculates the rate.</t>
        </is>
      </c>
    </row>
    <row r="27">
      <c r="A27" s="7" t="inlineStr">
        <is>
          <t>Cardiology readmissions</t>
        </is>
      </c>
      <c r="B27" s="7">
        <f>COUNTIFS(Healthcare_Practice!C5:C124,"Cardiology",Healthcare_Practice!J5:J124,"Yes")</f>
        <v/>
      </c>
      <c r="C27" s="7" t="inlineStr">
        <is>
          <t>Counts Cardiology readmissions.</t>
        </is>
      </c>
    </row>
    <row r="28">
      <c r="A28" s="7" t="inlineStr">
        <is>
          <t>No follow-up + readmission</t>
        </is>
      </c>
      <c r="B28" s="7">
        <f>COUNTIFS(Healthcare_Practice!I5:I124,"No",Healthcare_Practice!J5:J124,"Yes")</f>
        <v/>
      </c>
      <c r="C28" s="7" t="inlineStr">
        <is>
          <t>Tests a potential risk segment.</t>
        </is>
      </c>
    </row>
    <row r="29">
      <c r="A29" s="7" t="inlineStr">
        <is>
          <t>Readmission cost</t>
        </is>
      </c>
      <c r="B29" s="7">
        <f>SUMIF(Healthcare_Practice!J5:J124,"Yes",Healthcare_Practice!M5:M124)</f>
        <v/>
      </c>
      <c r="C29" s="7" t="inlineStr">
        <is>
          <t>Adds readmission cost.</t>
        </is>
      </c>
    </row>
    <row r="30"/>
    <row r="31"/>
    <row r="32">
      <c r="A32" s="15" t="inlineStr">
        <is>
          <t>4. PROFESSIONAL INTERPRETATION</t>
        </is>
      </c>
    </row>
    <row r="33">
      <c r="A33" s="16" t="inlineStr">
        <is>
          <t>Do not conclude that a factor 'causes' readmission simply because its rate is higher. First check sample size, compare appropriate groups, investigate confounders, and validate the pattern across time. AI can help generate hypotheses and analysis ideas, but the Excel data must support the final statement.</t>
        </is>
      </c>
    </row>
    <row r="34"/>
    <row r="35"/>
    <row r="36"/>
    <row r="37"/>
  </sheetData>
  <mergeCells count="6">
    <mergeCell ref="A33:I37"/>
    <mergeCell ref="A32:I32"/>
    <mergeCell ref="A13:I13"/>
    <mergeCell ref="A1:I1"/>
    <mergeCell ref="A23:I23"/>
    <mergeCell ref="A3:I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showGridLines="0" workbookViewId="0">
      <pane ySplit="3" topLeftCell="A4" activePane="bottomLeft" state="frozen"/>
      <selection pane="bottomLeft" activeCell="A1" sqref="A1"/>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 width="23" customWidth="1" min="7" max="7"/>
  </cols>
  <sheetData>
    <row r="1">
      <c r="A1" s="1" t="inlineStr">
        <is>
          <t>AI PROMPTS — HEALTHCARE ANALYTICS</t>
        </is>
      </c>
    </row>
    <row r="2"/>
    <row r="3">
      <c r="A3" s="9" t="inlineStr">
        <is>
          <t>Stage</t>
        </is>
      </c>
      <c r="B3" s="9" t="inlineStr">
        <is>
          <t>Prompt</t>
        </is>
      </c>
      <c r="C3" s="9" t="inlineStr">
        <is>
          <t>What good output looks like</t>
        </is>
      </c>
      <c r="D3" s="9" t="inlineStr">
        <is>
          <t>Validation rule</t>
        </is>
      </c>
    </row>
    <row r="4">
      <c r="A4" s="7" t="inlineStr">
        <is>
          <t>Understand</t>
        </is>
      </c>
      <c r="B4" s="7" t="inlineStr">
        <is>
          <t>Explain this healthcare dataset and flag fields that need careful interpretation.</t>
        </is>
      </c>
      <c r="C4" s="7" t="inlineStr">
        <is>
          <t>Clear field definitions + ambiguity list.</t>
        </is>
      </c>
      <c r="D4" s="7" t="inlineStr">
        <is>
          <t>Verify against data dictionary.</t>
        </is>
      </c>
    </row>
    <row r="5">
      <c r="A5" s="7" t="inlineStr">
        <is>
          <t>Explore</t>
        </is>
      </c>
      <c r="B5" s="7" t="inlineStr">
        <is>
          <t>Generate 7 analytical questions for 30-day readmission.</t>
        </is>
      </c>
      <c r="C5" s="7" t="inlineStr">
        <is>
          <t>Questions grouped by department, diagnosis, patient, care and cost.</t>
        </is>
      </c>
      <c r="D5" s="7" t="inlineStr">
        <is>
          <t>Keep only answerable questions.</t>
        </is>
      </c>
    </row>
    <row r="6">
      <c r="A6" s="7" t="inlineStr">
        <is>
          <t>Hypotheses</t>
        </is>
      </c>
      <c r="B6" s="7" t="inlineStr">
        <is>
          <t>Generate 5 testable hypotheses for readmission drivers using only available fields.</t>
        </is>
      </c>
      <c r="C6" s="7" t="inlineStr">
        <is>
          <t>Hypothesis + evidence required.</t>
        </is>
      </c>
      <c r="D6" s="7" t="inlineStr">
        <is>
          <t>No invented variables.</t>
        </is>
      </c>
    </row>
    <row r="7">
      <c r="A7" s="7" t="inlineStr">
        <is>
          <t>Analyze</t>
        </is>
      </c>
      <c r="B7" s="7" t="inlineStr">
        <is>
          <t>Suggest Excel formulas or PivotTables to compare readmission rates by department and diagnosis.</t>
        </is>
      </c>
      <c r="C7" s="7" t="inlineStr">
        <is>
          <t>Correct formulas / aggregation logic.</t>
        </is>
      </c>
      <c r="D7" s="7" t="inlineStr">
        <is>
          <t>Check denominators.</t>
        </is>
      </c>
    </row>
    <row r="8">
      <c r="A8" s="7" t="inlineStr">
        <is>
          <t>Challenge</t>
        </is>
      </c>
      <c r="B8" s="7" t="inlineStr">
        <is>
          <t>Here is my finding: [paste]. Challenge it with alternative explanations.</t>
        </is>
      </c>
      <c r="C8" s="7" t="inlineStr">
        <is>
          <t>Skeptical review.</t>
        </is>
      </c>
      <c r="D8" s="7" t="inlineStr">
        <is>
          <t>Test alternatives with data.</t>
        </is>
      </c>
    </row>
    <row r="9">
      <c r="A9" s="7" t="inlineStr">
        <is>
          <t>Action</t>
        </is>
      </c>
      <c r="B9" s="7" t="inlineStr">
        <is>
          <t>Suggest operational actions based only on validated findings.</t>
        </is>
      </c>
      <c r="C9" s="7" t="inlineStr">
        <is>
          <t>Action + KPI to monitor.</t>
        </is>
      </c>
      <c r="D9" s="7" t="inlineStr">
        <is>
          <t>Separate evidence from assumptions.</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s>
  <sheetData>
    <row r="1">
      <c r="A1" s="1" t="inlineStr">
        <is>
          <t>CHAPTER 2 — MASTERY CHECKLIST</t>
        </is>
      </c>
    </row>
    <row r="2"/>
    <row r="3">
      <c r="A3" s="12" t="inlineStr">
        <is>
          <t>Capability</t>
        </is>
      </c>
      <c r="B3" s="12" t="inlineStr">
        <is>
          <t>Done?</t>
        </is>
      </c>
      <c r="C3" s="12" t="inlineStr">
        <is>
          <t>Evidence / Notes</t>
        </is>
      </c>
    </row>
    <row r="4">
      <c r="A4" s="7" t="inlineStr">
        <is>
          <t>Explain the dataset and business problem</t>
        </is>
      </c>
      <c r="B4" s="7" t="inlineStr">
        <is>
          <t>☐</t>
        </is>
      </c>
      <c r="C4" s="7" t="inlineStr"/>
    </row>
    <row r="5">
      <c r="A5" s="7" t="inlineStr">
        <is>
          <t>Check data quality before analysis</t>
        </is>
      </c>
      <c r="B5" s="7" t="inlineStr">
        <is>
          <t>☐</t>
        </is>
      </c>
      <c r="C5" s="7" t="inlineStr"/>
    </row>
    <row r="6">
      <c r="A6" s="7" t="inlineStr">
        <is>
          <t>Calculate and interpret readmission rate</t>
        </is>
      </c>
      <c r="B6" s="7" t="inlineStr">
        <is>
          <t>☐</t>
        </is>
      </c>
      <c r="C6" s="7" t="inlineStr"/>
    </row>
    <row r="7">
      <c r="A7" s="7" t="inlineStr">
        <is>
          <t>Compare departments and diagnoses</t>
        </is>
      </c>
      <c r="B7" s="7" t="inlineStr">
        <is>
          <t>☐</t>
        </is>
      </c>
      <c r="C7" s="7" t="inlineStr"/>
    </row>
    <row r="8">
      <c r="A8" s="7" t="inlineStr">
        <is>
          <t>Segment by follow-up, conditions and age</t>
        </is>
      </c>
      <c r="B8" s="7" t="inlineStr">
        <is>
          <t>☐</t>
        </is>
      </c>
      <c r="C8" s="7" t="inlineStr"/>
    </row>
    <row r="9">
      <c r="A9" s="7" t="inlineStr">
        <is>
          <t>Use Excel formulas / PivotTables for analysis</t>
        </is>
      </c>
      <c r="B9" s="7" t="inlineStr">
        <is>
          <t>☐</t>
        </is>
      </c>
      <c r="C9" s="7" t="inlineStr"/>
    </row>
    <row r="10">
      <c r="A10" s="7" t="inlineStr">
        <is>
          <t>Generate AI hypotheses</t>
        </is>
      </c>
      <c r="B10" s="7" t="inlineStr">
        <is>
          <t>☐</t>
        </is>
      </c>
      <c r="C10" s="7" t="inlineStr"/>
    </row>
    <row r="11">
      <c r="A11" s="7" t="inlineStr">
        <is>
          <t>Validate AI suggestions with data</t>
        </is>
      </c>
      <c r="B11" s="7" t="inlineStr">
        <is>
          <t>☐</t>
        </is>
      </c>
      <c r="C11" s="7" t="inlineStr"/>
    </row>
    <row r="12">
      <c r="A12" s="7" t="inlineStr">
        <is>
          <t>Distinguish correlation from causation</t>
        </is>
      </c>
      <c r="B12" s="7" t="inlineStr">
        <is>
          <t>☐</t>
        </is>
      </c>
      <c r="C12" s="7" t="inlineStr"/>
    </row>
    <row r="13">
      <c r="A13" s="7" t="inlineStr">
        <is>
          <t>Write an evidence-backed recommendation</t>
        </is>
      </c>
      <c r="B13" s="7" t="inlineStr">
        <is>
          <t>☐</t>
        </is>
      </c>
      <c r="C13" s="7"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Level 5 Chapter 2 — AI-Powered Data &amp; Analytics Healthcare Practice</dc:title>
  <dcterms:created xmlns:dcterms="http://purl.org/dc/terms/" xmlns:xsi="http://www.w3.org/2001/XMLSchema-instance" xsi:type="dcterms:W3CDTF">2026-08-25T13:37:37Z</dcterms:created>
  <dcterms:modified xmlns:dcterms="http://purl.org/dc/terms/" xmlns:xsi="http://www.w3.org/2001/XMLSchema-instance" xsi:type="dcterms:W3CDTF">2026-08-25T13:37:37Z</dcterms:modified>
</cp:coreProperties>
</file>