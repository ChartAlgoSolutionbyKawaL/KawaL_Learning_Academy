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Solutions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1B5E20"/>
    </font>
    <font>
      <b val="1"/>
      <color rgb="001B5E20"/>
    </font>
    <font>
      <b val="1"/>
      <color rgb="00FFFFFF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F2CC"/>
      </patternFill>
    </fill>
    <fill>
      <patternFill patternType="solid">
        <fgColor rgb="00E65100"/>
      </patternFill>
    </fill>
    <fill>
      <patternFill patternType="solid">
        <fgColor rgb="00C6282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0" pivotButton="0" quotePrefix="0" xfId="0"/>
    <xf numFmtId="0" fontId="6" fillId="5" borderId="1" applyAlignment="1" pivotButton="0" quotePrefix="0" xfId="0">
      <alignment vertical="center" wrapText="1"/>
    </xf>
    <xf numFmtId="0" fontId="4" fillId="6" borderId="0" pivotButton="0" quotePrefix="0" xfId="0"/>
    <xf numFmtId="0" fontId="4" fillId="7" borderId="0" pivotButton="0" quotePrefix="0" xfId="0"/>
    <xf numFmtId="0" fontId="4" fillId="2" borderId="0" pivotButton="0" quotePrefix="0" xfId="0"/>
    <xf numFmtId="0" fontId="3" fillId="8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Level 2 — Intermediate Excel | COUNTIFS Practice</t>
        </is>
      </c>
    </row>
    <row r="2">
      <c r="A2" s="2" t="inlineStr">
        <is>
          <t>Real-world multi-condition counting | Complete yellow cells, then check Solutions.</t>
        </is>
      </c>
    </row>
    <row r="3"/>
    <row r="4">
      <c r="A4" s="3" t="inlineStr">
        <is>
          <t>Learning workflow</t>
        </is>
      </c>
    </row>
    <row r="5">
      <c r="A5" t="inlineStr">
        <is>
          <t>1. Complete Practice first.</t>
        </is>
      </c>
    </row>
    <row r="6">
      <c r="A6" t="inlineStr">
        <is>
          <t>2. COUNTIFS counts rows only when ALL conditions are TRUE.</t>
        </is>
      </c>
    </row>
    <row r="7">
      <c r="A7" t="inlineStr">
        <is>
          <t>3. Use text criteria such as "North" and numeric criteria such as "&gt;1000".</t>
        </is>
      </c>
    </row>
    <row r="8">
      <c r="A8" t="inlineStr">
        <is>
          <t>4. Check both your formula and your result in Solutions.</t>
        </is>
      </c>
    </row>
    <row r="9"/>
    <row r="10"/>
    <row r="11">
      <c r="A11" s="4" t="inlineStr">
        <is>
          <t>REAL-WORLD EXAMPLE 1 — SALES ORDERS</t>
        </is>
      </c>
    </row>
    <row r="12">
      <c r="A12" s="5" t="inlineStr">
        <is>
          <t>Order ID</t>
        </is>
      </c>
      <c r="B12" s="5" t="inlineStr">
        <is>
          <t>Date</t>
        </is>
      </c>
      <c r="C12" s="5" t="inlineStr">
        <is>
          <t>Product</t>
        </is>
      </c>
      <c r="D12" s="5" t="inlineStr">
        <is>
          <t>Region</t>
        </is>
      </c>
      <c r="E12" s="5" t="inlineStr">
        <is>
          <t>Amount (₹)</t>
        </is>
      </c>
      <c r="F12" s="5" t="inlineStr">
        <is>
          <t>Status</t>
        </is>
      </c>
      <c r="G12" s="5" t="inlineStr">
        <is>
          <t>Salesperson</t>
        </is>
      </c>
      <c r="H12" s="5" t="inlineStr">
        <is>
          <t>Channel</t>
        </is>
      </c>
    </row>
    <row r="13">
      <c r="A13" s="6" t="n">
        <v>1001</v>
      </c>
      <c r="B13" s="6" t="inlineStr">
        <is>
          <t>01-Jun-2026</t>
        </is>
      </c>
      <c r="C13" s="6" t="inlineStr">
        <is>
          <t>Pen</t>
        </is>
      </c>
      <c r="D13" s="6" t="inlineStr">
        <is>
          <t>North</t>
        </is>
      </c>
      <c r="E13" s="6" t="n">
        <v>1200</v>
      </c>
      <c r="F13" s="6" t="inlineStr">
        <is>
          <t>Completed</t>
        </is>
      </c>
      <c r="G13" s="6" t="inlineStr">
        <is>
          <t>Ravi</t>
        </is>
      </c>
      <c r="H13" s="6" t="inlineStr">
        <is>
          <t>Retail</t>
        </is>
      </c>
    </row>
    <row r="14">
      <c r="A14" s="6" t="n">
        <v>1002</v>
      </c>
      <c r="B14" s="6" t="inlineStr">
        <is>
          <t>01-Jun-2026</t>
        </is>
      </c>
      <c r="C14" s="6" t="inlineStr">
        <is>
          <t>Notebook</t>
        </is>
      </c>
      <c r="D14" s="6" t="inlineStr">
        <is>
          <t>South</t>
        </is>
      </c>
      <c r="E14" s="6" t="n">
        <v>2500</v>
      </c>
      <c r="F14" s="6" t="inlineStr">
        <is>
          <t>Completed</t>
        </is>
      </c>
      <c r="G14" s="6" t="inlineStr">
        <is>
          <t>Priya</t>
        </is>
      </c>
      <c r="H14" s="6" t="inlineStr">
        <is>
          <t>Online</t>
        </is>
      </c>
    </row>
    <row r="15">
      <c r="A15" s="6" t="n">
        <v>1003</v>
      </c>
      <c r="B15" s="6" t="inlineStr">
        <is>
          <t>02-Jun-2026</t>
        </is>
      </c>
      <c r="C15" s="6" t="inlineStr">
        <is>
          <t>Pen</t>
        </is>
      </c>
      <c r="D15" s="6" t="inlineStr">
        <is>
          <t>North</t>
        </is>
      </c>
      <c r="E15" s="6" t="n">
        <v>800</v>
      </c>
      <c r="F15" s="6" t="inlineStr">
        <is>
          <t>Completed</t>
        </is>
      </c>
      <c r="G15" s="6" t="inlineStr">
        <is>
          <t>Ravi</t>
        </is>
      </c>
      <c r="H15" s="6" t="inlineStr">
        <is>
          <t>Retail</t>
        </is>
      </c>
    </row>
    <row r="16">
      <c r="A16" s="6" t="n">
        <v>1004</v>
      </c>
      <c r="B16" s="6" t="inlineStr">
        <is>
          <t>02-Jun-2026</t>
        </is>
      </c>
      <c r="C16" s="6" t="inlineStr">
        <is>
          <t>Pencil</t>
        </is>
      </c>
      <c r="D16" s="6" t="inlineStr">
        <is>
          <t>East</t>
        </is>
      </c>
      <c r="E16" s="6" t="n">
        <v>600</v>
      </c>
      <c r="F16" s="6" t="inlineStr">
        <is>
          <t>Cancelled</t>
        </is>
      </c>
      <c r="G16" s="6" t="inlineStr">
        <is>
          <t>Amit</t>
        </is>
      </c>
      <c r="H16" s="6" t="inlineStr">
        <is>
          <t>Online</t>
        </is>
      </c>
    </row>
    <row r="17">
      <c r="A17" s="6" t="n">
        <v>1005</v>
      </c>
      <c r="B17" s="6" t="inlineStr">
        <is>
          <t>02-Jun-2026</t>
        </is>
      </c>
      <c r="C17" s="6" t="inlineStr">
        <is>
          <t>Notebook</t>
        </is>
      </c>
      <c r="D17" s="6" t="inlineStr">
        <is>
          <t>South</t>
        </is>
      </c>
      <c r="E17" s="6" t="n">
        <v>1500</v>
      </c>
      <c r="F17" s="6" t="inlineStr">
        <is>
          <t>Completed</t>
        </is>
      </c>
      <c r="G17" s="6" t="inlineStr">
        <is>
          <t>Priya</t>
        </is>
      </c>
      <c r="H17" s="6" t="inlineStr">
        <is>
          <t>Retail</t>
        </is>
      </c>
    </row>
    <row r="18">
      <c r="A18" s="6" t="n">
        <v>1006</v>
      </c>
      <c r="B18" s="6" t="inlineStr">
        <is>
          <t>03-Jun-2026</t>
        </is>
      </c>
      <c r="C18" s="6" t="inlineStr">
        <is>
          <t>Pen</t>
        </is>
      </c>
      <c r="D18" s="6" t="inlineStr">
        <is>
          <t>West</t>
        </is>
      </c>
      <c r="E18" s="6" t="n">
        <v>1000</v>
      </c>
      <c r="F18" s="6" t="inlineStr">
        <is>
          <t>Completed</t>
        </is>
      </c>
      <c r="G18" s="6" t="inlineStr">
        <is>
          <t>Neha</t>
        </is>
      </c>
      <c r="H18" s="6" t="inlineStr">
        <is>
          <t>Online</t>
        </is>
      </c>
    </row>
    <row r="19">
      <c r="A19" s="6" t="n">
        <v>1007</v>
      </c>
      <c r="B19" s="6" t="inlineStr">
        <is>
          <t>04-Jun-2026</t>
        </is>
      </c>
      <c r="C19" s="6" t="inlineStr">
        <is>
          <t>Pen</t>
        </is>
      </c>
      <c r="D19" s="6" t="inlineStr">
        <is>
          <t>South</t>
        </is>
      </c>
      <c r="E19" s="6" t="n">
        <v>700</v>
      </c>
      <c r="F19" s="6" t="inlineStr">
        <is>
          <t>Completed</t>
        </is>
      </c>
      <c r="G19" s="6" t="inlineStr">
        <is>
          <t>Ravi</t>
        </is>
      </c>
      <c r="H19" s="6" t="inlineStr">
        <is>
          <t>Retail</t>
        </is>
      </c>
    </row>
    <row r="20">
      <c r="A20" s="6" t="n">
        <v>1008</v>
      </c>
      <c r="B20" s="6" t="inlineStr">
        <is>
          <t>04-Jun-2026</t>
        </is>
      </c>
      <c r="C20" s="6" t="inlineStr">
        <is>
          <t>Pencil</t>
        </is>
      </c>
      <c r="D20" s="6" t="inlineStr">
        <is>
          <t>North</t>
        </is>
      </c>
      <c r="E20" s="6" t="n">
        <v>300</v>
      </c>
      <c r="F20" s="6" t="inlineStr">
        <is>
          <t>Completed</t>
        </is>
      </c>
      <c r="G20" s="6" t="inlineStr">
        <is>
          <t>Amit</t>
        </is>
      </c>
      <c r="H20" s="6" t="inlineStr">
        <is>
          <t>Online</t>
        </is>
      </c>
    </row>
    <row r="21">
      <c r="A21" s="6" t="n">
        <v>1009</v>
      </c>
      <c r="B21" s="6" t="inlineStr">
        <is>
          <t>05-Jun-2026</t>
        </is>
      </c>
      <c r="C21" s="6" t="inlineStr">
        <is>
          <t>Notebook</t>
        </is>
      </c>
      <c r="D21" s="6" t="inlineStr">
        <is>
          <t>North</t>
        </is>
      </c>
      <c r="E21" s="6" t="n">
        <v>1100</v>
      </c>
      <c r="F21" s="6" t="inlineStr">
        <is>
          <t>Completed</t>
        </is>
      </c>
      <c r="G21" s="6" t="inlineStr">
        <is>
          <t>Priya</t>
        </is>
      </c>
      <c r="H21" s="6" t="inlineStr">
        <is>
          <t>Retail</t>
        </is>
      </c>
    </row>
    <row r="22">
      <c r="A22" s="6" t="n">
        <v>1010</v>
      </c>
      <c r="B22" s="6" t="inlineStr">
        <is>
          <t>05-Jun-2026</t>
        </is>
      </c>
      <c r="C22" s="6" t="inlineStr">
        <is>
          <t>Pen</t>
        </is>
      </c>
      <c r="D22" s="6" t="inlineStr">
        <is>
          <t>South</t>
        </is>
      </c>
      <c r="E22" s="6" t="n">
        <v>650</v>
      </c>
      <c r="F22" s="6" t="inlineStr">
        <is>
          <t>Cancelled</t>
        </is>
      </c>
      <c r="G22" s="6" t="inlineStr">
        <is>
          <t>Ravi</t>
        </is>
      </c>
      <c r="H22" s="6" t="inlineStr">
        <is>
          <t>Online</t>
        </is>
      </c>
    </row>
    <row r="23">
      <c r="A23" s="6" t="n">
        <v>1011</v>
      </c>
      <c r="B23" s="6" t="inlineStr">
        <is>
          <t>06-Jun-2026</t>
        </is>
      </c>
      <c r="C23" s="6" t="inlineStr">
        <is>
          <t>Notebook</t>
        </is>
      </c>
      <c r="D23" s="6" t="inlineStr">
        <is>
          <t>East</t>
        </is>
      </c>
      <c r="E23" s="6" t="n">
        <v>1200</v>
      </c>
      <c r="F23" s="6" t="inlineStr">
        <is>
          <t>Completed</t>
        </is>
      </c>
      <c r="G23" s="6" t="inlineStr">
        <is>
          <t>Priya</t>
        </is>
      </c>
      <c r="H23" s="6" t="inlineStr">
        <is>
          <t>Online</t>
        </is>
      </c>
    </row>
    <row r="24">
      <c r="A24" s="6" t="n">
        <v>1012</v>
      </c>
      <c r="B24" s="6" t="inlineStr">
        <is>
          <t>06-Jun-2026</t>
        </is>
      </c>
      <c r="C24" s="6" t="inlineStr">
        <is>
          <t>Pen</t>
        </is>
      </c>
      <c r="D24" s="6" t="inlineStr">
        <is>
          <t>North</t>
        </is>
      </c>
      <c r="E24" s="6" t="n">
        <v>1400</v>
      </c>
      <c r="F24" s="6" t="inlineStr">
        <is>
          <t>Completed</t>
        </is>
      </c>
      <c r="G24" s="6" t="inlineStr">
        <is>
          <t>Ravi</t>
        </is>
      </c>
      <c r="H24" s="6" t="inlineStr">
        <is>
          <t>Online</t>
        </is>
      </c>
    </row>
    <row r="25"/>
    <row r="26">
      <c r="A26" s="7" t="inlineStr">
        <is>
          <t>COUNTIFS TASKS — SALES ORDERS</t>
        </is>
      </c>
    </row>
    <row r="27">
      <c r="A27" s="5" t="inlineStr">
        <is>
          <t>#</t>
        </is>
      </c>
      <c r="B27" s="5" t="inlineStr">
        <is>
          <t>Business Question</t>
        </is>
      </c>
      <c r="C27" s="5" t="inlineStr">
        <is>
          <t>COUNTIFS Formula</t>
        </is>
      </c>
      <c r="D27" s="5" t="inlineStr">
        <is>
          <t>Your Answer</t>
        </is>
      </c>
    </row>
    <row r="28">
      <c r="A28" s="6" t="n">
        <v>1</v>
      </c>
      <c r="B28" s="6" t="inlineStr">
        <is>
          <t>How many Completed Pen orders are in North?</t>
        </is>
      </c>
      <c r="C28" s="8" t="n"/>
      <c r="D28" s="8" t="n"/>
    </row>
    <row r="29">
      <c r="A29" s="6" t="n">
        <v>2</v>
      </c>
      <c r="B29" s="6" t="inlineStr">
        <is>
          <t>How many Completed orders are in South?</t>
        </is>
      </c>
      <c r="C29" s="8" t="n"/>
      <c r="D29" s="8" t="n"/>
    </row>
    <row r="30">
      <c r="A30" s="6" t="n">
        <v>3</v>
      </c>
      <c r="B30" s="6" t="inlineStr">
        <is>
          <t>How many Notebook orders have Amount &gt; ₹1,000?</t>
        </is>
      </c>
      <c r="C30" s="8" t="n"/>
      <c r="D30" s="8" t="n"/>
    </row>
    <row r="31">
      <c r="A31" s="6" t="n">
        <v>4</v>
      </c>
      <c r="B31" s="6" t="inlineStr">
        <is>
          <t>How many Completed orders in North have Amount &gt; ₹1,000?</t>
        </is>
      </c>
      <c r="C31" s="8" t="n"/>
      <c r="D31" s="8" t="n"/>
    </row>
    <row r="32">
      <c r="A32" s="6" t="n">
        <v>5</v>
      </c>
      <c r="B32" s="6" t="inlineStr">
        <is>
          <t>How many Cancelled orders are in South?</t>
        </is>
      </c>
      <c r="C32" s="8" t="n"/>
      <c r="D32" s="8" t="n"/>
    </row>
    <row r="33">
      <c r="A33" s="6" t="n">
        <v>6</v>
      </c>
      <c r="B33" s="6" t="inlineStr">
        <is>
          <t>How many Online orders are Completed and in North?</t>
        </is>
      </c>
      <c r="C33" s="8" t="n"/>
      <c r="D33" s="8" t="n"/>
    </row>
    <row r="34"/>
    <row r="35"/>
    <row r="36">
      <c r="A36" s="9" t="inlineStr">
        <is>
          <t>REAL-WORLD EXAMPLE 2 — EMPLOYEE ATTENDANCE</t>
        </is>
      </c>
    </row>
    <row r="37">
      <c r="A37" s="5" t="inlineStr">
        <is>
          <t>Emp ID</t>
        </is>
      </c>
      <c r="B37" s="5" t="inlineStr">
        <is>
          <t>Name</t>
        </is>
      </c>
      <c r="C37" s="5" t="inlineStr">
        <is>
          <t>Department</t>
        </is>
      </c>
      <c r="D37" s="5" t="inlineStr">
        <is>
          <t>Location</t>
        </is>
      </c>
      <c r="E37" s="5" t="inlineStr">
        <is>
          <t>Present Days</t>
        </is>
      </c>
      <c r="F37" s="5" t="inlineStr">
        <is>
          <t>Status</t>
        </is>
      </c>
      <c r="G37" s="5" t="inlineStr">
        <is>
          <t>Shift</t>
        </is>
      </c>
      <c r="H37" s="5" t="inlineStr">
        <is>
          <t>Employment</t>
        </is>
      </c>
    </row>
    <row r="38">
      <c r="A38" s="6" t="inlineStr">
        <is>
          <t>E101</t>
        </is>
      </c>
      <c r="B38" s="6" t="inlineStr">
        <is>
          <t>Ravi</t>
        </is>
      </c>
      <c r="C38" s="6" t="inlineStr">
        <is>
          <t>Sales</t>
        </is>
      </c>
      <c r="D38" s="6" t="inlineStr">
        <is>
          <t>North</t>
        </is>
      </c>
      <c r="E38" s="6" t="n">
        <v>24</v>
      </c>
      <c r="F38" s="6" t="inlineStr">
        <is>
          <t>Present</t>
        </is>
      </c>
      <c r="G38" s="6" t="inlineStr">
        <is>
          <t>Morning</t>
        </is>
      </c>
      <c r="H38" s="6" t="inlineStr">
        <is>
          <t>Full-Time</t>
        </is>
      </c>
    </row>
    <row r="39">
      <c r="A39" s="6" t="inlineStr">
        <is>
          <t>E102</t>
        </is>
      </c>
      <c r="B39" s="6" t="inlineStr">
        <is>
          <t>Priya</t>
        </is>
      </c>
      <c r="C39" s="6" t="inlineStr">
        <is>
          <t>Sales</t>
        </is>
      </c>
      <c r="D39" s="6" t="inlineStr">
        <is>
          <t>South</t>
        </is>
      </c>
      <c r="E39" s="6" t="n">
        <v>18</v>
      </c>
      <c r="F39" s="6" t="inlineStr">
        <is>
          <t>Absent</t>
        </is>
      </c>
      <c r="G39" s="6" t="inlineStr">
        <is>
          <t>Morning</t>
        </is>
      </c>
      <c r="H39" s="6" t="inlineStr">
        <is>
          <t>Full-Time</t>
        </is>
      </c>
    </row>
    <row r="40">
      <c r="A40" s="6" t="inlineStr">
        <is>
          <t>E103</t>
        </is>
      </c>
      <c r="B40" s="6" t="inlineStr">
        <is>
          <t>Amit</t>
        </is>
      </c>
      <c r="C40" s="6" t="inlineStr">
        <is>
          <t>HR</t>
        </is>
      </c>
      <c r="D40" s="6" t="inlineStr">
        <is>
          <t>North</t>
        </is>
      </c>
      <c r="E40" s="6" t="n">
        <v>22</v>
      </c>
      <c r="F40" s="6" t="inlineStr">
        <is>
          <t>Present</t>
        </is>
      </c>
      <c r="G40" s="6" t="inlineStr">
        <is>
          <t>Evening</t>
        </is>
      </c>
      <c r="H40" s="6" t="inlineStr">
        <is>
          <t>Full-Time</t>
        </is>
      </c>
    </row>
    <row r="41">
      <c r="A41" s="6" t="inlineStr">
        <is>
          <t>E104</t>
        </is>
      </c>
      <c r="B41" s="6" t="inlineStr">
        <is>
          <t>Neha</t>
        </is>
      </c>
      <c r="C41" s="6" t="inlineStr">
        <is>
          <t>Sales</t>
        </is>
      </c>
      <c r="D41" s="6" t="inlineStr">
        <is>
          <t>North</t>
        </is>
      </c>
      <c r="E41" s="6" t="n">
        <v>19</v>
      </c>
      <c r="F41" s="6" t="inlineStr">
        <is>
          <t>Present</t>
        </is>
      </c>
      <c r="G41" s="6" t="inlineStr">
        <is>
          <t>Morning</t>
        </is>
      </c>
      <c r="H41" s="6" t="inlineStr">
        <is>
          <t>Contract</t>
        </is>
      </c>
    </row>
    <row r="42">
      <c r="A42" s="6" t="inlineStr">
        <is>
          <t>E105</t>
        </is>
      </c>
      <c r="B42" s="6" t="inlineStr">
        <is>
          <t>Karan</t>
        </is>
      </c>
      <c r="C42" s="6" t="inlineStr">
        <is>
          <t>IT</t>
        </is>
      </c>
      <c r="D42" s="6" t="inlineStr">
        <is>
          <t>South</t>
        </is>
      </c>
      <c r="E42" s="6" t="n">
        <v>20</v>
      </c>
      <c r="F42" s="6" t="inlineStr">
        <is>
          <t>Present</t>
        </is>
      </c>
      <c r="G42" s="6" t="inlineStr">
        <is>
          <t>Evening</t>
        </is>
      </c>
      <c r="H42" s="6" t="inlineStr">
        <is>
          <t>Full-Time</t>
        </is>
      </c>
    </row>
    <row r="43">
      <c r="A43" s="6" t="inlineStr">
        <is>
          <t>E106</t>
        </is>
      </c>
      <c r="B43" s="6" t="inlineStr">
        <is>
          <t>Meera</t>
        </is>
      </c>
      <c r="C43" s="6" t="inlineStr">
        <is>
          <t>HR</t>
        </is>
      </c>
      <c r="D43" s="6" t="inlineStr">
        <is>
          <t>South</t>
        </is>
      </c>
      <c r="E43" s="6" t="n">
        <v>15</v>
      </c>
      <c r="F43" s="6" t="inlineStr">
        <is>
          <t>Absent</t>
        </is>
      </c>
      <c r="G43" s="6" t="inlineStr">
        <is>
          <t>Morning</t>
        </is>
      </c>
      <c r="H43" s="6" t="inlineStr">
        <is>
          <t>Contract</t>
        </is>
      </c>
    </row>
    <row r="44">
      <c r="A44" s="6" t="inlineStr">
        <is>
          <t>E107</t>
        </is>
      </c>
      <c r="B44" s="6" t="inlineStr">
        <is>
          <t>Pooja</t>
        </is>
      </c>
      <c r="C44" s="6" t="inlineStr">
        <is>
          <t>IT</t>
        </is>
      </c>
      <c r="D44" s="6" t="inlineStr">
        <is>
          <t>North</t>
        </is>
      </c>
      <c r="E44" s="6" t="n">
        <v>21</v>
      </c>
      <c r="F44" s="6" t="inlineStr">
        <is>
          <t>Present</t>
        </is>
      </c>
      <c r="G44" s="6" t="inlineStr">
        <is>
          <t>Morning</t>
        </is>
      </c>
      <c r="H44" s="6" t="inlineStr">
        <is>
          <t>Full-Time</t>
        </is>
      </c>
    </row>
    <row r="45">
      <c r="A45" s="6" t="inlineStr">
        <is>
          <t>E108</t>
        </is>
      </c>
      <c r="B45" s="6" t="inlineStr">
        <is>
          <t>Rohit</t>
        </is>
      </c>
      <c r="C45" s="6" t="inlineStr">
        <is>
          <t>Sales</t>
        </is>
      </c>
      <c r="D45" s="6" t="inlineStr">
        <is>
          <t>South</t>
        </is>
      </c>
      <c r="E45" s="6" t="n">
        <v>23</v>
      </c>
      <c r="F45" s="6" t="inlineStr">
        <is>
          <t>Present</t>
        </is>
      </c>
      <c r="G45" s="6" t="inlineStr">
        <is>
          <t>Evening</t>
        </is>
      </c>
      <c r="H45" s="6" t="inlineStr">
        <is>
          <t>Full-Time</t>
        </is>
      </c>
    </row>
    <row r="46">
      <c r="A46" s="6" t="inlineStr">
        <is>
          <t>E109</t>
        </is>
      </c>
      <c r="B46" s="6" t="inlineStr">
        <is>
          <t>Siya</t>
        </is>
      </c>
      <c r="C46" s="6" t="inlineStr">
        <is>
          <t>HR</t>
        </is>
      </c>
      <c r="D46" s="6" t="inlineStr">
        <is>
          <t>North</t>
        </is>
      </c>
      <c r="E46" s="6" t="n">
        <v>17</v>
      </c>
      <c r="F46" s="6" t="inlineStr">
        <is>
          <t>Absent</t>
        </is>
      </c>
      <c r="G46" s="6" t="inlineStr">
        <is>
          <t>Evening</t>
        </is>
      </c>
      <c r="H46" s="6" t="inlineStr">
        <is>
          <t>Contract</t>
        </is>
      </c>
    </row>
    <row r="47">
      <c r="A47" s="6" t="inlineStr">
        <is>
          <t>E110</t>
        </is>
      </c>
      <c r="B47" s="6" t="inlineStr">
        <is>
          <t>Arjun</t>
        </is>
      </c>
      <c r="C47" s="6" t="inlineStr">
        <is>
          <t>IT</t>
        </is>
      </c>
      <c r="D47" s="6" t="inlineStr">
        <is>
          <t>South</t>
        </is>
      </c>
      <c r="E47" s="6" t="n">
        <v>24</v>
      </c>
      <c r="F47" s="6" t="inlineStr">
        <is>
          <t>Present</t>
        </is>
      </c>
      <c r="G47" s="6" t="inlineStr">
        <is>
          <t>Morning</t>
        </is>
      </c>
      <c r="H47" s="6" t="inlineStr">
        <is>
          <t>Full-Time</t>
        </is>
      </c>
    </row>
    <row r="48">
      <c r="A48" s="6" t="inlineStr">
        <is>
          <t>E111</t>
        </is>
      </c>
      <c r="B48" s="6" t="inlineStr">
        <is>
          <t>Kavya</t>
        </is>
      </c>
      <c r="C48" s="6" t="inlineStr">
        <is>
          <t>Sales</t>
        </is>
      </c>
      <c r="D48" s="6" t="inlineStr">
        <is>
          <t>North</t>
        </is>
      </c>
      <c r="E48" s="6" t="n">
        <v>22</v>
      </c>
      <c r="F48" s="6" t="inlineStr">
        <is>
          <t>Present</t>
        </is>
      </c>
      <c r="G48" s="6" t="inlineStr">
        <is>
          <t>Evening</t>
        </is>
      </c>
      <c r="H48" s="6" t="inlineStr">
        <is>
          <t>Full-Time</t>
        </is>
      </c>
    </row>
    <row r="49">
      <c r="A49" s="6" t="inlineStr">
        <is>
          <t>E112</t>
        </is>
      </c>
      <c r="B49" s="6" t="inlineStr">
        <is>
          <t>Vikas</t>
        </is>
      </c>
      <c r="C49" s="6" t="inlineStr">
        <is>
          <t>IT</t>
        </is>
      </c>
      <c r="D49" s="6" t="inlineStr">
        <is>
          <t>North</t>
        </is>
      </c>
      <c r="E49" s="6" t="n">
        <v>18</v>
      </c>
      <c r="F49" s="6" t="inlineStr">
        <is>
          <t>Absent</t>
        </is>
      </c>
      <c r="G49" s="6" t="inlineStr">
        <is>
          <t>Morning</t>
        </is>
      </c>
      <c r="H49" s="6" t="inlineStr">
        <is>
          <t>Contract</t>
        </is>
      </c>
    </row>
    <row r="50"/>
    <row r="51">
      <c r="A51" s="10" t="inlineStr">
        <is>
          <t>COUNTIFS TASKS — EMPLOYEE ATTENDANCE</t>
        </is>
      </c>
    </row>
    <row r="52">
      <c r="A52" s="5" t="inlineStr">
        <is>
          <t>#</t>
        </is>
      </c>
      <c r="B52" s="5" t="inlineStr">
        <is>
          <t>Business Question</t>
        </is>
      </c>
      <c r="C52" s="5" t="inlineStr">
        <is>
          <t>COUNTIFS Formula</t>
        </is>
      </c>
      <c r="D52" s="5" t="inlineStr">
        <is>
          <t>Your Answer</t>
        </is>
      </c>
    </row>
    <row r="53">
      <c r="A53" s="6" t="n">
        <v>1</v>
      </c>
      <c r="B53" s="6" t="inlineStr">
        <is>
          <t>How many Sales employees work in North?</t>
        </is>
      </c>
      <c r="C53" s="8" t="n"/>
      <c r="D53" s="8" t="n"/>
    </row>
    <row r="54">
      <c r="A54" s="6" t="n">
        <v>2</v>
      </c>
      <c r="B54" s="6" t="inlineStr">
        <is>
          <t>How many HR employees are Absent?</t>
        </is>
      </c>
      <c r="C54" s="8" t="n"/>
      <c r="D54" s="8" t="n"/>
    </row>
    <row r="55">
      <c r="A55" s="6" t="n">
        <v>3</v>
      </c>
      <c r="B55" s="6" t="inlineStr">
        <is>
          <t>How many IT employees have Present Days &gt;= 20?</t>
        </is>
      </c>
      <c r="C55" s="8" t="n"/>
      <c r="D55" s="8" t="n"/>
    </row>
    <row r="56">
      <c r="A56" s="6" t="n">
        <v>4</v>
      </c>
      <c r="B56" s="6" t="inlineStr">
        <is>
          <t>How many employees are Absent in South?</t>
        </is>
      </c>
      <c r="C56" s="8" t="n"/>
      <c r="D56" s="8" t="n"/>
    </row>
    <row r="57">
      <c r="A57" s="6" t="n">
        <v>5</v>
      </c>
      <c r="B57" s="6" t="inlineStr">
        <is>
          <t>How many Sales employees have Present Days &gt;= 20?</t>
        </is>
      </c>
      <c r="C57" s="8" t="n"/>
      <c r="D57" s="8" t="n"/>
    </row>
    <row r="58">
      <c r="A58" s="6" t="n">
        <v>6</v>
      </c>
      <c r="B58" s="6" t="inlineStr">
        <is>
          <t>How many Full-Time employees are Present in North?</t>
        </is>
      </c>
      <c r="C58" s="8" t="n"/>
      <c r="D58" s="8" t="n"/>
    </row>
    <row r="59"/>
    <row r="60"/>
    <row r="61">
      <c r="A61" s="11" t="inlineStr">
        <is>
          <t>FINAL BUSINESS CHALLENGE — DASHBOARD KPI COUNTS</t>
        </is>
      </c>
    </row>
    <row r="62">
      <c r="A62" s="5" t="inlineStr">
        <is>
          <t>KPI</t>
        </is>
      </c>
      <c r="B62" s="5" t="inlineStr">
        <is>
          <t>Your COUNTIFS Formula</t>
        </is>
      </c>
      <c r="C62" s="5" t="inlineStr">
        <is>
          <t>Your Result</t>
        </is>
      </c>
      <c r="D62" s="5" t="inlineStr">
        <is>
          <t>Business Meaning</t>
        </is>
      </c>
    </row>
    <row r="63">
      <c r="A63" s="6" t="inlineStr">
        <is>
          <t>Completed North orders</t>
        </is>
      </c>
      <c r="B63" s="8" t="n"/>
      <c r="C63" s="8" t="n"/>
      <c r="D63" s="6" t="inlineStr">
        <is>
          <t>Completed sales activity in North</t>
        </is>
      </c>
    </row>
    <row r="64">
      <c r="A64" s="6" t="inlineStr">
        <is>
          <t>Cancelled South orders</t>
        </is>
      </c>
      <c r="B64" s="8" t="n"/>
      <c r="C64" s="8" t="n"/>
      <c r="D64" s="6" t="inlineStr">
        <is>
          <t>Lost/cancelled orders in South</t>
        </is>
      </c>
    </row>
    <row r="65">
      <c r="A65" s="6" t="inlineStr">
        <is>
          <t>Online Completed North orders</t>
        </is>
      </c>
      <c r="B65" s="8" t="n"/>
      <c r="C65" s="8" t="n"/>
      <c r="D65" s="6" t="inlineStr">
        <is>
          <t>Successful online orders in North</t>
        </is>
      </c>
    </row>
    <row r="66">
      <c r="A66" s="6" t="inlineStr">
        <is>
          <t>Sales employees with 20+ present days</t>
        </is>
      </c>
      <c r="B66" s="8" t="n"/>
      <c r="C66" s="8" t="n"/>
      <c r="D66" s="6" t="inlineStr">
        <is>
          <t>Attendance meeting 20+ day threshold</t>
        </is>
      </c>
    </row>
    <row r="67">
      <c r="A67" s="6" t="inlineStr">
        <is>
          <t>Full-Time Present North employees</t>
        </is>
      </c>
      <c r="B67" s="8" t="n"/>
      <c r="C67" s="8" t="n"/>
      <c r="D67" s="6" t="inlineStr">
        <is>
          <t>Full-time North employees currently present</t>
        </is>
      </c>
    </row>
  </sheetData>
  <mergeCells count="11">
    <mergeCell ref="A1:H1"/>
    <mergeCell ref="A26:H26"/>
    <mergeCell ref="A7:H7"/>
    <mergeCell ref="A2:H2"/>
    <mergeCell ref="A51:H51"/>
    <mergeCell ref="A36:H36"/>
    <mergeCell ref="A11:H11"/>
    <mergeCell ref="A5:H5"/>
    <mergeCell ref="A8:H8"/>
    <mergeCell ref="A61:H6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Level 2 — Intermediate Excel | COUNTIFS Practice</t>
        </is>
      </c>
    </row>
    <row r="2">
      <c r="A2" s="2" t="inlineStr">
        <is>
          <t>Real-world multi-condition counting | Complete yellow cells, then check Solutions.</t>
        </is>
      </c>
    </row>
    <row r="3"/>
    <row r="4">
      <c r="A4" s="3" t="inlineStr">
        <is>
          <t>Learning workflow</t>
        </is>
      </c>
      <c r="H4" s="3" t="inlineStr">
        <is>
          <t>GREEN CELLS = SOLUTION FORMULAS / ANSWERS</t>
        </is>
      </c>
    </row>
    <row r="5">
      <c r="A5" t="inlineStr">
        <is>
          <t>1. Complete Practice first.</t>
        </is>
      </c>
    </row>
    <row r="6">
      <c r="A6" t="inlineStr">
        <is>
          <t>2. COUNTIFS counts rows only when ALL conditions are TRUE.</t>
        </is>
      </c>
    </row>
    <row r="7">
      <c r="A7" t="inlineStr">
        <is>
          <t>3. Use text criteria such as "North" and numeric criteria such as "&gt;1000".</t>
        </is>
      </c>
    </row>
    <row r="8">
      <c r="A8" t="inlineStr">
        <is>
          <t>4. Check both your formula and your result in Solutions.</t>
        </is>
      </c>
    </row>
    <row r="9"/>
    <row r="10"/>
    <row r="11">
      <c r="A11" s="4" t="inlineStr">
        <is>
          <t>REAL-WORLD EXAMPLE 1 — SALES ORDERS</t>
        </is>
      </c>
    </row>
    <row r="12">
      <c r="A12" s="5" t="inlineStr">
        <is>
          <t>Order ID</t>
        </is>
      </c>
      <c r="B12" s="5" t="inlineStr">
        <is>
          <t>Date</t>
        </is>
      </c>
      <c r="C12" s="5" t="inlineStr">
        <is>
          <t>Product</t>
        </is>
      </c>
      <c r="D12" s="5" t="inlineStr">
        <is>
          <t>Region</t>
        </is>
      </c>
      <c r="E12" s="5" t="inlineStr">
        <is>
          <t>Amount (₹)</t>
        </is>
      </c>
      <c r="F12" s="5" t="inlineStr">
        <is>
          <t>Status</t>
        </is>
      </c>
      <c r="G12" s="5" t="inlineStr">
        <is>
          <t>Salesperson</t>
        </is>
      </c>
      <c r="H12" s="5" t="inlineStr">
        <is>
          <t>Channel</t>
        </is>
      </c>
    </row>
    <row r="13">
      <c r="A13" s="6" t="n">
        <v>1001</v>
      </c>
      <c r="B13" s="6" t="inlineStr">
        <is>
          <t>01-Jun-2026</t>
        </is>
      </c>
      <c r="C13" s="6" t="inlineStr">
        <is>
          <t>Pen</t>
        </is>
      </c>
      <c r="D13" s="6" t="inlineStr">
        <is>
          <t>North</t>
        </is>
      </c>
      <c r="E13" s="6" t="n">
        <v>1200</v>
      </c>
      <c r="F13" s="6" t="inlineStr">
        <is>
          <t>Completed</t>
        </is>
      </c>
      <c r="G13" s="6" t="inlineStr">
        <is>
          <t>Ravi</t>
        </is>
      </c>
      <c r="H13" s="6" t="inlineStr">
        <is>
          <t>Retail</t>
        </is>
      </c>
    </row>
    <row r="14">
      <c r="A14" s="6" t="n">
        <v>1002</v>
      </c>
      <c r="B14" s="6" t="inlineStr">
        <is>
          <t>01-Jun-2026</t>
        </is>
      </c>
      <c r="C14" s="6" t="inlineStr">
        <is>
          <t>Notebook</t>
        </is>
      </c>
      <c r="D14" s="6" t="inlineStr">
        <is>
          <t>South</t>
        </is>
      </c>
      <c r="E14" s="6" t="n">
        <v>2500</v>
      </c>
      <c r="F14" s="6" t="inlineStr">
        <is>
          <t>Completed</t>
        </is>
      </c>
      <c r="G14" s="6" t="inlineStr">
        <is>
          <t>Priya</t>
        </is>
      </c>
      <c r="H14" s="6" t="inlineStr">
        <is>
          <t>Online</t>
        </is>
      </c>
    </row>
    <row r="15">
      <c r="A15" s="6" t="n">
        <v>1003</v>
      </c>
      <c r="B15" s="6" t="inlineStr">
        <is>
          <t>02-Jun-2026</t>
        </is>
      </c>
      <c r="C15" s="6" t="inlineStr">
        <is>
          <t>Pen</t>
        </is>
      </c>
      <c r="D15" s="6" t="inlineStr">
        <is>
          <t>North</t>
        </is>
      </c>
      <c r="E15" s="6" t="n">
        <v>800</v>
      </c>
      <c r="F15" s="6" t="inlineStr">
        <is>
          <t>Completed</t>
        </is>
      </c>
      <c r="G15" s="6" t="inlineStr">
        <is>
          <t>Ravi</t>
        </is>
      </c>
      <c r="H15" s="6" t="inlineStr">
        <is>
          <t>Retail</t>
        </is>
      </c>
    </row>
    <row r="16">
      <c r="A16" s="6" t="n">
        <v>1004</v>
      </c>
      <c r="B16" s="6" t="inlineStr">
        <is>
          <t>02-Jun-2026</t>
        </is>
      </c>
      <c r="C16" s="6" t="inlineStr">
        <is>
          <t>Pencil</t>
        </is>
      </c>
      <c r="D16" s="6" t="inlineStr">
        <is>
          <t>East</t>
        </is>
      </c>
      <c r="E16" s="6" t="n">
        <v>600</v>
      </c>
      <c r="F16" s="6" t="inlineStr">
        <is>
          <t>Cancelled</t>
        </is>
      </c>
      <c r="G16" s="6" t="inlineStr">
        <is>
          <t>Amit</t>
        </is>
      </c>
      <c r="H16" s="6" t="inlineStr">
        <is>
          <t>Online</t>
        </is>
      </c>
    </row>
    <row r="17">
      <c r="A17" s="6" t="n">
        <v>1005</v>
      </c>
      <c r="B17" s="6" t="inlineStr">
        <is>
          <t>02-Jun-2026</t>
        </is>
      </c>
      <c r="C17" s="6" t="inlineStr">
        <is>
          <t>Notebook</t>
        </is>
      </c>
      <c r="D17" s="6" t="inlineStr">
        <is>
          <t>South</t>
        </is>
      </c>
      <c r="E17" s="6" t="n">
        <v>1500</v>
      </c>
      <c r="F17" s="6" t="inlineStr">
        <is>
          <t>Completed</t>
        </is>
      </c>
      <c r="G17" s="6" t="inlineStr">
        <is>
          <t>Priya</t>
        </is>
      </c>
      <c r="H17" s="6" t="inlineStr">
        <is>
          <t>Retail</t>
        </is>
      </c>
    </row>
    <row r="18">
      <c r="A18" s="6" t="n">
        <v>1006</v>
      </c>
      <c r="B18" s="6" t="inlineStr">
        <is>
          <t>03-Jun-2026</t>
        </is>
      </c>
      <c r="C18" s="6" t="inlineStr">
        <is>
          <t>Pen</t>
        </is>
      </c>
      <c r="D18" s="6" t="inlineStr">
        <is>
          <t>West</t>
        </is>
      </c>
      <c r="E18" s="6" t="n">
        <v>1000</v>
      </c>
      <c r="F18" s="6" t="inlineStr">
        <is>
          <t>Completed</t>
        </is>
      </c>
      <c r="G18" s="6" t="inlineStr">
        <is>
          <t>Neha</t>
        </is>
      </c>
      <c r="H18" s="6" t="inlineStr">
        <is>
          <t>Online</t>
        </is>
      </c>
    </row>
    <row r="19">
      <c r="A19" s="6" t="n">
        <v>1007</v>
      </c>
      <c r="B19" s="6" t="inlineStr">
        <is>
          <t>04-Jun-2026</t>
        </is>
      </c>
      <c r="C19" s="6" t="inlineStr">
        <is>
          <t>Pen</t>
        </is>
      </c>
      <c r="D19" s="6" t="inlineStr">
        <is>
          <t>South</t>
        </is>
      </c>
      <c r="E19" s="6" t="n">
        <v>700</v>
      </c>
      <c r="F19" s="6" t="inlineStr">
        <is>
          <t>Completed</t>
        </is>
      </c>
      <c r="G19" s="6" t="inlineStr">
        <is>
          <t>Ravi</t>
        </is>
      </c>
      <c r="H19" s="6" t="inlineStr">
        <is>
          <t>Retail</t>
        </is>
      </c>
    </row>
    <row r="20">
      <c r="A20" s="6" t="n">
        <v>1008</v>
      </c>
      <c r="B20" s="6" t="inlineStr">
        <is>
          <t>04-Jun-2026</t>
        </is>
      </c>
      <c r="C20" s="6" t="inlineStr">
        <is>
          <t>Pencil</t>
        </is>
      </c>
      <c r="D20" s="6" t="inlineStr">
        <is>
          <t>North</t>
        </is>
      </c>
      <c r="E20" s="6" t="n">
        <v>300</v>
      </c>
      <c r="F20" s="6" t="inlineStr">
        <is>
          <t>Completed</t>
        </is>
      </c>
      <c r="G20" s="6" t="inlineStr">
        <is>
          <t>Amit</t>
        </is>
      </c>
      <c r="H20" s="6" t="inlineStr">
        <is>
          <t>Online</t>
        </is>
      </c>
    </row>
    <row r="21">
      <c r="A21" s="6" t="n">
        <v>1009</v>
      </c>
      <c r="B21" s="6" t="inlineStr">
        <is>
          <t>05-Jun-2026</t>
        </is>
      </c>
      <c r="C21" s="6" t="inlineStr">
        <is>
          <t>Notebook</t>
        </is>
      </c>
      <c r="D21" s="6" t="inlineStr">
        <is>
          <t>North</t>
        </is>
      </c>
      <c r="E21" s="6" t="n">
        <v>1100</v>
      </c>
      <c r="F21" s="6" t="inlineStr">
        <is>
          <t>Completed</t>
        </is>
      </c>
      <c r="G21" s="6" t="inlineStr">
        <is>
          <t>Priya</t>
        </is>
      </c>
      <c r="H21" s="6" t="inlineStr">
        <is>
          <t>Retail</t>
        </is>
      </c>
    </row>
    <row r="22">
      <c r="A22" s="6" t="n">
        <v>1010</v>
      </c>
      <c r="B22" s="6" t="inlineStr">
        <is>
          <t>05-Jun-2026</t>
        </is>
      </c>
      <c r="C22" s="6" t="inlineStr">
        <is>
          <t>Pen</t>
        </is>
      </c>
      <c r="D22" s="6" t="inlineStr">
        <is>
          <t>South</t>
        </is>
      </c>
      <c r="E22" s="6" t="n">
        <v>650</v>
      </c>
      <c r="F22" s="6" t="inlineStr">
        <is>
          <t>Cancelled</t>
        </is>
      </c>
      <c r="G22" s="6" t="inlineStr">
        <is>
          <t>Ravi</t>
        </is>
      </c>
      <c r="H22" s="6" t="inlineStr">
        <is>
          <t>Online</t>
        </is>
      </c>
    </row>
    <row r="23">
      <c r="A23" s="6" t="n">
        <v>1011</v>
      </c>
      <c r="B23" s="6" t="inlineStr">
        <is>
          <t>06-Jun-2026</t>
        </is>
      </c>
      <c r="C23" s="6" t="inlineStr">
        <is>
          <t>Notebook</t>
        </is>
      </c>
      <c r="D23" s="6" t="inlineStr">
        <is>
          <t>East</t>
        </is>
      </c>
      <c r="E23" s="6" t="n">
        <v>1200</v>
      </c>
      <c r="F23" s="6" t="inlineStr">
        <is>
          <t>Completed</t>
        </is>
      </c>
      <c r="G23" s="6" t="inlineStr">
        <is>
          <t>Priya</t>
        </is>
      </c>
      <c r="H23" s="6" t="inlineStr">
        <is>
          <t>Online</t>
        </is>
      </c>
    </row>
    <row r="24">
      <c r="A24" s="6" t="n">
        <v>1012</v>
      </c>
      <c r="B24" s="6" t="inlineStr">
        <is>
          <t>06-Jun-2026</t>
        </is>
      </c>
      <c r="C24" s="6" t="inlineStr">
        <is>
          <t>Pen</t>
        </is>
      </c>
      <c r="D24" s="6" t="inlineStr">
        <is>
          <t>North</t>
        </is>
      </c>
      <c r="E24" s="6" t="n">
        <v>1400</v>
      </c>
      <c r="F24" s="6" t="inlineStr">
        <is>
          <t>Completed</t>
        </is>
      </c>
      <c r="G24" s="6" t="inlineStr">
        <is>
          <t>Ravi</t>
        </is>
      </c>
      <c r="H24" s="6" t="inlineStr">
        <is>
          <t>Online</t>
        </is>
      </c>
    </row>
    <row r="25"/>
    <row r="26">
      <c r="A26" s="7" t="inlineStr">
        <is>
          <t>COUNTIFS TASKS — SALES ORDERS</t>
        </is>
      </c>
    </row>
    <row r="27">
      <c r="A27" s="5" t="inlineStr">
        <is>
          <t>#</t>
        </is>
      </c>
      <c r="B27" s="5" t="inlineStr">
        <is>
          <t>Business Question</t>
        </is>
      </c>
      <c r="C27" s="5" t="inlineStr">
        <is>
          <t>COUNTIFS Formula</t>
        </is>
      </c>
      <c r="D27" s="5" t="inlineStr">
        <is>
          <t>Your Answer</t>
        </is>
      </c>
    </row>
    <row r="28">
      <c r="A28" s="6" t="n">
        <v>1</v>
      </c>
      <c r="B28" s="6" t="inlineStr">
        <is>
          <t>How many Completed Pen orders are in North?</t>
        </is>
      </c>
      <c r="C28" s="12">
        <f>COUNTIFS(C13:C24,"Pen",D13:D24,"North",F13:F24,"Completed")</f>
        <v/>
      </c>
      <c r="D28" s="12" t="n">
        <v>2</v>
      </c>
    </row>
    <row r="29">
      <c r="A29" s="6" t="n">
        <v>2</v>
      </c>
      <c r="B29" s="6" t="inlineStr">
        <is>
          <t>How many Completed orders are in South?</t>
        </is>
      </c>
      <c r="C29" s="12">
        <f>COUNTIFS(D13:D24,"South",F13:F24,"Completed")</f>
        <v/>
      </c>
      <c r="D29" s="12" t="n">
        <v>3</v>
      </c>
    </row>
    <row r="30">
      <c r="A30" s="6" t="n">
        <v>3</v>
      </c>
      <c r="B30" s="6" t="inlineStr">
        <is>
          <t>How many Notebook orders have Amount &gt; ₹1,000?</t>
        </is>
      </c>
      <c r="C30" s="12">
        <f>COUNTIFS(C13:C24,"Notebook",E13:E24,"&gt;1000")</f>
        <v/>
      </c>
      <c r="D30" s="12" t="n">
        <v>3</v>
      </c>
    </row>
    <row r="31">
      <c r="A31" s="6" t="n">
        <v>4</v>
      </c>
      <c r="B31" s="6" t="inlineStr">
        <is>
          <t>How many Completed orders in North have Amount &gt; ₹1,000?</t>
        </is>
      </c>
      <c r="C31" s="12">
        <f>COUNTIFS(D13:D24,"North",F13:F24,"Completed",E13:E24,"&gt;1000")</f>
        <v/>
      </c>
      <c r="D31" s="12" t="n">
        <v>2</v>
      </c>
    </row>
    <row r="32">
      <c r="A32" s="6" t="n">
        <v>5</v>
      </c>
      <c r="B32" s="6" t="inlineStr">
        <is>
          <t>How many Cancelled orders are in South?</t>
        </is>
      </c>
      <c r="C32" s="12">
        <f>COUNTIFS(D13:D24,"South",F13:F24,"Cancelled")</f>
        <v/>
      </c>
      <c r="D32" s="12" t="n">
        <v>1</v>
      </c>
    </row>
    <row r="33">
      <c r="A33" s="6" t="n">
        <v>6</v>
      </c>
      <c r="B33" s="6" t="inlineStr">
        <is>
          <t>How many Online orders are Completed and in North?</t>
        </is>
      </c>
      <c r="C33" s="12">
        <f>COUNTIFS(H13:H24,"Online",F13:F24,"Completed",D13:D24,"North")</f>
        <v/>
      </c>
      <c r="D33" s="12" t="n">
        <v>3</v>
      </c>
    </row>
    <row r="34"/>
    <row r="35"/>
    <row r="36">
      <c r="A36" s="9" t="inlineStr">
        <is>
          <t>REAL-WORLD EXAMPLE 2 — EMPLOYEE ATTENDANCE</t>
        </is>
      </c>
    </row>
    <row r="37">
      <c r="A37" s="5" t="inlineStr">
        <is>
          <t>Emp ID</t>
        </is>
      </c>
      <c r="B37" s="5" t="inlineStr">
        <is>
          <t>Name</t>
        </is>
      </c>
      <c r="C37" s="5" t="inlineStr">
        <is>
          <t>Department</t>
        </is>
      </c>
      <c r="D37" s="5" t="inlineStr">
        <is>
          <t>Location</t>
        </is>
      </c>
      <c r="E37" s="5" t="inlineStr">
        <is>
          <t>Present Days</t>
        </is>
      </c>
      <c r="F37" s="5" t="inlineStr">
        <is>
          <t>Status</t>
        </is>
      </c>
      <c r="G37" s="5" t="inlineStr">
        <is>
          <t>Shift</t>
        </is>
      </c>
      <c r="H37" s="5" t="inlineStr">
        <is>
          <t>Employment</t>
        </is>
      </c>
    </row>
    <row r="38">
      <c r="A38" s="6" t="inlineStr">
        <is>
          <t>E101</t>
        </is>
      </c>
      <c r="B38" s="6" t="inlineStr">
        <is>
          <t>Ravi</t>
        </is>
      </c>
      <c r="C38" s="6" t="inlineStr">
        <is>
          <t>Sales</t>
        </is>
      </c>
      <c r="D38" s="6" t="inlineStr">
        <is>
          <t>North</t>
        </is>
      </c>
      <c r="E38" s="6" t="n">
        <v>24</v>
      </c>
      <c r="F38" s="6" t="inlineStr">
        <is>
          <t>Present</t>
        </is>
      </c>
      <c r="G38" s="6" t="inlineStr">
        <is>
          <t>Morning</t>
        </is>
      </c>
      <c r="H38" s="6" t="inlineStr">
        <is>
          <t>Full-Time</t>
        </is>
      </c>
    </row>
    <row r="39">
      <c r="A39" s="6" t="inlineStr">
        <is>
          <t>E102</t>
        </is>
      </c>
      <c r="B39" s="6" t="inlineStr">
        <is>
          <t>Priya</t>
        </is>
      </c>
      <c r="C39" s="6" t="inlineStr">
        <is>
          <t>Sales</t>
        </is>
      </c>
      <c r="D39" s="6" t="inlineStr">
        <is>
          <t>South</t>
        </is>
      </c>
      <c r="E39" s="6" t="n">
        <v>18</v>
      </c>
      <c r="F39" s="6" t="inlineStr">
        <is>
          <t>Absent</t>
        </is>
      </c>
      <c r="G39" s="6" t="inlineStr">
        <is>
          <t>Morning</t>
        </is>
      </c>
      <c r="H39" s="6" t="inlineStr">
        <is>
          <t>Full-Time</t>
        </is>
      </c>
    </row>
    <row r="40">
      <c r="A40" s="6" t="inlineStr">
        <is>
          <t>E103</t>
        </is>
      </c>
      <c r="B40" s="6" t="inlineStr">
        <is>
          <t>Amit</t>
        </is>
      </c>
      <c r="C40" s="6" t="inlineStr">
        <is>
          <t>HR</t>
        </is>
      </c>
      <c r="D40" s="6" t="inlineStr">
        <is>
          <t>North</t>
        </is>
      </c>
      <c r="E40" s="6" t="n">
        <v>22</v>
      </c>
      <c r="F40" s="6" t="inlineStr">
        <is>
          <t>Present</t>
        </is>
      </c>
      <c r="G40" s="6" t="inlineStr">
        <is>
          <t>Evening</t>
        </is>
      </c>
      <c r="H40" s="6" t="inlineStr">
        <is>
          <t>Full-Time</t>
        </is>
      </c>
    </row>
    <row r="41">
      <c r="A41" s="6" t="inlineStr">
        <is>
          <t>E104</t>
        </is>
      </c>
      <c r="B41" s="6" t="inlineStr">
        <is>
          <t>Neha</t>
        </is>
      </c>
      <c r="C41" s="6" t="inlineStr">
        <is>
          <t>Sales</t>
        </is>
      </c>
      <c r="D41" s="6" t="inlineStr">
        <is>
          <t>North</t>
        </is>
      </c>
      <c r="E41" s="6" t="n">
        <v>19</v>
      </c>
      <c r="F41" s="6" t="inlineStr">
        <is>
          <t>Present</t>
        </is>
      </c>
      <c r="G41" s="6" t="inlineStr">
        <is>
          <t>Morning</t>
        </is>
      </c>
      <c r="H41" s="6" t="inlineStr">
        <is>
          <t>Contract</t>
        </is>
      </c>
    </row>
    <row r="42">
      <c r="A42" s="6" t="inlineStr">
        <is>
          <t>E105</t>
        </is>
      </c>
      <c r="B42" s="6" t="inlineStr">
        <is>
          <t>Karan</t>
        </is>
      </c>
      <c r="C42" s="6" t="inlineStr">
        <is>
          <t>IT</t>
        </is>
      </c>
      <c r="D42" s="6" t="inlineStr">
        <is>
          <t>South</t>
        </is>
      </c>
      <c r="E42" s="6" t="n">
        <v>20</v>
      </c>
      <c r="F42" s="6" t="inlineStr">
        <is>
          <t>Present</t>
        </is>
      </c>
      <c r="G42" s="6" t="inlineStr">
        <is>
          <t>Evening</t>
        </is>
      </c>
      <c r="H42" s="6" t="inlineStr">
        <is>
          <t>Full-Time</t>
        </is>
      </c>
    </row>
    <row r="43">
      <c r="A43" s="6" t="inlineStr">
        <is>
          <t>E106</t>
        </is>
      </c>
      <c r="B43" s="6" t="inlineStr">
        <is>
          <t>Meera</t>
        </is>
      </c>
      <c r="C43" s="6" t="inlineStr">
        <is>
          <t>HR</t>
        </is>
      </c>
      <c r="D43" s="6" t="inlineStr">
        <is>
          <t>South</t>
        </is>
      </c>
      <c r="E43" s="6" t="n">
        <v>15</v>
      </c>
      <c r="F43" s="6" t="inlineStr">
        <is>
          <t>Absent</t>
        </is>
      </c>
      <c r="G43" s="6" t="inlineStr">
        <is>
          <t>Morning</t>
        </is>
      </c>
      <c r="H43" s="6" t="inlineStr">
        <is>
          <t>Contract</t>
        </is>
      </c>
    </row>
    <row r="44">
      <c r="A44" s="6" t="inlineStr">
        <is>
          <t>E107</t>
        </is>
      </c>
      <c r="B44" s="6" t="inlineStr">
        <is>
          <t>Pooja</t>
        </is>
      </c>
      <c r="C44" s="6" t="inlineStr">
        <is>
          <t>IT</t>
        </is>
      </c>
      <c r="D44" s="6" t="inlineStr">
        <is>
          <t>North</t>
        </is>
      </c>
      <c r="E44" s="6" t="n">
        <v>21</v>
      </c>
      <c r="F44" s="6" t="inlineStr">
        <is>
          <t>Present</t>
        </is>
      </c>
      <c r="G44" s="6" t="inlineStr">
        <is>
          <t>Morning</t>
        </is>
      </c>
      <c r="H44" s="6" t="inlineStr">
        <is>
          <t>Full-Time</t>
        </is>
      </c>
    </row>
    <row r="45">
      <c r="A45" s="6" t="inlineStr">
        <is>
          <t>E108</t>
        </is>
      </c>
      <c r="B45" s="6" t="inlineStr">
        <is>
          <t>Rohit</t>
        </is>
      </c>
      <c r="C45" s="6" t="inlineStr">
        <is>
          <t>Sales</t>
        </is>
      </c>
      <c r="D45" s="6" t="inlineStr">
        <is>
          <t>South</t>
        </is>
      </c>
      <c r="E45" s="6" t="n">
        <v>23</v>
      </c>
      <c r="F45" s="6" t="inlineStr">
        <is>
          <t>Present</t>
        </is>
      </c>
      <c r="G45" s="6" t="inlineStr">
        <is>
          <t>Evening</t>
        </is>
      </c>
      <c r="H45" s="6" t="inlineStr">
        <is>
          <t>Full-Time</t>
        </is>
      </c>
    </row>
    <row r="46">
      <c r="A46" s="6" t="inlineStr">
        <is>
          <t>E109</t>
        </is>
      </c>
      <c r="B46" s="6" t="inlineStr">
        <is>
          <t>Siya</t>
        </is>
      </c>
      <c r="C46" s="6" t="inlineStr">
        <is>
          <t>HR</t>
        </is>
      </c>
      <c r="D46" s="6" t="inlineStr">
        <is>
          <t>North</t>
        </is>
      </c>
      <c r="E46" s="6" t="n">
        <v>17</v>
      </c>
      <c r="F46" s="6" t="inlineStr">
        <is>
          <t>Absent</t>
        </is>
      </c>
      <c r="G46" s="6" t="inlineStr">
        <is>
          <t>Evening</t>
        </is>
      </c>
      <c r="H46" s="6" t="inlineStr">
        <is>
          <t>Contract</t>
        </is>
      </c>
    </row>
    <row r="47">
      <c r="A47" s="6" t="inlineStr">
        <is>
          <t>E110</t>
        </is>
      </c>
      <c r="B47" s="6" t="inlineStr">
        <is>
          <t>Arjun</t>
        </is>
      </c>
      <c r="C47" s="6" t="inlineStr">
        <is>
          <t>IT</t>
        </is>
      </c>
      <c r="D47" s="6" t="inlineStr">
        <is>
          <t>South</t>
        </is>
      </c>
      <c r="E47" s="6" t="n">
        <v>24</v>
      </c>
      <c r="F47" s="6" t="inlineStr">
        <is>
          <t>Present</t>
        </is>
      </c>
      <c r="G47" s="6" t="inlineStr">
        <is>
          <t>Morning</t>
        </is>
      </c>
      <c r="H47" s="6" t="inlineStr">
        <is>
          <t>Full-Time</t>
        </is>
      </c>
    </row>
    <row r="48">
      <c r="A48" s="6" t="inlineStr">
        <is>
          <t>E111</t>
        </is>
      </c>
      <c r="B48" s="6" t="inlineStr">
        <is>
          <t>Kavya</t>
        </is>
      </c>
      <c r="C48" s="6" t="inlineStr">
        <is>
          <t>Sales</t>
        </is>
      </c>
      <c r="D48" s="6" t="inlineStr">
        <is>
          <t>North</t>
        </is>
      </c>
      <c r="E48" s="6" t="n">
        <v>22</v>
      </c>
      <c r="F48" s="6" t="inlineStr">
        <is>
          <t>Present</t>
        </is>
      </c>
      <c r="G48" s="6" t="inlineStr">
        <is>
          <t>Evening</t>
        </is>
      </c>
      <c r="H48" s="6" t="inlineStr">
        <is>
          <t>Full-Time</t>
        </is>
      </c>
    </row>
    <row r="49">
      <c r="A49" s="6" t="inlineStr">
        <is>
          <t>E112</t>
        </is>
      </c>
      <c r="B49" s="6" t="inlineStr">
        <is>
          <t>Vikas</t>
        </is>
      </c>
      <c r="C49" s="6" t="inlineStr">
        <is>
          <t>IT</t>
        </is>
      </c>
      <c r="D49" s="6" t="inlineStr">
        <is>
          <t>North</t>
        </is>
      </c>
      <c r="E49" s="6" t="n">
        <v>18</v>
      </c>
      <c r="F49" s="6" t="inlineStr">
        <is>
          <t>Absent</t>
        </is>
      </c>
      <c r="G49" s="6" t="inlineStr">
        <is>
          <t>Morning</t>
        </is>
      </c>
      <c r="H49" s="6" t="inlineStr">
        <is>
          <t>Contract</t>
        </is>
      </c>
    </row>
    <row r="50"/>
    <row r="51">
      <c r="A51" s="10" t="inlineStr">
        <is>
          <t>COUNTIFS TASKS — EMPLOYEE ATTENDANCE</t>
        </is>
      </c>
    </row>
    <row r="52">
      <c r="A52" s="5" t="inlineStr">
        <is>
          <t>#</t>
        </is>
      </c>
      <c r="B52" s="5" t="inlineStr">
        <is>
          <t>Business Question</t>
        </is>
      </c>
      <c r="C52" s="5" t="inlineStr">
        <is>
          <t>COUNTIFS Formula</t>
        </is>
      </c>
      <c r="D52" s="5" t="inlineStr">
        <is>
          <t>Your Answer</t>
        </is>
      </c>
    </row>
    <row r="53">
      <c r="A53" s="6" t="n">
        <v>1</v>
      </c>
      <c r="B53" s="6" t="inlineStr">
        <is>
          <t>How many Sales employees work in North?</t>
        </is>
      </c>
      <c r="C53" s="12">
        <f>COUNTIFS(C38:C49,"Sales",D38:D49,"North")</f>
        <v/>
      </c>
      <c r="D53" s="12" t="n">
        <v>3</v>
      </c>
    </row>
    <row r="54">
      <c r="A54" s="6" t="n">
        <v>2</v>
      </c>
      <c r="B54" s="6" t="inlineStr">
        <is>
          <t>How many HR employees are Absent?</t>
        </is>
      </c>
      <c r="C54" s="12">
        <f>COUNTIFS(C38:C49,"HR",F38:F49,"Absent")</f>
        <v/>
      </c>
      <c r="D54" s="12" t="n">
        <v>2</v>
      </c>
    </row>
    <row r="55">
      <c r="A55" s="6" t="n">
        <v>3</v>
      </c>
      <c r="B55" s="6" t="inlineStr">
        <is>
          <t>How many IT employees have Present Days &gt;= 20?</t>
        </is>
      </c>
      <c r="C55" s="12">
        <f>COUNTIFS(C38:C49,"IT",E38:E49,"&gt;=20")</f>
        <v/>
      </c>
      <c r="D55" s="12" t="n">
        <v>2</v>
      </c>
    </row>
    <row r="56">
      <c r="A56" s="6" t="n">
        <v>4</v>
      </c>
      <c r="B56" s="6" t="inlineStr">
        <is>
          <t>How many employees are Absent in South?</t>
        </is>
      </c>
      <c r="C56" s="12">
        <f>COUNTIFS(D38:D49,"South",F38:F49,"Absent")</f>
        <v/>
      </c>
      <c r="D56" s="12" t="n">
        <v>2</v>
      </c>
    </row>
    <row r="57">
      <c r="A57" s="6" t="n">
        <v>5</v>
      </c>
      <c r="B57" s="6" t="inlineStr">
        <is>
          <t>How many Sales employees have Present Days &gt;= 20?</t>
        </is>
      </c>
      <c r="C57" s="12">
        <f>COUNTIFS(C38:C49,"Sales",E38:E49,"&gt;=20")</f>
        <v/>
      </c>
      <c r="D57" s="12" t="n">
        <v>2</v>
      </c>
    </row>
    <row r="58">
      <c r="A58" s="6" t="n">
        <v>6</v>
      </c>
      <c r="B58" s="6" t="inlineStr">
        <is>
          <t>How many Full-Time employees are Present in North?</t>
        </is>
      </c>
      <c r="C58" s="12">
        <f>COUNTIFS(H38:H49,"Full-Time",F38:F49,"Present",D38:D49,"North")</f>
        <v/>
      </c>
      <c r="D58" s="12" t="n">
        <v>2</v>
      </c>
    </row>
    <row r="59"/>
    <row r="60"/>
    <row r="61">
      <c r="A61" s="11" t="inlineStr">
        <is>
          <t>FINAL BUSINESS CHALLENGE — DASHBOARD KPI COUNTS</t>
        </is>
      </c>
    </row>
    <row r="62">
      <c r="A62" s="5" t="inlineStr">
        <is>
          <t>KPI</t>
        </is>
      </c>
      <c r="B62" s="12">
        <f>COUNTIFS(D13:D24,"North",F13:F24,"Completed")</f>
        <v/>
      </c>
      <c r="C62" s="12" t="n">
        <v>5</v>
      </c>
      <c r="D62" s="5" t="inlineStr">
        <is>
          <t>Business Meaning</t>
        </is>
      </c>
    </row>
    <row r="63">
      <c r="A63" s="6" t="inlineStr">
        <is>
          <t>Completed North orders</t>
        </is>
      </c>
      <c r="B63" s="12">
        <f>COUNTIFS(D13:D24,"South",F13:F24,"Cancelled")</f>
        <v/>
      </c>
      <c r="C63" s="12" t="n">
        <v>1</v>
      </c>
      <c r="D63" s="6" t="inlineStr">
        <is>
          <t>Completed sales activity in North</t>
        </is>
      </c>
    </row>
    <row r="64">
      <c r="A64" s="6" t="inlineStr">
        <is>
          <t>Cancelled South orders</t>
        </is>
      </c>
      <c r="B64" s="12">
        <f>COUNTIFS(H13:H24,"Online",F13:F24,"Completed",D13:D24,"North")</f>
        <v/>
      </c>
      <c r="C64" s="12" t="n">
        <v>3</v>
      </c>
      <c r="D64" s="6" t="inlineStr">
        <is>
          <t>Lost/cancelled orders in South</t>
        </is>
      </c>
    </row>
    <row r="65">
      <c r="A65" s="6" t="inlineStr">
        <is>
          <t>Online Completed North orders</t>
        </is>
      </c>
      <c r="B65" s="12">
        <f>COUNTIFS(C38:C49,"Sales",E38:E49,"&gt;=20")</f>
        <v/>
      </c>
      <c r="C65" s="12" t="n">
        <v>2</v>
      </c>
      <c r="D65" s="6" t="inlineStr">
        <is>
          <t>Successful online orders in North</t>
        </is>
      </c>
    </row>
    <row r="66">
      <c r="A66" s="6" t="inlineStr">
        <is>
          <t>Sales employees with 20+ present days</t>
        </is>
      </c>
      <c r="B66" s="12">
        <f>COUNTIFS(H38:H49,"Full-Time",F38:F49,"Present",D38:D49,"North")</f>
        <v/>
      </c>
      <c r="C66" s="12" t="n">
        <v>2</v>
      </c>
      <c r="D66" s="6" t="inlineStr">
        <is>
          <t>Attendance meeting 20+ day threshold</t>
        </is>
      </c>
    </row>
    <row r="67">
      <c r="A67" s="6" t="inlineStr">
        <is>
          <t>Full-Time Present North employees</t>
        </is>
      </c>
      <c r="B67" s="8" t="n"/>
      <c r="C67" s="8" t="n"/>
      <c r="D67" s="6" t="inlineStr">
        <is>
          <t>Full-time North employees currently present</t>
        </is>
      </c>
    </row>
    <row r="69">
      <c r="H69" s="3" t="inlineStr">
        <is>
          <t>GREEN CELLS = SOLUTION FORMULAS / ANSWERS</t>
        </is>
      </c>
    </row>
    <row r="70">
      <c r="H70" s="13" t="inlineStr">
        <is>
          <t>Practice and Solutions align row-for-row.</t>
        </is>
      </c>
    </row>
  </sheetData>
  <mergeCells count="11">
    <mergeCell ref="A26:H26"/>
    <mergeCell ref="A5:H5"/>
    <mergeCell ref="A7:H7"/>
    <mergeCell ref="A2:H2"/>
    <mergeCell ref="A51:H51"/>
    <mergeCell ref="A36:H36"/>
    <mergeCell ref="A11:H11"/>
    <mergeCell ref="A1:H1"/>
    <mergeCell ref="A8:H8"/>
    <mergeCell ref="A61:H6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2026-08-25T08:45:32Z</dcterms:created>
  <dcterms:modified xmlns:dcterms="http://purl.org/dc/terms/" xmlns:xsi="http://www.w3.org/2001/XMLSchema-instance" xsi:type="dcterms:W3CDTF">2026-08-25T08:45:37Z</dcterms:modified>
</cp:coreProperties>
</file>