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anking Case" sheetId="2" state="visible" r:id="rId2"/>
    <sheet xmlns:r="http://schemas.openxmlformats.org/officeDocument/2006/relationships" name="Retail Case" sheetId="3" state="visible" r:id="rId3"/>
    <sheet xmlns:r="http://schemas.openxmlformats.org/officeDocument/2006/relationships" name="Operations Case" sheetId="4" state="visible" r:id="rId4"/>
    <sheet xmlns:r="http://schemas.openxmlformats.org/officeDocument/2006/relationships" name="Final Challenge" sheetId="5" state="visible" r:id="rId5"/>
    <sheet xmlns:r="http://schemas.openxmlformats.org/officeDocument/2006/relationships" name="Solu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374151"/>
    </font>
    <font>
      <b val="1"/>
      <color rgb="007C3AED"/>
      <sz val="14"/>
    </font>
    <font>
      <b val="1"/>
      <color rgb="00FFFFFF"/>
    </font>
    <font>
      <b val="1"/>
      <color rgb="00EA580C"/>
      <sz val="14"/>
    </font>
  </fonts>
  <fills count="4">
    <fill>
      <patternFill/>
    </fill>
    <fill>
      <patternFill patternType="gray125"/>
    </fill>
    <fill>
      <patternFill patternType="solid">
        <fgColor rgb="000B6B4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BankCustomers" displayName="BankCustomers" ref="A4:H14" headerRowCount="1">
  <autoFilter ref="A4:H14"/>
  <tableColumns count="8">
    <tableColumn id="1" name="Customer ID"/>
    <tableColumn id="2" name="Customer Name"/>
    <tableColumn id="3" name="Branch Code"/>
    <tableColumn id="4" name="Product Code"/>
    <tableColumn id="5" name="Account Type"/>
    <tableColumn id="6" name="Balance"/>
    <tableColumn id="7" name="RM ID"/>
    <tableColumn id="8" name="Status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BankProducts" displayName="BankProducts" ref="A17:D20" headerRowCount="1">
  <autoFilter ref="A17:D20"/>
  <tableColumns count="4">
    <tableColumn id="1" name="Product Code"/>
    <tableColumn id="2" name="Product Name"/>
    <tableColumn id="3" name="Interest Rate"/>
    <tableColumn id="4" name="Segment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Branches" displayName="Branches" ref="A23:D28" headerRowCount="1">
  <autoFilter ref="A23:D28"/>
  <tableColumns count="4">
    <tableColumn id="1" name="Branch Code"/>
    <tableColumn id="2" name="Branch Name"/>
    <tableColumn id="3" name="City"/>
    <tableColumn id="4" name="Region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RetailProducts" displayName="RetailProducts" ref="A4:G12" headerRowCount="1">
  <autoFilter ref="A4:G12"/>
  <tableColumns count="7">
    <tableColumn id="1" name="SKU"/>
    <tableColumn id="2" name="Product"/>
    <tableColumn id="3" name="Category"/>
    <tableColumn id="4" name="Supplier ID"/>
    <tableColumn id="5" name="Unit Price"/>
    <tableColumn id="6" name="Stock"/>
    <tableColumn id="7" name="Region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RetailSales" displayName="RetailSales" ref="A15:I19" headerRowCount="1">
  <autoFilter ref="A15:I19"/>
  <tableColumns count="9">
    <tableColumn id="1" name="Month"/>
    <tableColumn id="2" name="SKU701"/>
    <tableColumn id="3" name="SKU702"/>
    <tableColumn id="4" name="SKU703"/>
    <tableColumn id="5" name="SKU704"/>
    <tableColumn id="6" name="SKU705"/>
    <tableColumn id="7" name="SKU706"/>
    <tableColumn id="8" name="SKU707"/>
    <tableColumn id="9" name="SKU708"/>
  </tableColumns>
  <tableStyleInfo name="TableStyleMedium4" showRowStripes="1" showColumnStripes="0"/>
</table>
</file>

<file path=xl/tables/table6.xml><?xml version="1.0" encoding="utf-8"?>
<table xmlns="http://schemas.openxmlformats.org/spreadsheetml/2006/main" id="6" name="Suppliers" displayName="Suppliers" ref="A22:C26" headerRowCount="1">
  <autoFilter ref="A22:C26"/>
  <tableColumns count="3">
    <tableColumn id="1" name="Supplier ID"/>
    <tableColumn id="2" name="Supplier Name"/>
    <tableColumn id="3" name="Payment Terms"/>
  </tableColumns>
  <tableStyleInfo name="TableStyleMedium4" showRowStripes="1" showColumnStripes="0"/>
</table>
</file>

<file path=xl/tables/table7.xml><?xml version="1.0" encoding="utf-8"?>
<table xmlns="http://schemas.openxmlformats.org/spreadsheetml/2006/main" id="7" name="Employees" displayName="Employees" ref="A4:F12" headerRowCount="1">
  <autoFilter ref="A4:F12"/>
  <tableColumns count="6">
    <tableColumn id="1" name="Employee ID"/>
    <tableColumn id="2" name="Employee Name"/>
    <tableColumn id="3" name="Department"/>
    <tableColumn id="4" name="Grade"/>
    <tableColumn id="5" name="Location"/>
    <tableColumn id="6" name="Performance"/>
  </tableColumns>
  <tableStyleInfo name="TableStyleMedium4" showRowStripes="1" showColumnStripes="0"/>
</table>
</file>

<file path=xl/tables/table8.xml><?xml version="1.0" encoding="utf-8"?>
<table xmlns="http://schemas.openxmlformats.org/spreadsheetml/2006/main" id="8" name="Compensation" displayName="Compensation" ref="A15:F20" headerRowCount="1">
  <autoFilter ref="A15:F20"/>
  <tableColumns count="6">
    <tableColumn id="1" name="Component"/>
    <tableColumn id="2" name="G1"/>
    <tableColumn id="3" name="G2"/>
    <tableColumn id="4" name="G3"/>
    <tableColumn id="5" name="G4"/>
    <tableColumn id="6" name="G5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58" customWidth="1" min="3" max="3"/>
    <col width="40" customWidth="1" min="4" max="4"/>
    <col width="22" customWidth="1" min="5" max="5"/>
    <col width="20" customWidth="1" min="6" max="6"/>
    <col width="20" customWidth="1" min="7" max="7"/>
    <col width="24" customWidth="1" min="8" max="8"/>
    <col width="24" customWidth="1" min="9" max="9"/>
    <col width="20" customWidth="1" min="10" max="10"/>
  </cols>
  <sheetData>
    <row r="1">
      <c r="A1" s="1" t="inlineStr">
        <is>
          <t>LEVEL 2 • SESSION 3 — FINAL LOOKUP PRACTICE</t>
        </is>
      </c>
    </row>
    <row r="2">
      <c r="A2" s="2" t="inlineStr">
        <is>
          <t>Capstone practice: VLOOKUP • XLOOKUP • INDEX + MATCH • HLOOKUP • Dynamic / two-way lookups</t>
        </is>
      </c>
    </row>
    <row r="3"/>
    <row r="4">
      <c r="A4" s="3" t="inlineStr">
        <is>
          <t>How to use this workbook</t>
        </is>
      </c>
    </row>
    <row r="5">
      <c r="A5" s="4" t="inlineStr">
        <is>
          <t>1. Work through Banking Case, Retail Case and Operations Case without opening Solutions.</t>
        </is>
      </c>
    </row>
    <row r="6">
      <c r="A6" s="4" t="inlineStr">
        <is>
          <t>2. Use the function that best fits the table structure. Do not force VLOOKUP when XLOOKUP or INDEX + MATCH is more appropriate.</t>
        </is>
      </c>
    </row>
    <row r="7">
      <c r="A7" s="4" t="inlineStr">
        <is>
          <t>3. Build formulas from cell references rather than hard-coding business values.</t>
        </is>
      </c>
    </row>
    <row r="8">
      <c r="A8" s="4" t="inlineStr">
        <is>
          <t>4. Use exact matching for IDs, SKUs, employee codes and other unique keys.</t>
        </is>
      </c>
    </row>
    <row r="9">
      <c r="A9" s="4" t="inlineStr">
        <is>
          <t>5. Use INDEX + MATCH + MATCH when both row and column selections are dynamic.</t>
        </is>
      </c>
    </row>
    <row r="10">
      <c r="A10" s="4" t="inlineStr">
        <is>
          <t>6. Test invalid IDs and missing values. A production report should not expose raw #N/A errors.</t>
        </is>
      </c>
    </row>
    <row r="11">
      <c r="A11" s="4" t="inlineStr">
        <is>
          <t>7. Finish with Final Challenge: combine multiple lookup techniques into one business-style report.</t>
        </is>
      </c>
    </row>
    <row r="12"/>
    <row r="13"/>
    <row r="14">
      <c r="A14" s="3" t="inlineStr">
        <is>
          <t>Function decision guide</t>
        </is>
      </c>
    </row>
    <row r="15">
      <c r="A15" s="5" t="inlineStr">
        <is>
          <t>Need</t>
        </is>
      </c>
      <c r="B15" s="5" t="inlineStr">
        <is>
          <t>Best starting choice</t>
        </is>
      </c>
      <c r="C15" s="5" t="inlineStr">
        <is>
          <t>Why</t>
        </is>
      </c>
    </row>
    <row r="16">
      <c r="A16" s="4" t="inlineStr">
        <is>
          <t>Simple vertical lookup</t>
        </is>
      </c>
      <c r="B16" s="4" t="inlineStr">
        <is>
          <t>XLOOKUP / VLOOKUP</t>
        </is>
      </c>
      <c r="C16" s="4" t="inlineStr">
        <is>
          <t>Fast retrieval from a vertical master table.</t>
        </is>
      </c>
    </row>
    <row r="17">
      <c r="A17" s="4" t="inlineStr">
        <is>
          <t>Reverse lookup</t>
        </is>
      </c>
      <c r="B17" s="4" t="inlineStr">
        <is>
          <t>XLOOKUP / INDEX + MATCH</t>
        </is>
      </c>
      <c r="C17" s="4" t="inlineStr">
        <is>
          <t>Can return a value from a column to the left.</t>
        </is>
      </c>
    </row>
    <row r="18">
      <c r="A18" s="4" t="inlineStr">
        <is>
          <t>Horizontal lookup</t>
        </is>
      </c>
      <c r="B18" s="4" t="inlineStr">
        <is>
          <t>XLOOKUP / HLOOKUP</t>
        </is>
      </c>
      <c r="C18" s="4" t="inlineStr">
        <is>
          <t>Works with headers arranged horizontally.</t>
        </is>
      </c>
    </row>
    <row r="19">
      <c r="A19" s="4" t="inlineStr">
        <is>
          <t>Two-way matrix</t>
        </is>
      </c>
      <c r="B19" s="4" t="inlineStr">
        <is>
          <t>INDEX + MATCH + MATCH</t>
        </is>
      </c>
      <c r="C19" s="4" t="inlineStr">
        <is>
          <t>Dynamic row + column intersection.</t>
        </is>
      </c>
    </row>
    <row r="20">
      <c r="A20" s="4" t="inlineStr">
        <is>
          <t>Flexible dynamic report</t>
        </is>
      </c>
      <c r="B20" s="4" t="inlineStr">
        <is>
          <t>XLOOKUP + INDEX/MATCH</t>
        </is>
      </c>
      <c r="C20" s="4" t="inlineStr">
        <is>
          <t>Lets the user drive the output with inputs.</t>
        </is>
      </c>
    </row>
    <row r="21"/>
    <row r="22"/>
    <row r="23">
      <c r="A23" s="3" t="inlineStr">
        <is>
          <t>Assessment standard</t>
        </is>
      </c>
    </row>
    <row r="24">
      <c r="A24" s="4" t="inlineStr">
        <is>
          <t>✓</t>
        </is>
      </c>
      <c r="B24" s="4" t="inlineStr">
        <is>
          <t>Correct formula</t>
        </is>
      </c>
    </row>
    <row r="25">
      <c r="A25" s="4" t="inlineStr">
        <is>
          <t>✓</t>
        </is>
      </c>
      <c r="B25" s="4" t="inlineStr">
        <is>
          <t>Dynamic references</t>
        </is>
      </c>
    </row>
    <row r="26">
      <c r="A26" s="4" t="inlineStr">
        <is>
          <t>✓</t>
        </is>
      </c>
      <c r="B26" s="4" t="inlineStr">
        <is>
          <t>Correct match logic</t>
        </is>
      </c>
    </row>
    <row r="27">
      <c r="A27" s="4" t="inlineStr">
        <is>
          <t>✓</t>
        </is>
      </c>
      <c r="B27" s="4" t="inlineStr">
        <is>
          <t>Error handling</t>
        </is>
      </c>
    </row>
    <row r="28">
      <c r="A28" s="4" t="inlineStr">
        <is>
          <t>✓</t>
        </is>
      </c>
      <c r="B28" s="4" t="inlineStr">
        <is>
          <t>Can explain why the chosen function fits</t>
        </is>
      </c>
    </row>
  </sheetData>
  <mergeCells count="9">
    <mergeCell ref="A9:H9"/>
    <mergeCell ref="A1:J1"/>
    <mergeCell ref="A7:H7"/>
    <mergeCell ref="A2:J2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58" customWidth="1" min="3" max="3"/>
    <col width="40" customWidth="1" min="4" max="4"/>
    <col width="22" customWidth="1" min="5" max="5"/>
    <col width="20" customWidth="1" min="6" max="6"/>
    <col width="20" customWidth="1" min="7" max="7"/>
    <col width="24" customWidth="1" min="8" max="8"/>
    <col width="24" customWidth="1" min="9" max="9"/>
    <col width="20" customWidth="1" min="10" max="10"/>
  </cols>
  <sheetData>
    <row r="1">
      <c r="A1" s="1" t="inlineStr">
        <is>
          <t>CASE 1 — BANKING CUSTOMER SERVICE</t>
        </is>
      </c>
    </row>
    <row r="2">
      <c r="A2" s="2" t="inlineStr">
        <is>
          <t>Use customer, product and branch data to build a dynamic account lookup.</t>
        </is>
      </c>
    </row>
    <row r="3"/>
    <row r="4">
      <c r="A4" s="5" t="inlineStr">
        <is>
          <t>Customer ID</t>
        </is>
      </c>
      <c r="B4" s="5" t="inlineStr">
        <is>
          <t>Customer Name</t>
        </is>
      </c>
      <c r="C4" s="5" t="inlineStr">
        <is>
          <t>Branch Code</t>
        </is>
      </c>
      <c r="D4" s="5" t="inlineStr">
        <is>
          <t>Product Code</t>
        </is>
      </c>
      <c r="E4" s="5" t="inlineStr">
        <is>
          <t>Account Type</t>
        </is>
      </c>
      <c r="F4" s="5" t="inlineStr">
        <is>
          <t>Balance</t>
        </is>
      </c>
      <c r="G4" s="5" t="inlineStr">
        <is>
          <t>RM ID</t>
        </is>
      </c>
      <c r="H4" s="5" t="inlineStr">
        <is>
          <t>Status</t>
        </is>
      </c>
    </row>
    <row r="5">
      <c r="A5" s="4" t="inlineStr">
        <is>
          <t>C5001</t>
        </is>
      </c>
      <c r="B5" s="4" t="inlineStr">
        <is>
          <t>Aarav Mehta</t>
        </is>
      </c>
      <c r="C5" s="4" t="inlineStr">
        <is>
          <t>BR01</t>
        </is>
      </c>
      <c r="D5" s="4" t="inlineStr">
        <is>
          <t>SAV01</t>
        </is>
      </c>
      <c r="E5" s="4" t="inlineStr">
        <is>
          <t>Savings</t>
        </is>
      </c>
      <c r="F5" s="4" t="n">
        <v>185000</v>
      </c>
      <c r="G5" s="4" t="inlineStr">
        <is>
          <t>RM01</t>
        </is>
      </c>
      <c r="H5" s="4" t="inlineStr">
        <is>
          <t>Active</t>
        </is>
      </c>
    </row>
    <row r="6">
      <c r="A6" s="4" t="inlineStr">
        <is>
          <t>C5002</t>
        </is>
      </c>
      <c r="B6" s="4" t="inlineStr">
        <is>
          <t>Diya Sharma</t>
        </is>
      </c>
      <c r="C6" s="4" t="inlineStr">
        <is>
          <t>BR02</t>
        </is>
      </c>
      <c r="D6" s="4" t="inlineStr">
        <is>
          <t>CUR02</t>
        </is>
      </c>
      <c r="E6" s="4" t="inlineStr">
        <is>
          <t>Current</t>
        </is>
      </c>
      <c r="F6" s="4" t="n">
        <v>620000</v>
      </c>
      <c r="G6" s="4" t="inlineStr">
        <is>
          <t>RM02</t>
        </is>
      </c>
      <c r="H6" s="4" t="inlineStr">
        <is>
          <t>Active</t>
        </is>
      </c>
    </row>
    <row r="7">
      <c r="A7" s="4" t="inlineStr">
        <is>
          <t>C5003</t>
        </is>
      </c>
      <c r="B7" s="4" t="inlineStr">
        <is>
          <t>Kabir Verma</t>
        </is>
      </c>
      <c r="C7" s="4" t="inlineStr">
        <is>
          <t>BR03</t>
        </is>
      </c>
      <c r="D7" s="4" t="inlineStr">
        <is>
          <t>SAL03</t>
        </is>
      </c>
      <c r="E7" s="4" t="inlineStr">
        <is>
          <t>Salary</t>
        </is>
      </c>
      <c r="F7" s="4" t="n">
        <v>95000</v>
      </c>
      <c r="G7" s="4" t="inlineStr">
        <is>
          <t>RM03</t>
        </is>
      </c>
      <c r="H7" s="4" t="inlineStr">
        <is>
          <t>Active</t>
        </is>
      </c>
    </row>
    <row r="8">
      <c r="A8" s="4" t="inlineStr">
        <is>
          <t>C5004</t>
        </is>
      </c>
      <c r="B8" s="4" t="inlineStr">
        <is>
          <t>Meera Iyer</t>
        </is>
      </c>
      <c r="C8" s="4" t="inlineStr">
        <is>
          <t>BR01</t>
        </is>
      </c>
      <c r="D8" s="4" t="inlineStr">
        <is>
          <t>SAV01</t>
        </is>
      </c>
      <c r="E8" s="4" t="inlineStr">
        <is>
          <t>Savings</t>
        </is>
      </c>
      <c r="F8" s="4" t="n">
        <v>275000</v>
      </c>
      <c r="G8" s="4" t="inlineStr">
        <is>
          <t>RM01</t>
        </is>
      </c>
      <c r="H8" s="4" t="inlineStr">
        <is>
          <t>Dormant</t>
        </is>
      </c>
    </row>
    <row r="9">
      <c r="A9" s="4" t="inlineStr">
        <is>
          <t>C5005</t>
        </is>
      </c>
      <c r="B9" s="4" t="inlineStr">
        <is>
          <t>Arjun Patel</t>
        </is>
      </c>
      <c r="C9" s="4" t="inlineStr">
        <is>
          <t>BR04</t>
        </is>
      </c>
      <c r="D9" s="4" t="inlineStr">
        <is>
          <t>CUR02</t>
        </is>
      </c>
      <c r="E9" s="4" t="inlineStr">
        <is>
          <t>Current</t>
        </is>
      </c>
      <c r="F9" s="4" t="n">
        <v>840000</v>
      </c>
      <c r="G9" s="4" t="inlineStr">
        <is>
          <t>RM04</t>
        </is>
      </c>
      <c r="H9" s="4" t="inlineStr">
        <is>
          <t>Active</t>
        </is>
      </c>
    </row>
    <row r="10">
      <c r="A10" s="4" t="inlineStr">
        <is>
          <t>C5006</t>
        </is>
      </c>
      <c r="B10" s="4" t="inlineStr">
        <is>
          <t>Riya Singh</t>
        </is>
      </c>
      <c r="C10" s="4" t="inlineStr">
        <is>
          <t>BR02</t>
        </is>
      </c>
      <c r="D10" s="4" t="inlineStr">
        <is>
          <t>SAV01</t>
        </is>
      </c>
      <c r="E10" s="4" t="inlineStr">
        <is>
          <t>Savings</t>
        </is>
      </c>
      <c r="F10" s="4" t="n">
        <v>145000</v>
      </c>
      <c r="G10" s="4" t="inlineStr">
        <is>
          <t>RM02</t>
        </is>
      </c>
      <c r="H10" s="4" t="inlineStr">
        <is>
          <t>Active</t>
        </is>
      </c>
    </row>
    <row r="11">
      <c r="A11" s="4" t="inlineStr">
        <is>
          <t>C5007</t>
        </is>
      </c>
      <c r="B11" s="4" t="inlineStr">
        <is>
          <t>Karan Joshi</t>
        </is>
      </c>
      <c r="C11" s="4" t="inlineStr">
        <is>
          <t>BR05</t>
        </is>
      </c>
      <c r="D11" s="4" t="inlineStr">
        <is>
          <t>SAL03</t>
        </is>
      </c>
      <c r="E11" s="4" t="inlineStr">
        <is>
          <t>Salary</t>
        </is>
      </c>
      <c r="F11" s="4" t="n">
        <v>210000</v>
      </c>
      <c r="G11" s="4" t="inlineStr">
        <is>
          <t>RM05</t>
        </is>
      </c>
      <c r="H11" s="4" t="inlineStr">
        <is>
          <t>Active</t>
        </is>
      </c>
    </row>
    <row r="12">
      <c r="A12" s="4" t="inlineStr">
        <is>
          <t>C5008</t>
        </is>
      </c>
      <c r="B12" s="4" t="inlineStr">
        <is>
          <t>Ananya Gupta</t>
        </is>
      </c>
      <c r="C12" s="4" t="inlineStr">
        <is>
          <t>BR03</t>
        </is>
      </c>
      <c r="D12" s="4" t="inlineStr">
        <is>
          <t>SAV01</t>
        </is>
      </c>
      <c r="E12" s="4" t="inlineStr">
        <is>
          <t>Savings</t>
        </is>
      </c>
      <c r="F12" s="4" t="n">
        <v>320000</v>
      </c>
      <c r="G12" s="4" t="inlineStr">
        <is>
          <t>RM03</t>
        </is>
      </c>
      <c r="H12" s="4" t="inlineStr">
        <is>
          <t>Active</t>
        </is>
      </c>
    </row>
    <row r="13">
      <c r="A13" s="4" t="inlineStr">
        <is>
          <t>C5009</t>
        </is>
      </c>
      <c r="B13" s="4" t="inlineStr">
        <is>
          <t>Neel Kapoor</t>
        </is>
      </c>
      <c r="C13" s="4" t="inlineStr">
        <is>
          <t>BR04</t>
        </is>
      </c>
      <c r="D13" s="4" t="inlineStr">
        <is>
          <t>CUR02</t>
        </is>
      </c>
      <c r="E13" s="4" t="inlineStr">
        <is>
          <t>Current</t>
        </is>
      </c>
      <c r="F13" s="4" t="n">
        <v>510000</v>
      </c>
      <c r="G13" s="4" t="inlineStr">
        <is>
          <t>RM04</t>
        </is>
      </c>
      <c r="H13" s="4" t="inlineStr">
        <is>
          <t>Active</t>
        </is>
      </c>
    </row>
    <row r="14">
      <c r="A14" s="4" t="inlineStr">
        <is>
          <t>C5010</t>
        </is>
      </c>
      <c r="B14" s="4" t="inlineStr">
        <is>
          <t>Tara Malhotra</t>
        </is>
      </c>
      <c r="C14" s="4" t="inlineStr">
        <is>
          <t>BR05</t>
        </is>
      </c>
      <c r="D14" s="4" t="inlineStr">
        <is>
          <t>SAL03</t>
        </is>
      </c>
      <c r="E14" s="4" t="inlineStr">
        <is>
          <t>Salary</t>
        </is>
      </c>
      <c r="F14" s="4" t="n">
        <v>175000</v>
      </c>
      <c r="G14" s="4" t="inlineStr">
        <is>
          <t>RM05</t>
        </is>
      </c>
      <c r="H14" s="4" t="inlineStr">
        <is>
          <t>Dormant</t>
        </is>
      </c>
    </row>
    <row r="15"/>
    <row r="16"/>
    <row r="17">
      <c r="A17" s="6" t="inlineStr">
        <is>
          <t>Product Code</t>
        </is>
      </c>
      <c r="B17" s="6" t="inlineStr">
        <is>
          <t>Product Name</t>
        </is>
      </c>
      <c r="C17" s="6" t="inlineStr">
        <is>
          <t>Interest Rate</t>
        </is>
      </c>
      <c r="D17" s="6" t="inlineStr">
        <is>
          <t>Segment</t>
        </is>
      </c>
    </row>
    <row r="18">
      <c r="A18" s="4" t="inlineStr">
        <is>
          <t>SAV01</t>
        </is>
      </c>
      <c r="B18" s="4" t="inlineStr">
        <is>
          <t>Savings Plus</t>
        </is>
      </c>
      <c r="C18" s="4" t="n">
        <v>4.25</v>
      </c>
      <c r="D18" s="4" t="inlineStr">
        <is>
          <t>Retail</t>
        </is>
      </c>
    </row>
    <row r="19">
      <c r="A19" s="4" t="inlineStr">
        <is>
          <t>CUR02</t>
        </is>
      </c>
      <c r="B19" s="4" t="inlineStr">
        <is>
          <t>Business Current</t>
        </is>
      </c>
      <c r="C19" s="4" t="n">
        <v>0</v>
      </c>
      <c r="D19" s="4" t="inlineStr">
        <is>
          <t>Business</t>
        </is>
      </c>
    </row>
    <row r="20">
      <c r="A20" s="4" t="inlineStr">
        <is>
          <t>SAL03</t>
        </is>
      </c>
      <c r="B20" s="4" t="inlineStr">
        <is>
          <t>Salary Advantage</t>
        </is>
      </c>
      <c r="C20" s="4" t="n">
        <v>5.25</v>
      </c>
      <c r="D20" s="4" t="inlineStr">
        <is>
          <t>Retail</t>
        </is>
      </c>
    </row>
    <row r="21"/>
    <row r="22"/>
    <row r="23">
      <c r="A23" s="6" t="inlineStr">
        <is>
          <t>Branch Code</t>
        </is>
      </c>
      <c r="B23" s="6" t="inlineStr">
        <is>
          <t>Branch Name</t>
        </is>
      </c>
      <c r="C23" s="6" t="inlineStr">
        <is>
          <t>City</t>
        </is>
      </c>
      <c r="D23" s="6" t="inlineStr">
        <is>
          <t>Region</t>
        </is>
      </c>
    </row>
    <row r="24">
      <c r="A24" s="4" t="inlineStr">
        <is>
          <t>BR01</t>
        </is>
      </c>
      <c r="B24" s="4" t="inlineStr">
        <is>
          <t>Fort Branch</t>
        </is>
      </c>
      <c r="C24" s="4" t="inlineStr">
        <is>
          <t>Mumbai</t>
        </is>
      </c>
      <c r="D24" s="4" t="inlineStr">
        <is>
          <t>West</t>
        </is>
      </c>
    </row>
    <row r="25">
      <c r="A25" s="4" t="inlineStr">
        <is>
          <t>BR02</t>
        </is>
      </c>
      <c r="B25" s="4" t="inlineStr">
        <is>
          <t>Connaught Branch</t>
        </is>
      </c>
      <c r="C25" s="4" t="inlineStr">
        <is>
          <t>Delhi</t>
        </is>
      </c>
      <c r="D25" s="4" t="inlineStr">
        <is>
          <t>North</t>
        </is>
      </c>
    </row>
    <row r="26">
      <c r="A26" s="4" t="inlineStr">
        <is>
          <t>BR03</t>
        </is>
      </c>
      <c r="B26" s="4" t="inlineStr">
        <is>
          <t>MG Road Branch</t>
        </is>
      </c>
      <c r="C26" s="4" t="inlineStr">
        <is>
          <t>Bengaluru</t>
        </is>
      </c>
      <c r="D26" s="4" t="inlineStr">
        <is>
          <t>South</t>
        </is>
      </c>
    </row>
    <row r="27">
      <c r="A27" s="4" t="inlineStr">
        <is>
          <t>BR04</t>
        </is>
      </c>
      <c r="B27" s="4" t="inlineStr">
        <is>
          <t>Camp Branch</t>
        </is>
      </c>
      <c r="C27" s="4" t="inlineStr">
        <is>
          <t>Pune</t>
        </is>
      </c>
      <c r="D27" s="4" t="inlineStr">
        <is>
          <t>West</t>
        </is>
      </c>
    </row>
    <row r="28">
      <c r="A28" s="4" t="inlineStr">
        <is>
          <t>BR05</t>
        </is>
      </c>
      <c r="B28" s="4" t="inlineStr">
        <is>
          <t>T Nagar Branch</t>
        </is>
      </c>
      <c r="C28" s="4" t="inlineStr">
        <is>
          <t>Chennai</t>
        </is>
      </c>
      <c r="D28" s="4" t="inlineStr">
        <is>
          <t>South</t>
        </is>
      </c>
    </row>
    <row r="29"/>
    <row r="30"/>
    <row r="31">
      <c r="A31" s="7" t="inlineStr">
        <is>
          <t>PRACTICE TASKS</t>
        </is>
      </c>
    </row>
    <row r="32">
      <c r="A32" s="4" t="inlineStr">
        <is>
          <t>1.</t>
        </is>
      </c>
      <c r="B32" s="4" t="inlineStr">
        <is>
          <t>Use VLOOKUP to return Customer Name from Customer ID.</t>
        </is>
      </c>
    </row>
    <row r="33">
      <c r="A33" s="4" t="inlineStr">
        <is>
          <t>2.</t>
        </is>
      </c>
      <c r="B33" s="4" t="inlineStr">
        <is>
          <t>Use XLOOKUP to return Product Name from Product Code.</t>
        </is>
      </c>
    </row>
    <row r="34">
      <c r="A34" s="4" t="inlineStr">
        <is>
          <t>3.</t>
        </is>
      </c>
      <c r="B34" s="4" t="inlineStr">
        <is>
          <t>Use XLOOKUP to return Branch City from Branch Code.</t>
        </is>
      </c>
    </row>
    <row r="35">
      <c r="A35" s="4" t="inlineStr">
        <is>
          <t>4.</t>
        </is>
      </c>
      <c r="B35" s="4" t="inlineStr">
        <is>
          <t>Use INDEX + MATCH to return RM ID from Customer ID.</t>
        </is>
      </c>
    </row>
    <row r="36">
      <c r="A36" s="4" t="inlineStr">
        <is>
          <t>5.</t>
        </is>
      </c>
      <c r="B36" s="4" t="inlineStr">
        <is>
          <t>Use IFERROR / XLOOKUP not-found handling for an invalid Customer ID.</t>
        </is>
      </c>
    </row>
    <row r="37">
      <c r="A37" s="4" t="inlineStr">
        <is>
          <t>6.</t>
        </is>
      </c>
      <c r="B37" s="4" t="inlineStr">
        <is>
          <t>Build a customer summary using one Customer ID input: Name, Account Type, Balance, Product Name, Branch City and RM.</t>
        </is>
      </c>
    </row>
    <row r="38">
      <c r="A38" s="4" t="inlineStr">
        <is>
          <t>7.</t>
        </is>
      </c>
      <c r="B38" s="4" t="inlineStr">
        <is>
          <t>Challenge: calculate annual interest using Balance × Interest Rate returned from the Product table.</t>
        </is>
      </c>
    </row>
    <row r="39">
      <c r="A39" s="4" t="inlineStr">
        <is>
          <t>8.</t>
        </is>
      </c>
      <c r="B39" s="4" t="inlineStr">
        <is>
          <t>Explain which lookup you would choose for a production banking report and why.</t>
        </is>
      </c>
    </row>
  </sheetData>
  <mergeCells count="2">
    <mergeCell ref="A1:J1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58" customWidth="1" min="3" max="3"/>
    <col width="40" customWidth="1" min="4" max="4"/>
    <col width="22" customWidth="1" min="5" max="5"/>
    <col width="20" customWidth="1" min="6" max="6"/>
    <col width="20" customWidth="1" min="7" max="7"/>
    <col width="24" customWidth="1" min="8" max="8"/>
    <col width="24" customWidth="1" min="9" max="9"/>
    <col width="20" customWidth="1" min="10" max="10"/>
  </cols>
  <sheetData>
    <row r="1">
      <c r="A1" s="1" t="inlineStr">
        <is>
          <t>CASE 2 — RETAIL PRODUCT &amp; SALES</t>
        </is>
      </c>
    </row>
    <row r="2">
      <c r="A2" s="2" t="inlineStr">
        <is>
          <t>Combine product master data with a monthly sales matrix.</t>
        </is>
      </c>
    </row>
    <row r="3"/>
    <row r="4">
      <c r="A4" s="5" t="inlineStr">
        <is>
          <t>SKU</t>
        </is>
      </c>
      <c r="B4" s="5" t="inlineStr">
        <is>
          <t>Product</t>
        </is>
      </c>
      <c r="C4" s="5" t="inlineStr">
        <is>
          <t>Category</t>
        </is>
      </c>
      <c r="D4" s="5" t="inlineStr">
        <is>
          <t>Supplier ID</t>
        </is>
      </c>
      <c r="E4" s="5" t="inlineStr">
        <is>
          <t>Unit Price</t>
        </is>
      </c>
      <c r="F4" s="5" t="inlineStr">
        <is>
          <t>Stock</t>
        </is>
      </c>
      <c r="G4" s="5" t="inlineStr">
        <is>
          <t>Region</t>
        </is>
      </c>
    </row>
    <row r="5">
      <c r="A5" s="4" t="inlineStr">
        <is>
          <t>SKU701</t>
        </is>
      </c>
      <c r="B5" s="4" t="inlineStr">
        <is>
          <t>Laptop Pro</t>
        </is>
      </c>
      <c r="C5" s="4" t="inlineStr">
        <is>
          <t>Electronics</t>
        </is>
      </c>
      <c r="D5" s="4" t="inlineStr">
        <is>
          <t>SUP01</t>
        </is>
      </c>
      <c r="E5" s="4" t="n">
        <v>78000</v>
      </c>
      <c r="F5" s="4" t="n">
        <v>24</v>
      </c>
      <c r="G5" s="4" t="inlineStr">
        <is>
          <t>West</t>
        </is>
      </c>
    </row>
    <row r="6">
      <c r="A6" s="4" t="inlineStr">
        <is>
          <t>SKU702</t>
        </is>
      </c>
      <c r="B6" s="4" t="inlineStr">
        <is>
          <t>Monitor 27</t>
        </is>
      </c>
      <c r="C6" s="4" t="inlineStr">
        <is>
          <t>Electronics</t>
        </is>
      </c>
      <c r="D6" s="4" t="inlineStr">
        <is>
          <t>SUP02</t>
        </is>
      </c>
      <c r="E6" s="4" t="n">
        <v>21000</v>
      </c>
      <c r="F6" s="4" t="n">
        <v>37</v>
      </c>
      <c r="G6" s="4" t="inlineStr">
        <is>
          <t>North</t>
        </is>
      </c>
    </row>
    <row r="7">
      <c r="A7" s="4" t="inlineStr">
        <is>
          <t>SKU703</t>
        </is>
      </c>
      <c r="B7" s="4" t="inlineStr">
        <is>
          <t>Office Chair</t>
        </is>
      </c>
      <c r="C7" s="4" t="inlineStr">
        <is>
          <t>Furniture</t>
        </is>
      </c>
      <c r="D7" s="4" t="inlineStr">
        <is>
          <t>SUP03</t>
        </is>
      </c>
      <c r="E7" s="4" t="n">
        <v>12500</v>
      </c>
      <c r="F7" s="4" t="n">
        <v>18</v>
      </c>
      <c r="G7" s="4" t="inlineStr">
        <is>
          <t>South</t>
        </is>
      </c>
    </row>
    <row r="8">
      <c r="A8" s="4" t="inlineStr">
        <is>
          <t>SKU704</t>
        </is>
      </c>
      <c r="B8" s="4" t="inlineStr">
        <is>
          <t>Keyboard</t>
        </is>
      </c>
      <c r="C8" s="4" t="inlineStr">
        <is>
          <t>Accessories</t>
        </is>
      </c>
      <c r="D8" s="4" t="inlineStr">
        <is>
          <t>SUP02</t>
        </is>
      </c>
      <c r="E8" s="4" t="n">
        <v>3200</v>
      </c>
      <c r="F8" s="4" t="n">
        <v>86</v>
      </c>
      <c r="G8" s="4" t="inlineStr">
        <is>
          <t>North</t>
        </is>
      </c>
    </row>
    <row r="9">
      <c r="A9" s="4" t="inlineStr">
        <is>
          <t>SKU705</t>
        </is>
      </c>
      <c r="B9" s="4" t="inlineStr">
        <is>
          <t>Standing Desk</t>
        </is>
      </c>
      <c r="C9" s="4" t="inlineStr">
        <is>
          <t>Furniture</t>
        </is>
      </c>
      <c r="D9" s="4" t="inlineStr">
        <is>
          <t>SUP03</t>
        </is>
      </c>
      <c r="E9" s="4" t="n">
        <v>28500</v>
      </c>
      <c r="F9" s="4" t="n">
        <v>12</v>
      </c>
      <c r="G9" s="4" t="inlineStr">
        <is>
          <t>South</t>
        </is>
      </c>
    </row>
    <row r="10">
      <c r="A10" s="4" t="inlineStr">
        <is>
          <t>SKU706</t>
        </is>
      </c>
      <c r="B10" s="4" t="inlineStr">
        <is>
          <t>Tablet</t>
        </is>
      </c>
      <c r="C10" s="4" t="inlineStr">
        <is>
          <t>Electronics</t>
        </is>
      </c>
      <c r="D10" s="4" t="inlineStr">
        <is>
          <t>SUP04</t>
        </is>
      </c>
      <c r="E10" s="4" t="n">
        <v>33000</v>
      </c>
      <c r="F10" s="4" t="n">
        <v>29</v>
      </c>
      <c r="G10" s="4" t="inlineStr">
        <is>
          <t>East</t>
        </is>
      </c>
    </row>
    <row r="11">
      <c r="A11" s="4" t="inlineStr">
        <is>
          <t>SKU707</t>
        </is>
      </c>
      <c r="B11" s="4" t="inlineStr">
        <is>
          <t>Headset</t>
        </is>
      </c>
      <c r="C11" s="4" t="inlineStr">
        <is>
          <t>Accessories</t>
        </is>
      </c>
      <c r="D11" s="4" t="inlineStr">
        <is>
          <t>SUP04</t>
        </is>
      </c>
      <c r="E11" s="4" t="n">
        <v>4800</v>
      </c>
      <c r="F11" s="4" t="n">
        <v>63</v>
      </c>
      <c r="G11" s="4" t="inlineStr">
        <is>
          <t>East</t>
        </is>
      </c>
    </row>
    <row r="12">
      <c r="A12" s="4" t="inlineStr">
        <is>
          <t>SKU708</t>
        </is>
      </c>
      <c r="B12" s="4" t="inlineStr">
        <is>
          <t>Printer</t>
        </is>
      </c>
      <c r="C12" s="4" t="inlineStr">
        <is>
          <t>Electronics</t>
        </is>
      </c>
      <c r="D12" s="4" t="inlineStr">
        <is>
          <t>SUP01</t>
        </is>
      </c>
      <c r="E12" s="4" t="n">
        <v>15500</v>
      </c>
      <c r="F12" s="4" t="n">
        <v>15</v>
      </c>
      <c r="G12" s="4" t="inlineStr">
        <is>
          <t>West</t>
        </is>
      </c>
    </row>
    <row r="13"/>
    <row r="14"/>
    <row r="15">
      <c r="A15" s="6" t="inlineStr">
        <is>
          <t>Month</t>
        </is>
      </c>
      <c r="B15" s="6" t="inlineStr">
        <is>
          <t>SKU701</t>
        </is>
      </c>
      <c r="C15" s="6" t="inlineStr">
        <is>
          <t>SKU702</t>
        </is>
      </c>
      <c r="D15" s="6" t="inlineStr">
        <is>
          <t>SKU703</t>
        </is>
      </c>
      <c r="E15" s="6" t="inlineStr">
        <is>
          <t>SKU704</t>
        </is>
      </c>
      <c r="F15" s="6" t="inlineStr">
        <is>
          <t>SKU705</t>
        </is>
      </c>
      <c r="G15" s="6" t="inlineStr">
        <is>
          <t>SKU706</t>
        </is>
      </c>
      <c r="H15" s="6" t="inlineStr">
        <is>
          <t>SKU707</t>
        </is>
      </c>
      <c r="I15" s="6" t="inlineStr">
        <is>
          <t>SKU708</t>
        </is>
      </c>
    </row>
    <row r="16">
      <c r="A16" s="4" t="inlineStr">
        <is>
          <t>Jan</t>
        </is>
      </c>
      <c r="B16" s="4" t="n">
        <v>42</v>
      </c>
      <c r="C16" s="4" t="n">
        <v>55</v>
      </c>
      <c r="D16" s="4" t="n">
        <v>31</v>
      </c>
      <c r="E16" s="4" t="n">
        <v>80</v>
      </c>
      <c r="F16" s="4" t="n">
        <v>18</v>
      </c>
      <c r="G16" s="4" t="n">
        <v>45</v>
      </c>
      <c r="H16" s="4" t="n">
        <v>72</v>
      </c>
      <c r="I16" s="4" t="n">
        <v>25</v>
      </c>
    </row>
    <row r="17">
      <c r="A17" s="4" t="inlineStr">
        <is>
          <t>Feb</t>
        </is>
      </c>
      <c r="B17" s="4" t="n">
        <v>51</v>
      </c>
      <c r="C17" s="4" t="n">
        <v>62</v>
      </c>
      <c r="D17" s="4" t="n">
        <v>28</v>
      </c>
      <c r="E17" s="4" t="n">
        <v>94</v>
      </c>
      <c r="F17" s="4" t="n">
        <v>22</v>
      </c>
      <c r="G17" s="4" t="n">
        <v>48</v>
      </c>
      <c r="H17" s="4" t="n">
        <v>69</v>
      </c>
      <c r="I17" s="4" t="n">
        <v>31</v>
      </c>
    </row>
    <row r="18">
      <c r="A18" s="4" t="inlineStr">
        <is>
          <t>Mar</t>
        </is>
      </c>
      <c r="B18" s="4" t="n">
        <v>58</v>
      </c>
      <c r="C18" s="4" t="n">
        <v>70</v>
      </c>
      <c r="D18" s="4" t="n">
        <v>35</v>
      </c>
      <c r="E18" s="4" t="n">
        <v>88</v>
      </c>
      <c r="F18" s="4" t="n">
        <v>24</v>
      </c>
      <c r="G18" s="4" t="n">
        <v>53</v>
      </c>
      <c r="H18" s="4" t="n">
        <v>75</v>
      </c>
      <c r="I18" s="4" t="n">
        <v>29</v>
      </c>
    </row>
    <row r="19">
      <c r="A19" s="4" t="inlineStr">
        <is>
          <t>Apr</t>
        </is>
      </c>
      <c r="B19" s="4" t="n">
        <v>64</v>
      </c>
      <c r="C19" s="4" t="n">
        <v>77</v>
      </c>
      <c r="D19" s="4" t="n">
        <v>39</v>
      </c>
      <c r="E19" s="4" t="n">
        <v>96</v>
      </c>
      <c r="F19" s="4" t="n">
        <v>27</v>
      </c>
      <c r="G19" s="4" t="n">
        <v>61</v>
      </c>
      <c r="H19" s="4" t="n">
        <v>81</v>
      </c>
      <c r="I19" s="4" t="n">
        <v>34</v>
      </c>
    </row>
    <row r="20"/>
    <row r="21"/>
    <row r="22">
      <c r="A22" s="6" t="inlineStr">
        <is>
          <t>Supplier ID</t>
        </is>
      </c>
      <c r="B22" s="6" t="inlineStr">
        <is>
          <t>Supplier Name</t>
        </is>
      </c>
      <c r="C22" s="6" t="inlineStr">
        <is>
          <t>Payment Terms</t>
        </is>
      </c>
    </row>
    <row r="23">
      <c r="A23" s="4" t="inlineStr">
        <is>
          <t>SUP01</t>
        </is>
      </c>
      <c r="B23" s="4" t="inlineStr">
        <is>
          <t>TechSource India</t>
        </is>
      </c>
      <c r="C23" s="4" t="inlineStr">
        <is>
          <t>30 Days</t>
        </is>
      </c>
    </row>
    <row r="24">
      <c r="A24" s="4" t="inlineStr">
        <is>
          <t>SUP02</t>
        </is>
      </c>
      <c r="B24" s="4" t="inlineStr">
        <is>
          <t>OfficeGear Co.</t>
        </is>
      </c>
      <c r="C24" s="4" t="inlineStr">
        <is>
          <t>45 Days</t>
        </is>
      </c>
    </row>
    <row r="25">
      <c r="A25" s="4" t="inlineStr">
        <is>
          <t>SUP03</t>
        </is>
      </c>
      <c r="B25" s="4" t="inlineStr">
        <is>
          <t>FurniWorks</t>
        </is>
      </c>
      <c r="C25" s="4" t="inlineStr">
        <is>
          <t>30 Days</t>
        </is>
      </c>
    </row>
    <row r="26">
      <c r="A26" s="4" t="inlineStr">
        <is>
          <t>SUP04</t>
        </is>
      </c>
      <c r="B26" s="4" t="inlineStr">
        <is>
          <t>DigitalHub</t>
        </is>
      </c>
      <c r="C26" s="4" t="inlineStr">
        <is>
          <t>60 Days</t>
        </is>
      </c>
    </row>
    <row r="27"/>
    <row r="28"/>
    <row r="29">
      <c r="A29" s="7" t="inlineStr">
        <is>
          <t>PRACTICE TASKS</t>
        </is>
      </c>
    </row>
    <row r="30">
      <c r="A30" s="4" t="inlineStr">
        <is>
          <t>1.</t>
        </is>
      </c>
      <c r="B30" s="4" t="inlineStr">
        <is>
          <t>Use XLOOKUP to return Product and Unit Price from SKU.</t>
        </is>
      </c>
    </row>
    <row r="31">
      <c r="A31" s="4" t="inlineStr">
        <is>
          <t>2.</t>
        </is>
      </c>
      <c r="B31" s="4" t="inlineStr">
        <is>
          <t>Use XLOOKUP to return Supplier Name from Supplier ID.</t>
        </is>
      </c>
    </row>
    <row r="32">
      <c r="A32" s="4" t="inlineStr">
        <is>
          <t>3.</t>
        </is>
      </c>
      <c r="B32" s="4" t="inlineStr">
        <is>
          <t>Use INDEX + MATCH to return March sales for a selected SKU.</t>
        </is>
      </c>
    </row>
    <row r="33">
      <c r="A33" s="4" t="inlineStr">
        <is>
          <t>4.</t>
        </is>
      </c>
      <c r="B33" s="4" t="inlineStr">
        <is>
          <t>Use INDEX + MATCH with two dynamic selections: Month + SKU.</t>
        </is>
      </c>
    </row>
    <row r="34">
      <c r="A34" s="4" t="inlineStr">
        <is>
          <t>5.</t>
        </is>
      </c>
      <c r="B34" s="4" t="inlineStr">
        <is>
          <t>Calculate monthly revenue = Unit Price × selected Month Sales.</t>
        </is>
      </c>
    </row>
    <row r="35">
      <c r="A35" s="4" t="inlineStr">
        <is>
          <t>6.</t>
        </is>
      </c>
      <c r="B35" s="4" t="inlineStr">
        <is>
          <t>Create a dynamic product report driven by SKU and Month input cells.</t>
        </is>
      </c>
    </row>
    <row r="36">
      <c r="A36" s="4" t="inlineStr">
        <is>
          <t>7.</t>
        </is>
      </c>
      <c r="B36" s="4" t="inlineStr">
        <is>
          <t>Use MATCH to find the selected SKU's column in the sales matrix instead of hard-coding the column number.</t>
        </is>
      </c>
    </row>
    <row r="37">
      <c r="A37" s="4" t="inlineStr">
        <is>
          <t>8.</t>
        </is>
      </c>
      <c r="B37" s="4" t="inlineStr">
        <is>
          <t>Challenge: return Product + Supplier + Payment Terms + Month Sales + Revenue in one report.</t>
        </is>
      </c>
    </row>
  </sheetData>
  <mergeCells count="2">
    <mergeCell ref="A1:J1"/>
    <mergeCell ref="A2:J2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58" customWidth="1" min="3" max="3"/>
    <col width="40" customWidth="1" min="4" max="4"/>
    <col width="22" customWidth="1" min="5" max="5"/>
    <col width="20" customWidth="1" min="6" max="6"/>
    <col width="20" customWidth="1" min="7" max="7"/>
    <col width="24" customWidth="1" min="8" max="8"/>
    <col width="24" customWidth="1" min="9" max="9"/>
    <col width="20" customWidth="1" min="10" max="10"/>
  </cols>
  <sheetData>
    <row r="1">
      <c r="A1" s="1" t="inlineStr">
        <is>
          <t>CASE 3 — OPERATIONS / HR</t>
        </is>
      </c>
    </row>
    <row r="2">
      <c r="A2" s="2" t="inlineStr">
        <is>
          <t>Use employee, grade and horizontal compensation data.</t>
        </is>
      </c>
    </row>
    <row r="3"/>
    <row r="4">
      <c r="A4" s="5" t="inlineStr">
        <is>
          <t>Employee ID</t>
        </is>
      </c>
      <c r="B4" s="5" t="inlineStr">
        <is>
          <t>Employee Name</t>
        </is>
      </c>
      <c r="C4" s="5" t="inlineStr">
        <is>
          <t>Department</t>
        </is>
      </c>
      <c r="D4" s="5" t="inlineStr">
        <is>
          <t>Grade</t>
        </is>
      </c>
      <c r="E4" s="5" t="inlineStr">
        <is>
          <t>Location</t>
        </is>
      </c>
      <c r="F4" s="5" t="inlineStr">
        <is>
          <t>Performance</t>
        </is>
      </c>
    </row>
    <row r="5">
      <c r="A5" s="4" t="inlineStr">
        <is>
          <t>E801</t>
        </is>
      </c>
      <c r="B5" s="4" t="inlineStr">
        <is>
          <t>Riya Sharma</t>
        </is>
      </c>
      <c r="C5" s="4" t="inlineStr">
        <is>
          <t>Finance</t>
        </is>
      </c>
      <c r="D5" s="4" t="inlineStr">
        <is>
          <t>G3</t>
        </is>
      </c>
      <c r="E5" s="4" t="inlineStr">
        <is>
          <t>Mumbai</t>
        </is>
      </c>
      <c r="F5" s="4" t="inlineStr">
        <is>
          <t>A</t>
        </is>
      </c>
    </row>
    <row r="6">
      <c r="A6" s="4" t="inlineStr">
        <is>
          <t>E802</t>
        </is>
      </c>
      <c r="B6" s="4" t="inlineStr">
        <is>
          <t>Arjun Mehta</t>
        </is>
      </c>
      <c r="C6" s="4" t="inlineStr">
        <is>
          <t>Sales</t>
        </is>
      </c>
      <c r="D6" s="4" t="inlineStr">
        <is>
          <t>G2</t>
        </is>
      </c>
      <c r="E6" s="4" t="inlineStr">
        <is>
          <t>Delhi</t>
        </is>
      </c>
      <c r="F6" s="4" t="inlineStr">
        <is>
          <t>B</t>
        </is>
      </c>
    </row>
    <row r="7">
      <c r="A7" s="4" t="inlineStr">
        <is>
          <t>E803</t>
        </is>
      </c>
      <c r="B7" s="4" t="inlineStr">
        <is>
          <t>Neha Verma</t>
        </is>
      </c>
      <c r="C7" s="4" t="inlineStr">
        <is>
          <t>Technology</t>
        </is>
      </c>
      <c r="D7" s="4" t="inlineStr">
        <is>
          <t>G4</t>
        </is>
      </c>
      <c r="E7" s="4" t="inlineStr">
        <is>
          <t>Bengaluru</t>
        </is>
      </c>
      <c r="F7" s="4" t="inlineStr">
        <is>
          <t>A</t>
        </is>
      </c>
    </row>
    <row r="8">
      <c r="A8" s="4" t="inlineStr">
        <is>
          <t>E804</t>
        </is>
      </c>
      <c r="B8" s="4" t="inlineStr">
        <is>
          <t>Karan Singh</t>
        </is>
      </c>
      <c r="C8" s="4" t="inlineStr">
        <is>
          <t>HR</t>
        </is>
      </c>
      <c r="D8" s="4" t="inlineStr">
        <is>
          <t>G3</t>
        </is>
      </c>
      <c r="E8" s="4" t="inlineStr">
        <is>
          <t>Pune</t>
        </is>
      </c>
      <c r="F8" s="4" t="inlineStr">
        <is>
          <t>B</t>
        </is>
      </c>
    </row>
    <row r="9">
      <c r="A9" s="4" t="inlineStr">
        <is>
          <t>E805</t>
        </is>
      </c>
      <c r="B9" s="4" t="inlineStr">
        <is>
          <t>Pooja Nair</t>
        </is>
      </c>
      <c r="C9" s="4" t="inlineStr">
        <is>
          <t>Operations</t>
        </is>
      </c>
      <c r="D9" s="4" t="inlineStr">
        <is>
          <t>G2</t>
        </is>
      </c>
      <c r="E9" s="4" t="inlineStr">
        <is>
          <t>Chennai</t>
        </is>
      </c>
      <c r="F9" s="4" t="inlineStr">
        <is>
          <t>A</t>
        </is>
      </c>
    </row>
    <row r="10">
      <c r="A10" s="4" t="inlineStr">
        <is>
          <t>E806</t>
        </is>
      </c>
      <c r="B10" s="4" t="inlineStr">
        <is>
          <t>Amit Patel</t>
        </is>
      </c>
      <c r="C10" s="4" t="inlineStr">
        <is>
          <t>Technology</t>
        </is>
      </c>
      <c r="D10" s="4" t="inlineStr">
        <is>
          <t>G5</t>
        </is>
      </c>
      <c r="E10" s="4" t="inlineStr">
        <is>
          <t>Mumbai</t>
        </is>
      </c>
      <c r="F10" s="4" t="inlineStr">
        <is>
          <t>A</t>
        </is>
      </c>
    </row>
    <row r="11">
      <c r="A11" s="4" t="inlineStr">
        <is>
          <t>E807</t>
        </is>
      </c>
      <c r="B11" s="4" t="inlineStr">
        <is>
          <t>Sneha Rao</t>
        </is>
      </c>
      <c r="C11" s="4" t="inlineStr">
        <is>
          <t>Sales</t>
        </is>
      </c>
      <c r="D11" s="4" t="inlineStr">
        <is>
          <t>G1</t>
        </is>
      </c>
      <c r="E11" s="4" t="inlineStr">
        <is>
          <t>Delhi</t>
        </is>
      </c>
      <c r="F11" s="4" t="inlineStr">
        <is>
          <t>C</t>
        </is>
      </c>
    </row>
    <row r="12">
      <c r="A12" s="4" t="inlineStr">
        <is>
          <t>E808</t>
        </is>
      </c>
      <c r="B12" s="4" t="inlineStr">
        <is>
          <t>Vivek Shah</t>
        </is>
      </c>
      <c r="C12" s="4" t="inlineStr">
        <is>
          <t>Finance</t>
        </is>
      </c>
      <c r="D12" s="4" t="inlineStr">
        <is>
          <t>G4</t>
        </is>
      </c>
      <c r="E12" s="4" t="inlineStr">
        <is>
          <t>Bengaluru</t>
        </is>
      </c>
      <c r="F12" s="4" t="inlineStr">
        <is>
          <t>B</t>
        </is>
      </c>
    </row>
    <row r="13"/>
    <row r="14"/>
    <row r="15">
      <c r="A15" s="6" t="inlineStr">
        <is>
          <t>Component</t>
        </is>
      </c>
      <c r="B15" s="6" t="inlineStr">
        <is>
          <t>G1</t>
        </is>
      </c>
      <c r="C15" s="6" t="inlineStr">
        <is>
          <t>G2</t>
        </is>
      </c>
      <c r="D15" s="6" t="inlineStr">
        <is>
          <t>G3</t>
        </is>
      </c>
      <c r="E15" s="6" t="inlineStr">
        <is>
          <t>G4</t>
        </is>
      </c>
      <c r="F15" s="6" t="inlineStr">
        <is>
          <t>G5</t>
        </is>
      </c>
    </row>
    <row r="16">
      <c r="A16" s="4" t="inlineStr">
        <is>
          <t>Basic Pay</t>
        </is>
      </c>
      <c r="B16" s="4" t="n">
        <v>30000</v>
      </c>
      <c r="C16" s="4" t="n">
        <v>45000</v>
      </c>
      <c r="D16" s="4" t="n">
        <v>65000</v>
      </c>
      <c r="E16" s="4" t="n">
        <v>90000</v>
      </c>
      <c r="F16" s="4" t="n">
        <v>130000</v>
      </c>
    </row>
    <row r="17">
      <c r="A17" s="4" t="inlineStr">
        <is>
          <t>HRA</t>
        </is>
      </c>
      <c r="B17" s="4" t="n">
        <v>8000</v>
      </c>
      <c r="C17" s="4" t="n">
        <v>10000</v>
      </c>
      <c r="D17" s="4" t="n">
        <v>16000</v>
      </c>
      <c r="E17" s="4" t="n">
        <v>22000</v>
      </c>
      <c r="F17" s="4" t="n">
        <v>30000</v>
      </c>
    </row>
    <row r="18">
      <c r="A18" s="4" t="inlineStr">
        <is>
          <t>Transport</t>
        </is>
      </c>
      <c r="B18" s="4" t="n">
        <v>2000</v>
      </c>
      <c r="C18" s="4" t="n">
        <v>2500</v>
      </c>
      <c r="D18" s="4" t="n">
        <v>3200</v>
      </c>
      <c r="E18" s="4" t="n">
        <v>4000</v>
      </c>
      <c r="F18" s="4" t="n">
        <v>5000</v>
      </c>
    </row>
    <row r="19">
      <c r="A19" s="4" t="inlineStr">
        <is>
          <t>Bonus %</t>
        </is>
      </c>
      <c r="B19" s="4" t="n">
        <v>0.05</v>
      </c>
      <c r="C19" s="4" t="n">
        <v>0.08</v>
      </c>
      <c r="D19" s="4" t="n">
        <v>0.12</v>
      </c>
      <c r="E19" s="4" t="n">
        <v>0.16</v>
      </c>
      <c r="F19" s="4" t="n">
        <v>0.22</v>
      </c>
    </row>
    <row r="20">
      <c r="A20" s="4" t="inlineStr">
        <is>
          <t>PF</t>
        </is>
      </c>
      <c r="B20" s="4" t="n">
        <v>1800</v>
      </c>
      <c r="C20" s="4" t="n">
        <v>2700</v>
      </c>
      <c r="D20" s="4" t="n">
        <v>4800</v>
      </c>
      <c r="E20" s="4" t="n">
        <v>6500</v>
      </c>
      <c r="F20" s="4" t="n">
        <v>9000</v>
      </c>
    </row>
    <row r="21"/>
    <row r="22"/>
    <row r="23">
      <c r="A23" s="7" t="inlineStr">
        <is>
          <t>PRACTICE TASKS</t>
        </is>
      </c>
    </row>
    <row r="24">
      <c r="A24" s="4" t="inlineStr">
        <is>
          <t>1.</t>
        </is>
      </c>
      <c r="B24" s="4" t="inlineStr">
        <is>
          <t>Use XLOOKUP to return Employee Name from Employee ID.</t>
        </is>
      </c>
    </row>
    <row r="25">
      <c r="A25" s="4" t="inlineStr">
        <is>
          <t>2.</t>
        </is>
      </c>
      <c r="B25" s="4" t="inlineStr">
        <is>
          <t>Use VLOOKUP to return Grade and Department.</t>
        </is>
      </c>
    </row>
    <row r="26">
      <c r="A26" s="4" t="inlineStr">
        <is>
          <t>3.</t>
        </is>
      </c>
      <c r="B26" s="4" t="inlineStr">
        <is>
          <t>Use HLOOKUP to return Basic Pay from Grade.</t>
        </is>
      </c>
    </row>
    <row r="27">
      <c r="A27" s="4" t="inlineStr">
        <is>
          <t>4.</t>
        </is>
      </c>
      <c r="B27" s="4" t="inlineStr">
        <is>
          <t>Use HLOOKUP to return HRA, Transport and PF.</t>
        </is>
      </c>
    </row>
    <row r="28">
      <c r="A28" s="4" t="inlineStr">
        <is>
          <t>5.</t>
        </is>
      </c>
      <c r="B28" s="4" t="inlineStr">
        <is>
          <t>Use INDEX + MATCH to return Bonus % from the horizontal table.</t>
        </is>
      </c>
    </row>
    <row r="29">
      <c r="A29" s="4" t="inlineStr">
        <is>
          <t>6.</t>
        </is>
      </c>
      <c r="B29" s="4" t="inlineStr">
        <is>
          <t>Calculate Gross Pay and estimated Net Pay.</t>
        </is>
      </c>
    </row>
    <row r="30">
      <c r="A30" s="4" t="inlineStr">
        <is>
          <t>7.</t>
        </is>
      </c>
      <c r="B30" s="4" t="inlineStr">
        <is>
          <t>Build a dynamic employee compensation summary driven by Employee ID.</t>
        </is>
      </c>
    </row>
    <row r="31">
      <c r="A31" s="4" t="inlineStr">
        <is>
          <t>8.</t>
        </is>
      </c>
      <c r="B31" s="4" t="inlineStr">
        <is>
          <t>Challenge: use MATCH to locate the employee's Grade column, then use INDEX to retrieve multiple compensation components.</t>
        </is>
      </c>
    </row>
  </sheetData>
  <mergeCells count="2">
    <mergeCell ref="A1:J1"/>
    <mergeCell ref="A2:J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58" customWidth="1" min="3" max="3"/>
    <col width="40" customWidth="1" min="4" max="4"/>
    <col width="22" customWidth="1" min="5" max="5"/>
    <col width="20" customWidth="1" min="6" max="6"/>
    <col width="20" customWidth="1" min="7" max="7"/>
    <col width="24" customWidth="1" min="8" max="8"/>
    <col width="24" customWidth="1" min="9" max="9"/>
    <col width="20" customWidth="1" min="10" max="10"/>
  </cols>
  <sheetData>
    <row r="1">
      <c r="A1" s="1" t="inlineStr">
        <is>
          <t>FINAL CHALLENGE — LOOKUP MASTER TEST</t>
        </is>
      </c>
    </row>
    <row r="2">
      <c r="A2" s="2" t="inlineStr">
        <is>
          <t>Complete this without copying the Solutions. Use the lookup method you believe is most robust.</t>
        </is>
      </c>
    </row>
    <row r="3"/>
    <row r="4">
      <c r="A4" s="5" t="inlineStr">
        <is>
          <t>Input</t>
        </is>
      </c>
      <c r="B4" s="5" t="inlineStr">
        <is>
          <t>Value</t>
        </is>
      </c>
      <c r="D4" s="3" t="inlineStr">
        <is>
          <t>Build This Output</t>
        </is>
      </c>
    </row>
    <row r="5">
      <c r="A5" s="4" t="inlineStr">
        <is>
          <t>Customer / Employee Key</t>
        </is>
      </c>
      <c r="B5" s="4" t="inlineStr">
        <is>
          <t>C5005</t>
        </is>
      </c>
      <c r="D5" s="4" t="inlineStr">
        <is>
          <t>Primary Name</t>
        </is>
      </c>
    </row>
    <row r="6">
      <c r="A6" s="4" t="inlineStr">
        <is>
          <t>Product / SKU</t>
        </is>
      </c>
      <c r="B6" s="4" t="inlineStr">
        <is>
          <t>SKU704</t>
        </is>
      </c>
      <c r="D6" s="4" t="inlineStr">
        <is>
          <t>Category / Department</t>
        </is>
      </c>
    </row>
    <row r="7">
      <c r="A7" s="4" t="inlineStr">
        <is>
          <t>Month</t>
        </is>
      </c>
      <c r="B7" s="4" t="inlineStr">
        <is>
          <t>Mar</t>
        </is>
      </c>
      <c r="D7" s="4" t="inlineStr">
        <is>
          <t>Price / Basic Pay</t>
        </is>
      </c>
    </row>
    <row r="8">
      <c r="A8" s="4" t="inlineStr">
        <is>
          <t>City</t>
        </is>
      </c>
      <c r="B8" s="4" t="inlineStr">
        <is>
          <t>Pune</t>
        </is>
      </c>
      <c r="D8" s="4" t="inlineStr">
        <is>
          <t>Selected Month Value</t>
        </is>
      </c>
    </row>
    <row r="9">
      <c r="A9" s="4" t="inlineStr">
        <is>
          <t>Grade</t>
        </is>
      </c>
      <c r="B9" s="4" t="inlineStr">
        <is>
          <t>G4</t>
        </is>
      </c>
      <c r="D9" s="4" t="inlineStr">
        <is>
          <t>Location / City</t>
        </is>
      </c>
    </row>
    <row r="10">
      <c r="D10" s="4" t="inlineStr">
        <is>
          <t>Target / Rate</t>
        </is>
      </c>
    </row>
    <row r="11">
      <c r="D11" s="4" t="inlineStr">
        <is>
          <t>Final Business Metric</t>
        </is>
      </c>
    </row>
    <row r="12"/>
    <row r="13">
      <c r="A13" s="7" t="inlineStr">
        <is>
          <t>Final tasks</t>
        </is>
      </c>
    </row>
    <row r="14">
      <c r="A14" s="4" t="inlineStr">
        <is>
          <t>1. Decide which lookup function is best for each required output.</t>
        </is>
      </c>
    </row>
    <row r="15">
      <c r="A15" s="4" t="inlineStr">
        <is>
          <t>2. Retrieve the relevant value from the Banking, Retail and Operations sheets.</t>
        </is>
      </c>
    </row>
    <row r="16">
      <c r="A16" s="4" t="inlineStr">
        <is>
          <t>3. Use the Month input to retrieve the correct sales value dynamically.</t>
        </is>
      </c>
    </row>
    <row r="17">
      <c r="A17" s="4" t="inlineStr">
        <is>
          <t>4. Use the City input with a two-way lookup where appropriate.</t>
        </is>
      </c>
    </row>
    <row r="18">
      <c r="A18" s="4" t="inlineStr">
        <is>
          <t>5. Use Grade to retrieve the correct compensation value.</t>
        </is>
      </c>
    </row>
    <row r="19">
      <c r="A19" s="4" t="inlineStr">
        <is>
          <t>6. Create one final calculated metric using at least three lookup results.</t>
        </is>
      </c>
    </row>
    <row r="20">
      <c r="A20" s="4" t="inlineStr">
        <is>
          <t>7. Add error handling so invalid inputs produce readable messages.</t>
        </is>
      </c>
    </row>
    <row r="21">
      <c r="A21" s="4" t="inlineStr">
        <is>
          <t>8. Change every input and verify that the output updates correctly.</t>
        </is>
      </c>
    </row>
    <row r="22">
      <c r="A22" s="4" t="inlineStr">
        <is>
          <t>9. Write one sentence explaining why your chosen lookup method is more robust than a fixed cell reference.</t>
        </is>
      </c>
    </row>
  </sheetData>
  <mergeCells count="11">
    <mergeCell ref="A18:H18"/>
    <mergeCell ref="A1:J1"/>
    <mergeCell ref="A21:H21"/>
    <mergeCell ref="A15:H15"/>
    <mergeCell ref="A20:H20"/>
    <mergeCell ref="A16:H16"/>
    <mergeCell ref="A19:H19"/>
    <mergeCell ref="A14:H14"/>
    <mergeCell ref="A2:J2"/>
    <mergeCell ref="A22:H22"/>
    <mergeCell ref="A17:H17"/>
  </mergeCells>
  <dataValidations count="5">
    <dataValidation sqref="B5" showDropDown="0" showInputMessage="0" showErrorMessage="0" allowBlank="0" type="list">
      <formula1>"C5001,C5002,C5003,C5004,C5005,C5006,C5007,C5008,C5009,C5010"</formula1>
    </dataValidation>
    <dataValidation sqref="B6" showDropDown="0" showInputMessage="0" showErrorMessage="0" allowBlank="0" type="list">
      <formula1>"SKU701,SKU702,SKU703,SKU704,SKU705,SKU706,SKU707,SKU708"</formula1>
    </dataValidation>
    <dataValidation sqref="B7" showDropDown="0" showInputMessage="0" showErrorMessage="0" allowBlank="0" type="list">
      <formula1>"Jan,Feb,Mar,Apr"</formula1>
    </dataValidation>
    <dataValidation sqref="B8" showDropDown="0" showInputMessage="0" showErrorMessage="0" allowBlank="0" type="list">
      <formula1>"Mumbai,Delhi,Bengaluru,Pune,Chennai"</formula1>
    </dataValidation>
    <dataValidation sqref="B9" showDropDown="0" showInputMessage="0" showErrorMessage="0" allowBlank="0" type="list">
      <formula1>"G1,G2,G3,G4,G5"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58" customWidth="1" min="3" max="3"/>
    <col width="40" customWidth="1" min="4" max="4"/>
    <col width="22" customWidth="1" min="5" max="5"/>
    <col width="20" customWidth="1" min="6" max="6"/>
    <col width="20" customWidth="1" min="7" max="7"/>
    <col width="24" customWidth="1" min="8" max="8"/>
    <col width="24" customWidth="1" min="9" max="9"/>
    <col width="20" customWidth="1" min="10" max="10"/>
  </cols>
  <sheetData>
    <row r="1">
      <c r="A1" s="1" t="inlineStr">
        <is>
          <t>SOLUTIONS — SESSION 3 FINAL PRACTICE</t>
        </is>
      </c>
    </row>
    <row r="2">
      <c r="A2" s="2" t="inlineStr">
        <is>
          <t>Use these only after attempting the cases. Formulas are examples; equivalent correct formulas are acceptable.</t>
        </is>
      </c>
    </row>
    <row r="3"/>
    <row r="4">
      <c r="A4" s="5" t="inlineStr">
        <is>
          <t>Case</t>
        </is>
      </c>
      <c r="B4" s="5" t="inlineStr">
        <is>
          <t>Task</t>
        </is>
      </c>
      <c r="C4" s="5" t="inlineStr">
        <is>
          <t>Formula</t>
        </is>
      </c>
      <c r="D4" s="5" t="inlineStr">
        <is>
          <t>Expected / Concept</t>
        </is>
      </c>
    </row>
    <row r="5">
      <c r="A5" s="4" t="inlineStr">
        <is>
          <t>Banking</t>
        </is>
      </c>
      <c r="B5" s="4" t="inlineStr">
        <is>
          <t>Customer Name</t>
        </is>
      </c>
      <c r="C5" s="4">
        <f>XLOOKUP("C5005",'Banking Case'!$A$5:$A$14,'Banking Case'!$B$5:$B$14,"Not Found")</f>
        <v/>
      </c>
      <c r="D5" s="4" t="inlineStr">
        <is>
          <t>Arjun Patel</t>
        </is>
      </c>
    </row>
    <row r="6">
      <c r="A6" s="4" t="inlineStr">
        <is>
          <t>Banking</t>
        </is>
      </c>
      <c r="B6" s="4" t="inlineStr">
        <is>
          <t>Product Name</t>
        </is>
      </c>
      <c r="C6" s="4">
        <f>XLOOKUP("SAV01",'Banking Case'!$A$18:$A$20,'Banking Case'!$B$18:$B$20,"Not Found")</f>
        <v/>
      </c>
      <c r="D6" s="4" t="inlineStr">
        <is>
          <t>Savings Plus</t>
        </is>
      </c>
    </row>
    <row r="7">
      <c r="A7" s="4" t="inlineStr">
        <is>
          <t>Banking</t>
        </is>
      </c>
      <c r="B7" s="4" t="inlineStr">
        <is>
          <t>Branch City</t>
        </is>
      </c>
      <c r="C7" s="4">
        <f>XLOOKUP("BR04",'Banking Case'!$A$24:$A$28,'Banking Case'!$C$24:$C$28,"Not Found")</f>
        <v/>
      </c>
      <c r="D7" s="4" t="inlineStr">
        <is>
          <t>Pune</t>
        </is>
      </c>
    </row>
    <row r="8">
      <c r="A8" s="4" t="inlineStr">
        <is>
          <t>Banking</t>
        </is>
      </c>
      <c r="B8" s="4" t="inlineStr">
        <is>
          <t>RM ID</t>
        </is>
      </c>
      <c r="C8" s="4">
        <f>INDEX('Banking Case'!$G$5:$G$14,MATCH("C5005",'Banking Case'!$A$5:$A$14,0))</f>
        <v/>
      </c>
      <c r="D8" s="4" t="inlineStr">
        <is>
          <t>RM04</t>
        </is>
      </c>
    </row>
    <row r="9">
      <c r="A9" s="4" t="inlineStr">
        <is>
          <t>Banking</t>
        </is>
      </c>
      <c r="B9" s="4" t="inlineStr">
        <is>
          <t>Annual Interest</t>
        </is>
      </c>
      <c r="C9" s="4">
        <f>XLOOKUP("C5005",'Banking Case'!$A$5:$A$14,'Banking Case'!$F$5:$F$14)*XLOOKUP("CUR02",'Banking Case'!$A$18:$A$20,'Banking Case'!$C$18:$C$20)/100</f>
        <v/>
      </c>
      <c r="D9" s="4" t="inlineStr">
        <is>
          <t>0 because Current Account rate is 0%</t>
        </is>
      </c>
    </row>
    <row r="10">
      <c r="A10" s="4" t="inlineStr">
        <is>
          <t>Retail</t>
        </is>
      </c>
      <c r="B10" s="4" t="inlineStr">
        <is>
          <t>Product + Price</t>
        </is>
      </c>
      <c r="C10" s="4">
        <f>XLOOKUP("SKU704",'Retail Case'!$A$5:$A$12,'Retail Case'!$B$5:$E$12,"Not Found")</f>
        <v/>
      </c>
      <c r="D10" s="4" t="inlineStr">
        <is>
          <t>Spills Product through Unit Price</t>
        </is>
      </c>
    </row>
    <row r="11">
      <c r="A11" s="4" t="inlineStr">
        <is>
          <t>Retail</t>
        </is>
      </c>
      <c r="B11" s="4" t="inlineStr">
        <is>
          <t>March Sales</t>
        </is>
      </c>
      <c r="C11" s="4">
        <f>INDEX('Retail Case'!$B$16:$I$19,MATCH("Mar",'Retail Case'!$A$16:$A$19,0),MATCH("SKU704",'Retail Case'!$B$15:$I$15,0))</f>
        <v/>
      </c>
      <c r="D11" s="4" t="inlineStr">
        <is>
          <t>88</t>
        </is>
      </c>
    </row>
    <row r="12">
      <c r="A12" s="4" t="inlineStr">
        <is>
          <t>Retail</t>
        </is>
      </c>
      <c r="B12" s="4" t="inlineStr">
        <is>
          <t>Revenue</t>
        </is>
      </c>
      <c r="C12" s="4">
        <f>XLOOKUP("SKU704",'Retail Case'!$A$5:$A$12,'Retail Case'!$E$5:$E$12)*INDEX('Retail Case'!$B$16:$I$19,MATCH("Mar",'Retail Case'!$A$16:$A$19,0),MATCH("SKU704",'Retail Case'!$B$15:$I$15,0))</f>
        <v/>
      </c>
      <c r="D12" s="4" t="inlineStr">
        <is>
          <t>281600</t>
        </is>
      </c>
    </row>
    <row r="13">
      <c r="A13" s="4" t="inlineStr">
        <is>
          <t>Retail</t>
        </is>
      </c>
      <c r="B13" s="4" t="inlineStr">
        <is>
          <t>Supplier</t>
        </is>
      </c>
      <c r="C13" s="4">
        <f>XLOOKUP("SUP02",'Retail Case'!$A$23:$A$26,'Retail Case'!$B$23:$B$26,"Not Found")</f>
        <v/>
      </c>
      <c r="D13" s="4" t="inlineStr">
        <is>
          <t>OfficeGear Co.</t>
        </is>
      </c>
    </row>
    <row r="14">
      <c r="A14" s="4" t="inlineStr">
        <is>
          <t>Operations</t>
        </is>
      </c>
      <c r="B14" s="4" t="inlineStr">
        <is>
          <t>Employee</t>
        </is>
      </c>
      <c r="C14" s="4">
        <f>XLOOKUP("E804",'Operations Case'!$A$5:$A$12,'Operations Case'!$B$5:$B$12,"Not Found")</f>
        <v/>
      </c>
      <c r="D14" s="4" t="inlineStr">
        <is>
          <t>Karan Singh</t>
        </is>
      </c>
    </row>
    <row r="15">
      <c r="A15" s="4" t="inlineStr">
        <is>
          <t>Operations</t>
        </is>
      </c>
      <c r="B15" s="4" t="inlineStr">
        <is>
          <t>Grade</t>
        </is>
      </c>
      <c r="C15" s="4">
        <f>VLOOKUP("E804",'Operations Case'!$A$5:$F$12,4,FALSE)</f>
        <v/>
      </c>
      <c r="D15" s="4" t="inlineStr">
        <is>
          <t>G3</t>
        </is>
      </c>
    </row>
    <row r="16">
      <c r="A16" s="4" t="inlineStr">
        <is>
          <t>Operations</t>
        </is>
      </c>
      <c r="B16" s="4" t="inlineStr">
        <is>
          <t>Basic Pay</t>
        </is>
      </c>
      <c r="C16" s="4">
        <f>HLOOKUP("G3",'Operations Case'!$B$15:$F$20,2,FALSE)</f>
        <v/>
      </c>
      <c r="D16" s="4" t="inlineStr">
        <is>
          <t>65000</t>
        </is>
      </c>
    </row>
    <row r="17">
      <c r="A17" s="4" t="inlineStr">
        <is>
          <t>Operations</t>
        </is>
      </c>
      <c r="B17" s="4" t="inlineStr">
        <is>
          <t>HRA</t>
        </is>
      </c>
      <c r="C17" s="4">
        <f>HLOOKUP("G3",'Operations Case'!$B$15:$F$20,3,FALSE)</f>
        <v/>
      </c>
      <c r="D17" s="4" t="inlineStr">
        <is>
          <t>16000</t>
        </is>
      </c>
    </row>
    <row r="18">
      <c r="A18" s="4" t="inlineStr">
        <is>
          <t>Operations</t>
        </is>
      </c>
      <c r="B18" s="4" t="inlineStr">
        <is>
          <t>Bonus %</t>
        </is>
      </c>
      <c r="C18" s="4">
        <f>INDEX('Operations Case'!$B$19:$F$19,1,MATCH("G3",'Operations Case'!$B$15:$F$15,0))</f>
        <v/>
      </c>
      <c r="D18" s="4" t="inlineStr">
        <is>
          <t>12%</t>
        </is>
      </c>
    </row>
    <row r="19">
      <c r="A19" s="4" t="inlineStr">
        <is>
          <t>Operations</t>
        </is>
      </c>
      <c r="B19" s="4" t="inlineStr">
        <is>
          <t>Net Pay example</t>
        </is>
      </c>
      <c r="C19" s="4">
        <f>HLOOKUP("G3",'Operations Case'!$B$15:$F$20,2,FALSE)+HLOOKUP("G3",'Operations Case'!$B$15:$F$20,3,FALSE)+HLOOKUP("G3",'Operations Case'!$B$15:$F$20,4,FALSE)-HLOOKUP("G3",'Operations Case'!$B$15:$F$20,6,FALSE)</f>
        <v/>
      </c>
      <c r="D19" s="4" t="inlineStr">
        <is>
          <t>79300</t>
        </is>
      </c>
    </row>
    <row r="20">
      <c r="A20" s="4" t="inlineStr">
        <is>
          <t>Final</t>
        </is>
      </c>
      <c r="B20" s="4" t="inlineStr">
        <is>
          <t>Two-way lookup pattern</t>
        </is>
      </c>
      <c r="C20" s="4">
        <f>INDEX(matrix,MATCH(row_input,row_headers,0),MATCH(column_input,column_headers,0))</f>
        <v/>
      </c>
      <c r="D20" s="4" t="inlineStr">
        <is>
          <t>Dynamic row + column intersection</t>
        </is>
      </c>
    </row>
    <row r="21">
      <c r="A21" s="4" t="inlineStr">
        <is>
          <t>Final</t>
        </is>
      </c>
      <c r="B21" s="4" t="inlineStr">
        <is>
          <t>Core rule</t>
        </is>
      </c>
      <c r="C21" s="4" t="inlineStr">
        <is>
          <t>Use XLOOKUP for modern flexible lookups; VLOOKUP/HLOOKUP for simple legacy-shaped tables; INDEX + MATCH for maximum positional flexibility.</t>
        </is>
      </c>
      <c r="D21" s="4" t="inlineStr">
        <is>
          <t>Choose based on structure and maintainability.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2026-08-31T02:25:30Z</dcterms:created>
  <dcterms:modified xmlns:dcterms="http://purl.org/dc/terms/" xmlns:xsi="http://www.w3.org/2001/XMLSchema-instance" xsi:type="dcterms:W3CDTF">2026-08-31T02:25:30Z</dcterms:modified>
</cp:coreProperties>
</file>