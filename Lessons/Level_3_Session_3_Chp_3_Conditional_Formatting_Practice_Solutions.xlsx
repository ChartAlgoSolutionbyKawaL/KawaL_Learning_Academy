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ALES PRACTICE" sheetId="2" state="visible" r:id="rId2"/>
    <sheet xmlns:r="http://schemas.openxmlformats.org/officeDocument/2006/relationships" name="TAT MIS PRACTICE" sheetId="3" state="visible" r:id="rId3"/>
    <sheet xmlns:r="http://schemas.openxmlformats.org/officeDocument/2006/relationships" name="INVENTORY PRACTICE" sheetId="4" state="visible" r:id="rId4"/>
    <sheet xmlns:r="http://schemas.openxmlformats.org/officeDocument/2006/relationships" name="DASHBOARD PRACTICE" sheetId="5" state="visible" r:id="rId5"/>
    <sheet xmlns:r="http://schemas.openxmlformats.org/officeDocument/2006/relationships" name="SOL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0.0%"/>
    <numFmt numFmtId="166" formatCode="yyyy-mm-dd h:mm:ss"/>
    <numFmt numFmtId="167" formatCode="dd-mmm-yy hh:mm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48B"/>
      <sz val="10"/>
    </font>
    <font>
      <b val="1"/>
      <color rgb="00FFFFFF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15803D"/>
      </patternFill>
    </fill>
    <fill>
      <patternFill patternType="solid">
        <fgColor rgb="002563EB"/>
      </patternFill>
    </fill>
    <fill>
      <patternFill patternType="solid">
        <fgColor rgb="00EA580C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7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3" borderId="0" pivotButton="0" quotePrefix="0" xfId="0"/>
    <xf numFmtId="0" fontId="3" fillId="8" borderId="0" pivotButton="0" quotePrefix="0" xfId="0"/>
    <xf numFmtId="0" fontId="3" fillId="5" borderId="0" pivotButton="0" quotePrefix="0" xfId="0"/>
    <xf numFmtId="0" fontId="3" fillId="6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'SOLUTIONS'!B67</f>
            </strRef>
          </tx>
          <spPr>
            <a:ln xmlns:a="http://schemas.openxmlformats.org/drawingml/2006/main">
              <a:prstDash val="solid"/>
            </a:ln>
          </spPr>
          <cat>
            <numRef>
              <f>'SOLUTIONS'!$A$68:$A$79</f>
            </numRef>
          </cat>
          <val>
            <numRef>
              <f>'SOLUTIONS'!$B$68:$B$79</f>
            </numRef>
          </val>
        </ser>
        <ser>
          <idx val="1"/>
          <order val="1"/>
          <tx>
            <strRef>
              <f>'SOLUTIONS'!C67</f>
            </strRef>
          </tx>
          <spPr>
            <a:ln xmlns:a="http://schemas.openxmlformats.org/drawingml/2006/main">
              <a:prstDash val="solid"/>
            </a:ln>
          </spPr>
          <cat>
            <numRef>
              <f>'SOLUTIONS'!$A$68:$A$79</f>
            </numRef>
          </cat>
          <val>
            <numRef>
              <f>'SOLUTIONS'!$C$68:$C$79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Salesperson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66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Practice" displayName="SalesPractice" ref="A4:H16" headerRowCount="1">
  <autoFilter ref="A4:H16"/>
  <tableColumns count="8">
    <tableColumn id="1" name="Salesperson"/>
    <tableColumn id="2" name="Region"/>
    <tableColumn id="3" name="Sales (₹)"/>
    <tableColumn id="4" name="Target (₹)"/>
    <tableColumn id="5" name="Variance (₹)"/>
    <tableColumn id="6" name="Achievement %"/>
    <tableColumn id="7" name="Orders"/>
    <tableColumn id="8" name="Priority"/>
  </tableColumns>
  <tableStyleInfo name="TableStyleMedium4" showRowStripes="1"/>
</table>
</file>

<file path=xl/tables/table2.xml><?xml version="1.0" encoding="utf-8"?>
<table xmlns="http://schemas.openxmlformats.org/spreadsheetml/2006/main" id="2" name="TATPractice" displayName="TATPractice" ref="A4:K20" headerRowCount="1">
  <autoFilter ref="A4:K20"/>
  <tableColumns count="11">
    <tableColumn id="1" name="Request ID"/>
    <tableColumn id="2" name="Request Type"/>
    <tableColumn id="3" name="Priority"/>
    <tableColumn id="4" name="Requested On"/>
    <tableColumn id="5" name="Completed On"/>
    <tableColumn id="6" name="TAT Target (Hrs)"/>
    <tableColumn id="7" name="Actual TAT (Hrs)"/>
    <tableColumn id="8" name="Variance (Hrs)"/>
    <tableColumn id="9" name="Variance %"/>
    <tableColumn id="10" name="Status"/>
    <tableColumn id="11" name="Owner"/>
  </tableColumns>
  <tableStyleInfo name="TableStyleMedium4" showRowStripes="1"/>
</table>
</file>

<file path=xl/tables/table3.xml><?xml version="1.0" encoding="utf-8"?>
<table xmlns="http://schemas.openxmlformats.org/spreadsheetml/2006/main" id="3" name="InventoryPractice" displayName="InventoryPractice" ref="A4:I16" headerRowCount="1">
  <autoFilter ref="A4:I16"/>
  <tableColumns count="9">
    <tableColumn id="1" name="SKU"/>
    <tableColumn id="2" name="Product"/>
    <tableColumn id="3" name="Category"/>
    <tableColumn id="4" name="Stock"/>
    <tableColumn id="5" name="Reorder Level"/>
    <tableColumn id="6" name="Unit Cost (₹)"/>
    <tableColumn id="7" name="Stock Value (₹)"/>
    <tableColumn id="8" name="Supplier"/>
    <tableColumn id="9" name="Status"/>
  </tableColumns>
  <tableStyleInfo name="TableStyleMedium4" showRowStripes="1"/>
</table>
</file>

<file path=xl/tables/table4.xml><?xml version="1.0" encoding="utf-8"?>
<table xmlns="http://schemas.openxmlformats.org/spreadsheetml/2006/main" id="4" name="DashboardKPI" displayName="DashboardKPI" ref="A11:H20" headerRowCount="1">
  <autoFilter ref="A11:H20"/>
  <tableColumns count="8">
    <tableColumn id="1" name="KPI"/>
    <tableColumn id="2" name="Actual"/>
    <tableColumn id="3" name="Target"/>
    <tableColumn id="4" name="Achievement %"/>
    <tableColumn id="5" name="Variance"/>
    <tableColumn id="6" name="Status"/>
    <tableColumn id="7" name="Region"/>
    <tableColumn id="8" name="Owner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LEVEL 3 • SESSION 3 • CHAPTER 3 — CONDITIONAL FORMATTING</t>
        </is>
      </c>
    </row>
    <row r="2">
      <c r="A2" s="2" t="inlineStr">
        <is>
          <t>Practice workbook covering basic rules, custom formulas, signal icons, full-row highlighting, data bars, color scales, icon sets and dashboard/MIS use.</t>
        </is>
      </c>
    </row>
    <row r="3"/>
    <row r="4">
      <c r="A4" s="3" t="inlineStr">
        <is>
          <t>HOW TO USE THIS WORKBOOK</t>
        </is>
      </c>
    </row>
    <row r="5">
      <c r="A5" s="4" t="inlineStr">
        <is>
          <t>1. Read the task in PRACTICE — do not look at SOLUTIONS first.</t>
        </is>
      </c>
    </row>
    <row r="6">
      <c r="A6" s="4" t="inlineStr">
        <is>
          <t>2. Apply the requested Conditional Formatting rule to the specified range.</t>
        </is>
      </c>
    </row>
    <row r="7">
      <c r="A7" s="4" t="inlineStr">
        <is>
          <t>3. Use a custom formula when the rule depends on another cell, multiple conditions or an entire row.</t>
        </is>
      </c>
    </row>
    <row r="8">
      <c r="A8" s="4" t="inlineStr">
        <is>
          <t>4. Test the rule by changing the input/target/filter values.</t>
        </is>
      </c>
    </row>
    <row r="9">
      <c r="A9" s="4" t="inlineStr">
        <is>
          <t>5. Compare your result with SOLUTIONS and inspect the exact formula + Apply To range.</t>
        </is>
      </c>
    </row>
    <row r="10">
      <c r="A10" s="4" t="inlineStr">
        <is>
          <t>6. Remember: Conditional Formatting changes appearance, not the underlying data.</t>
        </is>
      </c>
    </row>
    <row r="11"/>
    <row r="12"/>
    <row r="13">
      <c r="A13" s="5" t="inlineStr">
        <is>
          <t>CHAPTER 3 SKILL MAP</t>
        </is>
      </c>
    </row>
    <row r="14">
      <c r="A14" s="6" t="inlineStr">
        <is>
          <t>Skill</t>
        </is>
      </c>
      <c r="B14" s="6" t="inlineStr">
        <is>
          <t>What you practice</t>
        </is>
      </c>
      <c r="C14" s="6" t="inlineStr">
        <is>
          <t>Typical business use</t>
        </is>
      </c>
      <c r="D14" s="6" t="inlineStr">
        <is>
          <t>Difficulty</t>
        </is>
      </c>
      <c r="E14" s="6" t="inlineStr">
        <is>
          <t>Sheet</t>
        </is>
      </c>
    </row>
    <row r="15">
      <c r="A15" s="4" t="inlineStr">
        <is>
          <t>Highlight Cells</t>
        </is>
      </c>
      <c r="B15" s="4" t="inlineStr">
        <is>
          <t>Greater/less/equal/between/text/date/duplicates</t>
        </is>
      </c>
      <c r="C15" s="4" t="inlineStr">
        <is>
          <t>Exceptions, targets</t>
        </is>
      </c>
      <c r="D15" s="4" t="inlineStr">
        <is>
          <t>Basic</t>
        </is>
      </c>
      <c r="E15" s="4" t="inlineStr">
        <is>
          <t>Sales</t>
        </is>
      </c>
    </row>
    <row r="16">
      <c r="A16" s="4" t="inlineStr">
        <is>
          <t>Top/Bottom</t>
        </is>
      </c>
      <c r="B16" s="4" t="inlineStr">
        <is>
          <t>Top N, bottom N, above/below average</t>
        </is>
      </c>
      <c r="C16" s="4" t="inlineStr">
        <is>
          <t>Performance ranking</t>
        </is>
      </c>
      <c r="D16" s="4" t="inlineStr">
        <is>
          <t>Basic+</t>
        </is>
      </c>
      <c r="E16" s="4" t="inlineStr">
        <is>
          <t>Sales</t>
        </is>
      </c>
    </row>
    <row r="17">
      <c r="A17" s="4" t="inlineStr">
        <is>
          <t>Data Bars</t>
        </is>
      </c>
      <c r="B17" s="4" t="inlineStr">
        <is>
          <t>Magnitude inside cells</t>
        </is>
      </c>
      <c r="C17" s="4" t="inlineStr">
        <is>
          <t>Volume comparison</t>
        </is>
      </c>
      <c r="D17" s="4" t="inlineStr">
        <is>
          <t>Basic+</t>
        </is>
      </c>
      <c r="E17" s="4" t="inlineStr">
        <is>
          <t>Sales</t>
        </is>
      </c>
    </row>
    <row r="18">
      <c r="A18" s="4" t="inlineStr">
        <is>
          <t>Color Scales</t>
        </is>
      </c>
      <c r="B18" s="4" t="inlineStr">
        <is>
          <t>Low → medium → high</t>
        </is>
      </c>
      <c r="C18" s="4" t="inlineStr">
        <is>
          <t>Heatmaps / risk</t>
        </is>
      </c>
      <c r="D18" s="4" t="inlineStr">
        <is>
          <t>Basic+</t>
        </is>
      </c>
      <c r="E18" s="4" t="inlineStr">
        <is>
          <t>Inventory</t>
        </is>
      </c>
    </row>
    <row r="19">
      <c r="A19" s="4" t="inlineStr">
        <is>
          <t>Icon Sets</t>
        </is>
      </c>
      <c r="B19" s="4" t="inlineStr">
        <is>
          <t>Directional / traffic-light signals</t>
        </is>
      </c>
      <c r="C19" s="4" t="inlineStr">
        <is>
          <t>MIS / status</t>
        </is>
      </c>
      <c r="D19" s="4" t="inlineStr">
        <is>
          <t>Intermediate</t>
        </is>
      </c>
      <c r="E19" s="4" t="inlineStr">
        <is>
          <t>TAT MIS</t>
        </is>
      </c>
    </row>
    <row r="20">
      <c r="A20" s="4" t="inlineStr">
        <is>
          <t>Custom Formula</t>
        </is>
      </c>
      <c r="B20" s="4" t="inlineStr">
        <is>
          <t>AND / OR / relative references</t>
        </is>
      </c>
      <c r="C20" s="4" t="inlineStr">
        <is>
          <t>Business rules</t>
        </is>
      </c>
      <c r="D20" s="4" t="inlineStr">
        <is>
          <t>Advanced</t>
        </is>
      </c>
      <c r="E20" s="4" t="inlineStr">
        <is>
          <t>TAT MIS</t>
        </is>
      </c>
    </row>
    <row r="21">
      <c r="A21" s="4" t="inlineStr">
        <is>
          <t>Full-row Highlight</t>
        </is>
      </c>
      <c r="B21" s="4" t="inlineStr">
        <is>
          <t>Format a whole row from one status cell</t>
        </is>
      </c>
      <c r="C21" s="4" t="inlineStr">
        <is>
          <t>MIS reports</t>
        </is>
      </c>
      <c r="D21" s="4" t="inlineStr">
        <is>
          <t>Advanced</t>
        </is>
      </c>
      <c r="E21" s="4" t="inlineStr">
        <is>
          <t>TAT MIS</t>
        </is>
      </c>
    </row>
    <row r="22">
      <c r="A22" s="4" t="inlineStr">
        <is>
          <t>Another-cell logic</t>
        </is>
      </c>
      <c r="B22" s="4" t="inlineStr">
        <is>
          <t>Actual vs Target / status cell drives format</t>
        </is>
      </c>
      <c r="C22" s="4" t="inlineStr">
        <is>
          <t>KPI reports</t>
        </is>
      </c>
      <c r="D22" s="4" t="inlineStr">
        <is>
          <t>Advanced</t>
        </is>
      </c>
      <c r="E22" s="4" t="inlineStr">
        <is>
          <t>Dashboard</t>
        </is>
      </c>
    </row>
    <row r="23">
      <c r="A23" s="4" t="inlineStr">
        <is>
          <t>Dates</t>
        </is>
      </c>
      <c r="B23" s="4" t="inlineStr">
        <is>
          <t>Month, overdue, weekends</t>
        </is>
      </c>
      <c r="C23" s="4" t="inlineStr">
        <is>
          <t>Schedules / SLA</t>
        </is>
      </c>
      <c r="D23" s="4" t="inlineStr">
        <is>
          <t>Intermediate</t>
        </is>
      </c>
      <c r="E23" s="4" t="inlineStr">
        <is>
          <t>TAT MIS</t>
        </is>
      </c>
    </row>
    <row r="24">
      <c r="A24" s="4" t="inlineStr">
        <is>
          <t>Blank / nonblank</t>
        </is>
      </c>
      <c r="B24" s="4" t="inlineStr">
        <is>
          <t>Find missing data</t>
        </is>
      </c>
      <c r="C24" s="4" t="inlineStr">
        <is>
          <t>Data quality</t>
        </is>
      </c>
      <c r="D24" s="4" t="inlineStr">
        <is>
          <t>Intermediate</t>
        </is>
      </c>
      <c r="E24" s="4" t="inlineStr">
        <is>
          <t>Dashboard</t>
        </is>
      </c>
    </row>
    <row r="25">
      <c r="A25" s="4" t="inlineStr">
        <is>
          <t>Dynamic input</t>
        </is>
      </c>
      <c r="B25" s="4" t="inlineStr">
        <is>
          <t>Target changes all highlighting</t>
        </is>
      </c>
      <c r="C25" s="4" t="inlineStr">
        <is>
          <t>Interactive dashboards</t>
        </is>
      </c>
      <c r="D25" s="4" t="inlineStr">
        <is>
          <t>Advanced</t>
        </is>
      </c>
      <c r="E25" s="4" t="inlineStr">
        <is>
          <t>Dashboard</t>
        </is>
      </c>
    </row>
    <row r="26">
      <c r="A26" s="4" t="inlineStr">
        <is>
          <t>Combined rules</t>
        </is>
      </c>
      <c r="B26" s="4" t="inlineStr">
        <is>
          <t>Multiple formats on same report</t>
        </is>
      </c>
      <c r="C26" s="4" t="inlineStr">
        <is>
          <t>Executive reporting</t>
        </is>
      </c>
      <c r="D26" s="4" t="inlineStr">
        <is>
          <t>Advanced</t>
        </is>
      </c>
      <c r="E26" s="4" t="inlineStr">
        <is>
          <t>Dashboard</t>
        </is>
      </c>
    </row>
    <row r="27"/>
    <row r="28"/>
    <row r="29">
      <c r="A29" s="7" t="inlineStr">
        <is>
          <t>EXPERT RULES</t>
        </is>
      </c>
    </row>
    <row r="30">
      <c r="A30" s="4" t="inlineStr">
        <is>
          <t>• Lock reference cells with $ when the condition should always compare against the same target.</t>
        </is>
      </c>
    </row>
    <row r="31">
      <c r="A31" s="4" t="inlineStr">
        <is>
          <t>• Do not blindly use $ on every reference: relative references are what allow a row rule to move from row to row.</t>
        </is>
      </c>
    </row>
    <row r="32">
      <c r="A32" s="4" t="inlineStr">
        <is>
          <t>• Test the formula in a helper column before applying it to hundreds of rows.</t>
        </is>
      </c>
    </row>
    <row r="33">
      <c r="A33" s="4" t="inlineStr">
        <is>
          <t>• Rule order matters. Use Manage Rules / Stop If True deliberately.</t>
        </is>
      </c>
    </row>
    <row r="34">
      <c r="A34" s="4" t="inlineStr">
        <is>
          <t>• Do not use color as the only meaning: retain Status/Variance columns for accessibility and auditability.</t>
        </is>
      </c>
    </row>
    <row r="35">
      <c r="A35" s="4" t="inlineStr">
        <is>
          <t>• Avoid excessive colors. Formatting should signal an action, exception or pattern — not decorate every cell.</t>
        </is>
      </c>
    </row>
  </sheetData>
  <mergeCells count="17">
    <mergeCell ref="A1:H1"/>
    <mergeCell ref="A4:H4"/>
    <mergeCell ref="A9:H9"/>
    <mergeCell ref="A30:H30"/>
    <mergeCell ref="A29:H29"/>
    <mergeCell ref="A7:H7"/>
    <mergeCell ref="A35:H35"/>
    <mergeCell ref="A31:H31"/>
    <mergeCell ref="A2:H2"/>
    <mergeCell ref="A10:H10"/>
    <mergeCell ref="A13:H13"/>
    <mergeCell ref="A33:H33"/>
    <mergeCell ref="A5:H5"/>
    <mergeCell ref="A32:H32"/>
    <mergeCell ref="A8:H8"/>
    <mergeCell ref="A6:H6"/>
    <mergeCell ref="A34:H34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3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PRACTICE 1 — SALES PERFORMANCE</t>
        </is>
      </c>
    </row>
    <row r="2">
      <c r="A2" s="2" t="inlineStr">
        <is>
          <t>Practice highlight cells, Top/Bottom, data bars and color scales.</t>
        </is>
      </c>
    </row>
    <row r="3"/>
    <row r="4">
      <c r="A4" s="8" t="inlineStr">
        <is>
          <t>Salesperson</t>
        </is>
      </c>
      <c r="B4" s="8" t="inlineStr">
        <is>
          <t>Region</t>
        </is>
      </c>
      <c r="C4" s="8" t="inlineStr">
        <is>
          <t>Sales (₹)</t>
        </is>
      </c>
      <c r="D4" s="8" t="inlineStr">
        <is>
          <t>Target (₹)</t>
        </is>
      </c>
      <c r="E4" s="8" t="inlineStr">
        <is>
          <t>Variance (₹)</t>
        </is>
      </c>
      <c r="F4" s="8" t="inlineStr">
        <is>
          <t>Achievement %</t>
        </is>
      </c>
      <c r="G4" s="8" t="inlineStr">
        <is>
          <t>Orders</t>
        </is>
      </c>
      <c r="H4" s="8" t="inlineStr">
        <is>
          <t>Priority</t>
        </is>
      </c>
    </row>
    <row r="5">
      <c r="A5" s="4" t="inlineStr">
        <is>
          <t>Aarav</t>
        </is>
      </c>
      <c r="B5" s="4" t="inlineStr">
        <is>
          <t>East</t>
        </is>
      </c>
      <c r="C5" s="9" t="n">
        <v>91049</v>
      </c>
      <c r="D5" s="9" t="n">
        <v>90000</v>
      </c>
      <c r="E5" s="9" t="n">
        <v>1049</v>
      </c>
      <c r="F5" s="10" t="n">
        <v>1.011655555555556</v>
      </c>
      <c r="G5" s="4" t="n">
        <v>92</v>
      </c>
      <c r="H5" s="4" t="inlineStr">
        <is>
          <t>High</t>
        </is>
      </c>
    </row>
    <row r="6">
      <c r="A6" s="4" t="inlineStr">
        <is>
          <t>Bhavna</t>
        </is>
      </c>
      <c r="B6" s="4" t="inlineStr">
        <is>
          <t>North</t>
        </is>
      </c>
      <c r="C6" s="9" t="n">
        <v>65082</v>
      </c>
      <c r="D6" s="9" t="n">
        <v>90000</v>
      </c>
      <c r="E6" s="9" t="n">
        <v>-24918</v>
      </c>
      <c r="F6" s="10" t="n">
        <v>0.7231333333333333</v>
      </c>
      <c r="G6" s="4" t="n">
        <v>240</v>
      </c>
      <c r="H6" s="4" t="inlineStr">
        <is>
          <t>High</t>
        </is>
      </c>
    </row>
    <row r="7">
      <c r="A7" s="4" t="inlineStr">
        <is>
          <t>Chetan</t>
        </is>
      </c>
      <c r="B7" s="4" t="inlineStr">
        <is>
          <t>South</t>
        </is>
      </c>
      <c r="C7" s="9" t="n">
        <v>93903</v>
      </c>
      <c r="D7" s="9" t="n">
        <v>70000</v>
      </c>
      <c r="E7" s="9" t="n">
        <v>23903</v>
      </c>
      <c r="F7" s="10" t="n">
        <v>1.341471428571429</v>
      </c>
      <c r="G7" s="4" t="n">
        <v>151</v>
      </c>
      <c r="H7" s="4" t="inlineStr">
        <is>
          <t>Medium</t>
        </is>
      </c>
    </row>
    <row r="8">
      <c r="A8" s="4" t="inlineStr">
        <is>
          <t>Disha</t>
        </is>
      </c>
      <c r="B8" s="4" t="inlineStr">
        <is>
          <t>East</t>
        </is>
      </c>
      <c r="C8" s="9" t="n">
        <v>100788</v>
      </c>
      <c r="D8" s="9" t="n">
        <v>90000</v>
      </c>
      <c r="E8" s="9" t="n">
        <v>10788</v>
      </c>
      <c r="F8" s="10" t="n">
        <v>1.119866666666667</v>
      </c>
      <c r="G8" s="4" t="n">
        <v>79</v>
      </c>
      <c r="H8" s="4" t="inlineStr">
        <is>
          <t>Low</t>
        </is>
      </c>
    </row>
    <row r="9">
      <c r="A9" s="4" t="inlineStr">
        <is>
          <t>Eshan</t>
        </is>
      </c>
      <c r="B9" s="4" t="inlineStr">
        <is>
          <t>South</t>
        </is>
      </c>
      <c r="C9" s="9" t="n">
        <v>116109</v>
      </c>
      <c r="D9" s="9" t="n">
        <v>80000</v>
      </c>
      <c r="E9" s="9" t="n">
        <v>36109</v>
      </c>
      <c r="F9" s="10" t="n">
        <v>1.4513625</v>
      </c>
      <c r="G9" s="4" t="n">
        <v>152</v>
      </c>
      <c r="H9" s="4" t="inlineStr">
        <is>
          <t>High</t>
        </is>
      </c>
    </row>
    <row r="10">
      <c r="A10" s="4" t="inlineStr">
        <is>
          <t>Farah</t>
        </is>
      </c>
      <c r="B10" s="4" t="inlineStr">
        <is>
          <t>North</t>
        </is>
      </c>
      <c r="C10" s="9" t="n">
        <v>77457</v>
      </c>
      <c r="D10" s="9" t="n">
        <v>80000</v>
      </c>
      <c r="E10" s="9" t="n">
        <v>-2543</v>
      </c>
      <c r="F10" s="10" t="n">
        <v>0.9682125</v>
      </c>
      <c r="G10" s="4" t="n">
        <v>212</v>
      </c>
      <c r="H10" s="4" t="inlineStr">
        <is>
          <t>High</t>
        </is>
      </c>
    </row>
    <row r="11">
      <c r="A11" s="4" t="inlineStr">
        <is>
          <t>Gaurav</t>
        </is>
      </c>
      <c r="B11" s="4" t="inlineStr">
        <is>
          <t>South</t>
        </is>
      </c>
      <c r="C11" s="9" t="n">
        <v>97189</v>
      </c>
      <c r="D11" s="9" t="n">
        <v>75000</v>
      </c>
      <c r="E11" s="9" t="n">
        <v>22189</v>
      </c>
      <c r="F11" s="10" t="n">
        <v>1.295853333333333</v>
      </c>
      <c r="G11" s="4" t="n">
        <v>56</v>
      </c>
      <c r="H11" s="4" t="inlineStr">
        <is>
          <t>High</t>
        </is>
      </c>
    </row>
    <row r="12">
      <c r="A12" s="4" t="inlineStr">
        <is>
          <t>Harsh</t>
        </is>
      </c>
      <c r="B12" s="4" t="inlineStr">
        <is>
          <t>West</t>
        </is>
      </c>
      <c r="C12" s="9" t="n">
        <v>44408</v>
      </c>
      <c r="D12" s="9" t="n">
        <v>90000</v>
      </c>
      <c r="E12" s="9" t="n">
        <v>-45592</v>
      </c>
      <c r="F12" s="10" t="n">
        <v>0.4934222222222222</v>
      </c>
      <c r="G12" s="4" t="n">
        <v>71</v>
      </c>
      <c r="H12" s="4" t="inlineStr">
        <is>
          <t>Low</t>
        </is>
      </c>
    </row>
    <row r="13">
      <c r="A13" s="4" t="inlineStr">
        <is>
          <t>Isha</t>
        </is>
      </c>
      <c r="B13" s="4" t="inlineStr">
        <is>
          <t>North</t>
        </is>
      </c>
      <c r="C13" s="9" t="n">
        <v>68177</v>
      </c>
      <c r="D13" s="9" t="n">
        <v>90000</v>
      </c>
      <c r="E13" s="9" t="n">
        <v>-21823</v>
      </c>
      <c r="F13" s="10" t="n">
        <v>0.7575222222222222</v>
      </c>
      <c r="G13" s="4" t="n">
        <v>146</v>
      </c>
      <c r="H13" s="4" t="inlineStr">
        <is>
          <t>High</t>
        </is>
      </c>
    </row>
    <row r="14">
      <c r="A14" s="4" t="inlineStr">
        <is>
          <t>Jatin</t>
        </is>
      </c>
      <c r="B14" s="4" t="inlineStr">
        <is>
          <t>West</t>
        </is>
      </c>
      <c r="C14" s="9" t="n">
        <v>38106</v>
      </c>
      <c r="D14" s="9" t="n">
        <v>70000</v>
      </c>
      <c r="E14" s="9" t="n">
        <v>-31894</v>
      </c>
      <c r="F14" s="10" t="n">
        <v>0.5443714285714286</v>
      </c>
      <c r="G14" s="4" t="n">
        <v>143</v>
      </c>
      <c r="H14" s="4" t="inlineStr">
        <is>
          <t>High</t>
        </is>
      </c>
    </row>
    <row r="15">
      <c r="A15" s="4" t="inlineStr">
        <is>
          <t>Kavya</t>
        </is>
      </c>
      <c r="B15" s="4" t="inlineStr">
        <is>
          <t>East</t>
        </is>
      </c>
      <c r="C15" s="9" t="n">
        <v>47109</v>
      </c>
      <c r="D15" s="9" t="n">
        <v>80000</v>
      </c>
      <c r="E15" s="9" t="n">
        <v>-32891</v>
      </c>
      <c r="F15" s="10" t="n">
        <v>0.5888625</v>
      </c>
      <c r="G15" s="4" t="n">
        <v>53</v>
      </c>
      <c r="H15" s="4" t="inlineStr">
        <is>
          <t>Low</t>
        </is>
      </c>
    </row>
    <row r="16">
      <c r="A16" s="4" t="inlineStr">
        <is>
          <t>Lalit</t>
        </is>
      </c>
      <c r="B16" s="4" t="inlineStr">
        <is>
          <t>East</t>
        </is>
      </c>
      <c r="C16" s="9" t="n">
        <v>75094</v>
      </c>
      <c r="D16" s="9" t="n">
        <v>70000</v>
      </c>
      <c r="E16" s="9" t="n">
        <v>5094</v>
      </c>
      <c r="F16" s="10" t="n">
        <v>1.072771428571428</v>
      </c>
      <c r="G16" s="4" t="n">
        <v>120</v>
      </c>
      <c r="H16" s="4" t="inlineStr">
        <is>
          <t>Low</t>
        </is>
      </c>
    </row>
    <row r="17"/>
    <row r="18"/>
    <row r="19">
      <c r="A19" s="11" t="inlineStr">
        <is>
          <t>TASKS — DO THESE YOURSELF</t>
        </is>
      </c>
    </row>
    <row r="20">
      <c r="A20" s="6" t="inlineStr">
        <is>
          <t>#</t>
        </is>
      </c>
      <c r="B20" s="6" t="inlineStr">
        <is>
          <t>Objective</t>
        </is>
      </c>
      <c r="C20" s="6" t="inlineStr">
        <is>
          <t>Apply To / requirement</t>
        </is>
      </c>
      <c r="D20" s="6" t="inlineStr">
        <is>
          <t>Technique</t>
        </is>
      </c>
    </row>
    <row r="21">
      <c r="A21" s="4" t="inlineStr">
        <is>
          <t>1</t>
        </is>
      </c>
      <c r="B21" s="4" t="inlineStr">
        <is>
          <t>Greater than target</t>
        </is>
      </c>
      <c r="C21" s="4" t="inlineStr">
        <is>
          <t>Format C5:C16 when Sales &gt; Target in D</t>
        </is>
      </c>
      <c r="D21" s="4" t="inlineStr">
        <is>
          <t>Use formula =C5&gt;D5</t>
        </is>
      </c>
    </row>
    <row r="22">
      <c r="A22" s="4" t="inlineStr">
        <is>
          <t>2</t>
        </is>
      </c>
      <c r="B22" s="4" t="inlineStr">
        <is>
          <t>Below target</t>
        </is>
      </c>
      <c r="C22" s="4" t="inlineStr">
        <is>
          <t>Format C5:C16 when Sales &lt; Target</t>
        </is>
      </c>
      <c r="D22" s="4" t="inlineStr">
        <is>
          <t>Use formula =C5&lt;D5</t>
        </is>
      </c>
    </row>
    <row r="23">
      <c r="A23" s="4" t="inlineStr">
        <is>
          <t>3</t>
        </is>
      </c>
      <c r="B23" s="4" t="inlineStr">
        <is>
          <t>Between values</t>
        </is>
      </c>
      <c r="C23" s="4" t="inlineStr">
        <is>
          <t>Highlight Sales between ₹60,000 and ₹90,000</t>
        </is>
      </c>
      <c r="D23" s="4" t="inlineStr">
        <is>
          <t>Use AND with fixed threshold cells</t>
        </is>
      </c>
    </row>
    <row r="24">
      <c r="A24" s="4" t="inlineStr">
        <is>
          <t>4</t>
        </is>
      </c>
      <c r="B24" s="4" t="inlineStr">
        <is>
          <t>Top 3</t>
        </is>
      </c>
      <c r="C24" s="4" t="inlineStr">
        <is>
          <t>Highlight the top 3 Sales values</t>
        </is>
      </c>
      <c r="D24" s="4" t="inlineStr">
        <is>
          <t>Top/Bottom rule</t>
        </is>
      </c>
    </row>
    <row r="25">
      <c r="A25" s="4" t="inlineStr">
        <is>
          <t>5</t>
        </is>
      </c>
      <c r="B25" s="4" t="inlineStr">
        <is>
          <t>Bottom 2</t>
        </is>
      </c>
      <c r="C25" s="4" t="inlineStr">
        <is>
          <t>Highlight the bottom 2 Sales values</t>
        </is>
      </c>
      <c r="D25" s="4" t="inlineStr">
        <is>
          <t>Bottom rule</t>
        </is>
      </c>
    </row>
    <row r="26">
      <c r="A26" s="4" t="inlineStr">
        <is>
          <t>6</t>
        </is>
      </c>
      <c r="B26" s="4" t="inlineStr">
        <is>
          <t>Data Bars</t>
        </is>
      </c>
      <c r="C26" s="4" t="inlineStr">
        <is>
          <t>Add data bars to Sales</t>
        </is>
      </c>
      <c r="D26" s="4" t="inlineStr">
        <is>
          <t>Magnitude comparison</t>
        </is>
      </c>
    </row>
    <row r="27">
      <c r="A27" s="4" t="inlineStr">
        <is>
          <t>7</t>
        </is>
      </c>
      <c r="B27" s="4" t="inlineStr">
        <is>
          <t>Color Scale</t>
        </is>
      </c>
      <c r="C27" s="4" t="inlineStr">
        <is>
          <t>Apply a 3-color scale to Achievement %</t>
        </is>
      </c>
      <c r="D27" s="4" t="inlineStr">
        <is>
          <t>Low/medium/high performance</t>
        </is>
      </c>
    </row>
    <row r="28">
      <c r="A28" s="4" t="inlineStr">
        <is>
          <t>8</t>
        </is>
      </c>
      <c r="B28" s="4" t="inlineStr">
        <is>
          <t>Text rule</t>
        </is>
      </c>
      <c r="C28" s="4" t="inlineStr">
        <is>
          <t>Highlight Priority = High</t>
        </is>
      </c>
      <c r="D28" s="4" t="inlineStr">
        <is>
          <t>Text-based rule</t>
        </is>
      </c>
    </row>
    <row r="29">
      <c r="A29" s="4" t="inlineStr">
        <is>
          <t>9</t>
        </is>
      </c>
      <c r="B29" s="4" t="inlineStr">
        <is>
          <t>Duplicate check</t>
        </is>
      </c>
      <c r="C29" s="4" t="inlineStr">
        <is>
          <t>Highlight duplicate salesperson names after adding a duplicate</t>
        </is>
      </c>
      <c r="D29" s="4" t="inlineStr">
        <is>
          <t>Duplicate Values rule</t>
        </is>
      </c>
    </row>
    <row r="30">
      <c r="A30" s="4" t="inlineStr">
        <is>
          <t>10</t>
        </is>
      </c>
      <c r="B30" s="4" t="inlineStr">
        <is>
          <t>Explain</t>
        </is>
      </c>
      <c r="C30" s="4" t="inlineStr">
        <is>
          <t>For each rule write the business question it answers</t>
        </is>
      </c>
      <c r="D30" s="4" t="inlineStr">
        <is>
          <t>Do not format without a purpose</t>
        </is>
      </c>
    </row>
  </sheetData>
  <mergeCells count="3">
    <mergeCell ref="A19:H19"/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7" customWidth="1" min="3" max="3"/>
    <col width="21" customWidth="1" min="4" max="4"/>
    <col width="21" customWidth="1" min="5" max="5"/>
    <col width="17" customWidth="1" min="6" max="6"/>
    <col width="18" customWidth="1" min="7" max="7"/>
    <col width="16" customWidth="1" min="8" max="8"/>
    <col width="15" customWidth="1" min="9" max="9"/>
    <col width="15" customWidth="1" min="10" max="10"/>
    <col width="18" customWidth="1" min="11" max="11"/>
  </cols>
  <sheetData>
    <row r="1">
      <c r="A1" s="1" t="inlineStr">
        <is>
          <t>PRACTICE 2 — TAT / SLA MIS REPORT</t>
        </is>
      </c>
    </row>
    <row r="2">
      <c r="A2" s="2" t="inlineStr">
        <is>
          <t>Use signal icons, custom formulas, full-row formatting, dates, blanks and multiple conditions.</t>
        </is>
      </c>
    </row>
    <row r="3"/>
    <row r="4">
      <c r="A4" s="8" t="inlineStr">
        <is>
          <t>Request ID</t>
        </is>
      </c>
      <c r="B4" s="8" t="inlineStr">
        <is>
          <t>Request Type</t>
        </is>
      </c>
      <c r="C4" s="8" t="inlineStr">
        <is>
          <t>Priority</t>
        </is>
      </c>
      <c r="D4" s="8" t="inlineStr">
        <is>
          <t>Requested On</t>
        </is>
      </c>
      <c r="E4" s="8" t="inlineStr">
        <is>
          <t>Completed On</t>
        </is>
      </c>
      <c r="F4" s="8" t="inlineStr">
        <is>
          <t>TAT Target (Hrs)</t>
        </is>
      </c>
      <c r="G4" s="8" t="inlineStr">
        <is>
          <t>Actual TAT (Hrs)</t>
        </is>
      </c>
      <c r="H4" s="8" t="inlineStr">
        <is>
          <t>Variance (Hrs)</t>
        </is>
      </c>
      <c r="I4" s="8" t="inlineStr">
        <is>
          <t>Variance %</t>
        </is>
      </c>
      <c r="J4" s="8" t="inlineStr">
        <is>
          <t>Status</t>
        </is>
      </c>
      <c r="K4" s="8" t="inlineStr">
        <is>
          <t>Owner</t>
        </is>
      </c>
    </row>
    <row r="5">
      <c r="A5" s="4" t="inlineStr">
        <is>
          <t>SR1001</t>
        </is>
      </c>
      <c r="B5" s="4" t="inlineStr">
        <is>
          <t>Payment Issue</t>
        </is>
      </c>
      <c r="C5" s="4" t="inlineStr">
        <is>
          <t>High</t>
        </is>
      </c>
      <c r="D5" s="12" t="n">
        <v>46235.375</v>
      </c>
      <c r="E5" s="12" t="n">
        <v>46235.64208333333</v>
      </c>
      <c r="F5" s="13" t="n">
        <v>6</v>
      </c>
      <c r="G5" s="13" t="n">
        <v>6.41</v>
      </c>
      <c r="H5" s="13" t="n">
        <v>0.4100000000000001</v>
      </c>
      <c r="I5" s="14" t="n">
        <v>0.06833333333333336</v>
      </c>
      <c r="J5" s="4" t="inlineStr">
        <is>
          <t>At Risk</t>
        </is>
      </c>
      <c r="K5" s="4" t="inlineStr">
        <is>
          <t>Chetan</t>
        </is>
      </c>
    </row>
    <row r="6">
      <c r="A6" s="4" t="inlineStr">
        <is>
          <t>SR1002</t>
        </is>
      </c>
      <c r="B6" s="4" t="inlineStr">
        <is>
          <t>Data Update</t>
        </is>
      </c>
      <c r="C6" s="4" t="inlineStr">
        <is>
          <t>Medium</t>
        </is>
      </c>
      <c r="D6" s="12" t="n">
        <v>46236.54166666666</v>
      </c>
      <c r="E6" s="12" t="n">
        <v>46236.70708333333</v>
      </c>
      <c r="F6" s="13" t="n">
        <v>6</v>
      </c>
      <c r="G6" s="13" t="n">
        <v>3.97</v>
      </c>
      <c r="H6" s="13" t="n">
        <v>-2.03</v>
      </c>
      <c r="I6" s="14" t="n">
        <v>-0.3383333333333333</v>
      </c>
      <c r="J6" s="4" t="inlineStr">
        <is>
          <t>On Time</t>
        </is>
      </c>
      <c r="K6" s="4" t="inlineStr">
        <is>
          <t>Bhavna</t>
        </is>
      </c>
    </row>
    <row r="7">
      <c r="A7" s="4" t="inlineStr">
        <is>
          <t>SR1003</t>
        </is>
      </c>
      <c r="B7" s="4" t="inlineStr">
        <is>
          <t>System Error</t>
        </is>
      </c>
      <c r="C7" s="4" t="inlineStr">
        <is>
          <t>High</t>
        </is>
      </c>
      <c r="D7" s="12" t="n">
        <v>46237.5</v>
      </c>
      <c r="E7" s="12" t="n">
        <v>46238.545</v>
      </c>
      <c r="F7" s="13" t="n">
        <v>24</v>
      </c>
      <c r="G7" s="13" t="n">
        <v>25.08</v>
      </c>
      <c r="H7" s="13" t="n">
        <v>1.079999999999998</v>
      </c>
      <c r="I7" s="14" t="n">
        <v>0.04499999999999993</v>
      </c>
      <c r="J7" s="4" t="inlineStr">
        <is>
          <t>At Risk</t>
        </is>
      </c>
      <c r="K7" s="4" t="inlineStr">
        <is>
          <t>Chetan</t>
        </is>
      </c>
    </row>
    <row r="8">
      <c r="A8" s="4" t="inlineStr">
        <is>
          <t>SR1004</t>
        </is>
      </c>
      <c r="B8" s="4" t="inlineStr">
        <is>
          <t>Access Request</t>
        </is>
      </c>
      <c r="C8" s="4" t="inlineStr">
        <is>
          <t>Critical</t>
        </is>
      </c>
      <c r="D8" s="12" t="n">
        <v>46238.41666666666</v>
      </c>
      <c r="E8" s="12" t="n">
        <v>46238.73416666667</v>
      </c>
      <c r="F8" s="13" t="n">
        <v>10</v>
      </c>
      <c r="G8" s="13" t="n">
        <v>7.62</v>
      </c>
      <c r="H8" s="13" t="n">
        <v>-2.38</v>
      </c>
      <c r="I8" s="14" t="n">
        <v>-0.238</v>
      </c>
      <c r="J8" s="4" t="inlineStr">
        <is>
          <t>On Time</t>
        </is>
      </c>
      <c r="K8" s="4" t="inlineStr">
        <is>
          <t>Disha</t>
        </is>
      </c>
    </row>
    <row r="9">
      <c r="A9" s="4" t="inlineStr">
        <is>
          <t>SR1005</t>
        </is>
      </c>
      <c r="B9" s="4" t="inlineStr">
        <is>
          <t>Access Request</t>
        </is>
      </c>
      <c r="C9" s="4" t="inlineStr">
        <is>
          <t>Critical</t>
        </is>
      </c>
      <c r="D9" s="12" t="n">
        <v>46239.45833333334</v>
      </c>
      <c r="E9" s="12" t="n">
        <v>46239.87916666667</v>
      </c>
      <c r="F9" s="13" t="n">
        <v>10</v>
      </c>
      <c r="G9" s="13" t="n">
        <v>10.1</v>
      </c>
      <c r="H9" s="13" t="n">
        <v>0.09999999999999964</v>
      </c>
      <c r="I9" s="14" t="n">
        <v>0.009999999999999964</v>
      </c>
      <c r="J9" s="4" t="inlineStr">
        <is>
          <t>At Risk</t>
        </is>
      </c>
      <c r="K9" s="4" t="inlineStr">
        <is>
          <t>Bhavna</t>
        </is>
      </c>
    </row>
    <row r="10">
      <c r="A10" s="4" t="inlineStr">
        <is>
          <t>SR1006</t>
        </is>
      </c>
      <c r="B10" s="4" t="inlineStr">
        <is>
          <t>Report Download</t>
        </is>
      </c>
      <c r="C10" s="4" t="inlineStr">
        <is>
          <t>Medium</t>
        </is>
      </c>
      <c r="D10" s="12" t="n">
        <v>46240.41666666666</v>
      </c>
      <c r="E10" s="12" t="n">
        <v>46240.9025</v>
      </c>
      <c r="F10" s="13" t="n">
        <v>8</v>
      </c>
      <c r="G10" s="13" t="n">
        <v>11.66</v>
      </c>
      <c r="H10" s="13" t="n">
        <v>3.66</v>
      </c>
      <c r="I10" s="14" t="n">
        <v>0.4575</v>
      </c>
      <c r="J10" s="4" t="inlineStr">
        <is>
          <t>Delayed</t>
        </is>
      </c>
      <c r="K10" s="4" t="inlineStr">
        <is>
          <t>Disha</t>
        </is>
      </c>
    </row>
    <row r="11">
      <c r="A11" s="4" t="inlineStr">
        <is>
          <t>SR1007</t>
        </is>
      </c>
      <c r="B11" s="4" t="inlineStr">
        <is>
          <t>Report Error</t>
        </is>
      </c>
      <c r="C11" s="4" t="inlineStr">
        <is>
          <t>High</t>
        </is>
      </c>
      <c r="D11" s="12" t="n">
        <v>46241.54166666666</v>
      </c>
      <c r="E11" s="12" t="n">
        <v>46241.86416666667</v>
      </c>
      <c r="F11" s="13" t="n">
        <v>12</v>
      </c>
      <c r="G11" s="13" t="n">
        <v>7.74</v>
      </c>
      <c r="H11" s="13" t="n">
        <v>-4.26</v>
      </c>
      <c r="I11" s="14" t="n">
        <v>-0.355</v>
      </c>
      <c r="J11" s="4" t="inlineStr">
        <is>
          <t>On Time</t>
        </is>
      </c>
      <c r="K11" s="4" t="inlineStr">
        <is>
          <t>Aarav</t>
        </is>
      </c>
    </row>
    <row r="12">
      <c r="A12" s="4" t="inlineStr">
        <is>
          <t>SR1008</t>
        </is>
      </c>
      <c r="B12" s="4" t="inlineStr">
        <is>
          <t>Report Download</t>
        </is>
      </c>
      <c r="C12" s="4" t="inlineStr">
        <is>
          <t>Critical</t>
        </is>
      </c>
      <c r="D12" s="12" t="n">
        <v>46242.58333333334</v>
      </c>
      <c r="E12" s="12" t="n">
        <v>46242.95666666667</v>
      </c>
      <c r="F12" s="13" t="n">
        <v>8</v>
      </c>
      <c r="G12" s="13" t="n">
        <v>8.960000000000001</v>
      </c>
      <c r="H12" s="13" t="n">
        <v>0.9600000000000009</v>
      </c>
      <c r="I12" s="14" t="n">
        <v>0.1200000000000001</v>
      </c>
      <c r="J12" s="4" t="inlineStr">
        <is>
          <t>At Risk</t>
        </is>
      </c>
      <c r="K12" s="4" t="inlineStr">
        <is>
          <t>Disha</t>
        </is>
      </c>
    </row>
    <row r="13">
      <c r="A13" s="4" t="inlineStr">
        <is>
          <t>SR1009</t>
        </is>
      </c>
      <c r="B13" s="4" t="inlineStr">
        <is>
          <t>Payment Issue</t>
        </is>
      </c>
      <c r="C13" s="4" t="inlineStr">
        <is>
          <t>Medium</t>
        </is>
      </c>
      <c r="D13" s="12" t="n">
        <v>46243.58333333334</v>
      </c>
      <c r="E13" s="12" t="n">
        <v>46244.06125</v>
      </c>
      <c r="F13" s="13" t="n">
        <v>8</v>
      </c>
      <c r="G13" s="13" t="n">
        <v>11.47</v>
      </c>
      <c r="H13" s="13" t="n">
        <v>3.470000000000001</v>
      </c>
      <c r="I13" s="14" t="n">
        <v>0.4337500000000001</v>
      </c>
      <c r="J13" s="4" t="inlineStr">
        <is>
          <t>Delayed</t>
        </is>
      </c>
      <c r="K13" s="4" t="inlineStr">
        <is>
          <t>Chetan</t>
        </is>
      </c>
    </row>
    <row r="14">
      <c r="A14" s="4" t="inlineStr">
        <is>
          <t>SR1010</t>
        </is>
      </c>
      <c r="B14" s="4" t="inlineStr">
        <is>
          <t>Login Issue</t>
        </is>
      </c>
      <c r="C14" s="4" t="inlineStr">
        <is>
          <t>Critical</t>
        </is>
      </c>
      <c r="D14" s="12" t="n">
        <v>46244.58333333334</v>
      </c>
      <c r="E14" s="12" t="n">
        <v>46244.88166666667</v>
      </c>
      <c r="F14" s="13" t="n">
        <v>6</v>
      </c>
      <c r="G14" s="13" t="n">
        <v>7.16</v>
      </c>
      <c r="H14" s="13" t="n">
        <v>1.16</v>
      </c>
      <c r="I14" s="14" t="n">
        <v>0.1933333333333334</v>
      </c>
      <c r="J14" s="4" t="inlineStr">
        <is>
          <t>At Risk</t>
        </is>
      </c>
      <c r="K14" s="4" t="inlineStr">
        <is>
          <t>Chetan</t>
        </is>
      </c>
    </row>
    <row r="15">
      <c r="A15" s="4" t="inlineStr">
        <is>
          <t>SR1011</t>
        </is>
      </c>
      <c r="B15" s="4" t="inlineStr">
        <is>
          <t>Data Correction</t>
        </is>
      </c>
      <c r="C15" s="4" t="inlineStr">
        <is>
          <t>Low</t>
        </is>
      </c>
      <c r="D15" s="12" t="n">
        <v>46245.45833333334</v>
      </c>
      <c r="E15" s="12" t="n">
        <v>46245.72375</v>
      </c>
      <c r="F15" s="13" t="n">
        <v>6</v>
      </c>
      <c r="G15" s="13" t="n">
        <v>6.37</v>
      </c>
      <c r="H15" s="13" t="n">
        <v>0.3700000000000001</v>
      </c>
      <c r="I15" s="14" t="n">
        <v>0.06166666666666668</v>
      </c>
      <c r="J15" s="4" t="inlineStr">
        <is>
          <t>At Risk</t>
        </is>
      </c>
      <c r="K15" s="4" t="inlineStr">
        <is>
          <t>Bhavna</t>
        </is>
      </c>
    </row>
    <row r="16">
      <c r="A16" s="4" t="inlineStr">
        <is>
          <t>SR1012</t>
        </is>
      </c>
      <c r="B16" s="4" t="inlineStr">
        <is>
          <t>System Error</t>
        </is>
      </c>
      <c r="C16" s="4" t="inlineStr">
        <is>
          <t>High</t>
        </is>
      </c>
      <c r="D16" s="12" t="n">
        <v>46246.41666666666</v>
      </c>
      <c r="E16" s="12" t="n">
        <v>46246.82791666667</v>
      </c>
      <c r="F16" s="13" t="n">
        <v>10</v>
      </c>
      <c r="G16" s="13" t="n">
        <v>9.869999999999999</v>
      </c>
      <c r="H16" s="13" t="n">
        <v>-0.1300000000000008</v>
      </c>
      <c r="I16" s="14" t="n">
        <v>-0.01300000000000008</v>
      </c>
      <c r="J16" s="4" t="inlineStr">
        <is>
          <t>On Time</t>
        </is>
      </c>
      <c r="K16" s="4" t="inlineStr">
        <is>
          <t>Bhavna</t>
        </is>
      </c>
    </row>
    <row r="17">
      <c r="A17" s="4" t="inlineStr">
        <is>
          <t>SR1013</t>
        </is>
      </c>
      <c r="B17" s="4" t="inlineStr">
        <is>
          <t>System Error</t>
        </is>
      </c>
      <c r="C17" s="4" t="inlineStr">
        <is>
          <t>Low</t>
        </is>
      </c>
      <c r="D17" s="12" t="n">
        <v>46247.5</v>
      </c>
      <c r="E17" s="12" t="n">
        <v>46248.18041666667</v>
      </c>
      <c r="F17" s="13" t="n">
        <v>12</v>
      </c>
      <c r="G17" s="13" t="n">
        <v>16.33</v>
      </c>
      <c r="H17" s="13" t="n">
        <v>4.329999999999998</v>
      </c>
      <c r="I17" s="14" t="n">
        <v>0.3608333333333332</v>
      </c>
      <c r="J17" s="4" t="inlineStr">
        <is>
          <t>Delayed</t>
        </is>
      </c>
      <c r="K17" s="4" t="inlineStr">
        <is>
          <t>Chetan</t>
        </is>
      </c>
    </row>
    <row r="18">
      <c r="A18" s="4" t="inlineStr">
        <is>
          <t>SR1014</t>
        </is>
      </c>
      <c r="B18" s="4" t="inlineStr">
        <is>
          <t>Payment Issue</t>
        </is>
      </c>
      <c r="C18" s="4" t="inlineStr">
        <is>
          <t>Critical</t>
        </is>
      </c>
      <c r="D18" s="12" t="n">
        <v>46248.41666666666</v>
      </c>
      <c r="E18" s="12" t="n">
        <v>46249.47458333334</v>
      </c>
      <c r="F18" s="13" t="n">
        <v>24</v>
      </c>
      <c r="G18" s="13" t="n">
        <v>25.39</v>
      </c>
      <c r="H18" s="13" t="n">
        <v>1.390000000000001</v>
      </c>
      <c r="I18" s="14" t="n">
        <v>0.05791666666666669</v>
      </c>
      <c r="J18" s="4" t="inlineStr">
        <is>
          <t>At Risk</t>
        </is>
      </c>
      <c r="K18" s="4" t="inlineStr">
        <is>
          <t>Aarav</t>
        </is>
      </c>
    </row>
    <row r="19">
      <c r="A19" s="4" t="inlineStr">
        <is>
          <t>SR1015</t>
        </is>
      </c>
      <c r="B19" s="4" t="inlineStr">
        <is>
          <t>Report Error</t>
        </is>
      </c>
      <c r="C19" s="4" t="inlineStr">
        <is>
          <t>Medium</t>
        </is>
      </c>
      <c r="D19" s="12" t="n">
        <v>46249.45833333334</v>
      </c>
      <c r="E19" s="12" t="n">
        <v>46250.74416666666</v>
      </c>
      <c r="F19" s="13" t="n">
        <v>24</v>
      </c>
      <c r="G19" s="13" t="n">
        <v>30.86</v>
      </c>
      <c r="H19" s="13" t="n">
        <v>6.859999999999999</v>
      </c>
      <c r="I19" s="14" t="n">
        <v>0.2858333333333333</v>
      </c>
      <c r="J19" s="4" t="inlineStr">
        <is>
          <t>Delayed</t>
        </is>
      </c>
      <c r="K19" s="4" t="inlineStr">
        <is>
          <t>Aarav</t>
        </is>
      </c>
    </row>
    <row r="20">
      <c r="A20" s="4" t="inlineStr">
        <is>
          <t>SR1016</t>
        </is>
      </c>
      <c r="B20" s="4" t="inlineStr">
        <is>
          <t>Access Request</t>
        </is>
      </c>
      <c r="C20" s="4" t="inlineStr">
        <is>
          <t>Medium</t>
        </is>
      </c>
      <c r="D20" s="12" t="n">
        <v>46250.5</v>
      </c>
      <c r="E20" s="12" t="n">
        <v>46250.87291666667</v>
      </c>
      <c r="F20" s="13" t="n">
        <v>10</v>
      </c>
      <c r="G20" s="13" t="n">
        <v>8.949999999999999</v>
      </c>
      <c r="H20" s="13" t="n">
        <v>-1.050000000000001</v>
      </c>
      <c r="I20" s="14" t="n">
        <v>-0.1050000000000001</v>
      </c>
      <c r="J20" s="4" t="inlineStr">
        <is>
          <t>On Time</t>
        </is>
      </c>
      <c r="K20" s="4" t="inlineStr">
        <is>
          <t>Chetan</t>
        </is>
      </c>
    </row>
    <row r="21"/>
    <row r="22"/>
    <row r="23">
      <c r="A23" s="11" t="inlineStr">
        <is>
          <t>TASKS — CUSTOM FORMULA / MIS</t>
        </is>
      </c>
    </row>
    <row r="24">
      <c r="A24" s="6" t="inlineStr">
        <is>
          <t>#</t>
        </is>
      </c>
      <c r="B24" s="6" t="inlineStr">
        <is>
          <t>Task</t>
        </is>
      </c>
      <c r="C24" s="6" t="inlineStr">
        <is>
          <t>What to build</t>
        </is>
      </c>
      <c r="D24" s="6" t="inlineStr">
        <is>
          <t>Formula / method</t>
        </is>
      </c>
    </row>
    <row r="25">
      <c r="A25" s="4" t="inlineStr">
        <is>
          <t>1</t>
        </is>
      </c>
      <c r="B25" s="4" t="inlineStr">
        <is>
          <t>TAT Status</t>
        </is>
      </c>
      <c r="C25" s="4" t="inlineStr">
        <is>
          <t>Create a Status formula if not supplied: &lt;=0 On Time; &gt;0 to 20% At Risk; &gt;20% Delayed.</t>
        </is>
      </c>
      <c r="D25" s="4">
        <f>IF(I5&lt;=0,"On Time",IF(I5&lt;=20%,"At Risk","Delayed"))</f>
        <v/>
      </c>
    </row>
    <row r="26">
      <c r="A26" s="4" t="inlineStr">
        <is>
          <t>2</t>
        </is>
      </c>
      <c r="B26" s="4" t="inlineStr">
        <is>
          <t>Signal icons</t>
        </is>
      </c>
      <c r="C26" s="4" t="inlineStr">
        <is>
          <t>Apply 3-arrow icon set to a helper/status numeric field so Up=On Time, Side=At Risk, Down=Delayed.</t>
        </is>
      </c>
      <c r="D26" s="4" t="inlineStr">
        <is>
          <t>Manage Rules → Icon Set → thresholds</t>
        </is>
      </c>
    </row>
    <row r="27">
      <c r="A27" s="4" t="inlineStr">
        <is>
          <t>3</t>
        </is>
      </c>
      <c r="B27" s="4" t="inlineStr">
        <is>
          <t>Delayed rows</t>
        </is>
      </c>
      <c r="C27" s="4" t="inlineStr">
        <is>
          <t>Format entire A5:K20 when Status = Delayed.</t>
        </is>
      </c>
      <c r="D27" s="4">
        <f>$J5="Delayed"</f>
        <v/>
      </c>
    </row>
    <row r="28">
      <c r="A28" s="4" t="inlineStr">
        <is>
          <t>4</t>
        </is>
      </c>
      <c r="B28" s="4" t="inlineStr">
        <is>
          <t>At Risk rows</t>
        </is>
      </c>
      <c r="C28" s="4" t="inlineStr">
        <is>
          <t>Format entire A5:K20 when Status = At Risk.</t>
        </is>
      </c>
      <c r="D28" s="4">
        <f>$J5="At Risk"</f>
        <v/>
      </c>
    </row>
    <row r="29">
      <c r="A29" s="4" t="inlineStr">
        <is>
          <t>5</t>
        </is>
      </c>
      <c r="B29" s="4" t="inlineStr">
        <is>
          <t>High/Critical</t>
        </is>
      </c>
      <c r="C29" s="4" t="inlineStr">
        <is>
          <t>Format entire row when Priority is High OR Critical.</t>
        </is>
      </c>
      <c r="D29" s="4">
        <f>OR($C5="High",$C5="Critical")</f>
        <v/>
      </c>
    </row>
    <row r="30">
      <c r="A30" s="4" t="inlineStr">
        <is>
          <t>6</t>
        </is>
      </c>
      <c r="B30" s="4" t="inlineStr">
        <is>
          <t>Over target</t>
        </is>
      </c>
      <c r="C30" s="4" t="inlineStr">
        <is>
          <t>Highlight Variance % when &gt;20%.</t>
        </is>
      </c>
      <c r="D30" s="4">
        <f>$I5&gt;20%</f>
        <v/>
      </c>
    </row>
    <row r="31">
      <c r="A31" s="4" t="inlineStr">
        <is>
          <t>7</t>
        </is>
      </c>
      <c r="B31" s="4" t="inlineStr">
        <is>
          <t>Low + On Time</t>
        </is>
      </c>
      <c r="C31" s="4" t="inlineStr">
        <is>
          <t>Format entire row when Priority=Low AND Status=On Time.</t>
        </is>
      </c>
      <c r="D31" s="4">
        <f>AND($C5="Low",$J5="On Time")</f>
        <v/>
      </c>
    </row>
    <row r="32">
      <c r="A32" s="4" t="inlineStr">
        <is>
          <t>8</t>
        </is>
      </c>
      <c r="B32" s="4" t="inlineStr">
        <is>
          <t>Overdue date</t>
        </is>
      </c>
      <c r="C32" s="4" t="inlineStr">
        <is>
          <t>Create a due-date column and highlight dates earlier than TODAY().</t>
        </is>
      </c>
      <c r="D32" s="4" t="inlineStr">
        <is>
          <t>Date custom formula</t>
        </is>
      </c>
    </row>
    <row r="33">
      <c r="A33" s="4" t="inlineStr">
        <is>
          <t>9</t>
        </is>
      </c>
      <c r="B33" s="4" t="inlineStr">
        <is>
          <t>Weekends</t>
        </is>
      </c>
      <c r="C33" s="4" t="inlineStr">
        <is>
          <t>Highlight Requested On dates that fall on Saturday/Sunday.</t>
        </is>
      </c>
      <c r="D33" s="4">
        <f>WEEKDAY($D5,2)&gt;5</f>
        <v/>
      </c>
    </row>
    <row r="34">
      <c r="A34" s="4" t="inlineStr">
        <is>
          <t>10</t>
        </is>
      </c>
      <c r="B34" s="4" t="inlineStr">
        <is>
          <t>Blank control</t>
        </is>
      </c>
      <c r="C34" s="4" t="inlineStr">
        <is>
          <t>Highlight missing Owner / Completed On values.</t>
        </is>
      </c>
      <c r="D34" s="4">
        <f>ISBLANK($K5) / =ISBLANK($E5)</f>
        <v/>
      </c>
    </row>
  </sheetData>
  <mergeCells count="3">
    <mergeCell ref="A2:K2"/>
    <mergeCell ref="A1:K1"/>
    <mergeCell ref="A23:K23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5" customWidth="1" min="4" max="4"/>
    <col width="18" customWidth="1" min="5" max="5"/>
    <col width="18" customWidth="1" min="6" max="6"/>
    <col width="20" customWidth="1" min="7" max="7"/>
    <col width="25" customWidth="1" min="8" max="8"/>
    <col width="18" customWidth="1" min="9" max="9"/>
  </cols>
  <sheetData>
    <row r="1">
      <c r="A1" s="1" t="inlineStr">
        <is>
          <t>PRACTICE 3 — INVENTORY HEATMAP</t>
        </is>
      </c>
    </row>
    <row r="2">
      <c r="A2" s="2" t="inlineStr">
        <is>
          <t>Practice data bars, color scales, thresholds, duplicates and exception reporting.</t>
        </is>
      </c>
    </row>
    <row r="3"/>
    <row r="4">
      <c r="A4" s="8" t="inlineStr">
        <is>
          <t>SKU</t>
        </is>
      </c>
      <c r="B4" s="8" t="inlineStr">
        <is>
          <t>Product</t>
        </is>
      </c>
      <c r="C4" s="8" t="inlineStr">
        <is>
          <t>Category</t>
        </is>
      </c>
      <c r="D4" s="8" t="inlineStr">
        <is>
          <t>Stock</t>
        </is>
      </c>
      <c r="E4" s="8" t="inlineStr">
        <is>
          <t>Reorder Level</t>
        </is>
      </c>
      <c r="F4" s="8" t="inlineStr">
        <is>
          <t>Unit Cost (₹)</t>
        </is>
      </c>
      <c r="G4" s="8" t="inlineStr">
        <is>
          <t>Stock Value (₹)</t>
        </is>
      </c>
      <c r="H4" s="8" t="inlineStr">
        <is>
          <t>Supplier</t>
        </is>
      </c>
      <c r="I4" s="8" t="inlineStr">
        <is>
          <t>Status</t>
        </is>
      </c>
    </row>
    <row r="5">
      <c r="A5" s="4" t="inlineStr">
        <is>
          <t>SKU-001</t>
        </is>
      </c>
      <c r="B5" s="4" t="inlineStr">
        <is>
          <t>Laptop</t>
        </is>
      </c>
      <c r="C5" s="4" t="inlineStr">
        <is>
          <t>Accessories</t>
        </is>
      </c>
      <c r="D5" s="4" t="n">
        <v>216</v>
      </c>
      <c r="E5" s="4" t="n">
        <v>37</v>
      </c>
      <c r="F5" s="9" t="n">
        <v>13453</v>
      </c>
      <c r="G5" s="9" t="n">
        <v>2905848</v>
      </c>
      <c r="H5" s="4" t="inlineStr">
        <is>
          <t>Alpha Supplies</t>
        </is>
      </c>
      <c r="I5" s="4" t="inlineStr">
        <is>
          <t>Healthy</t>
        </is>
      </c>
    </row>
    <row r="6">
      <c r="A6" s="4" t="inlineStr">
        <is>
          <t>SKU-002</t>
        </is>
      </c>
      <c r="B6" s="4" t="inlineStr">
        <is>
          <t>Monitor</t>
        </is>
      </c>
      <c r="C6" s="4" t="inlineStr">
        <is>
          <t>Networking</t>
        </is>
      </c>
      <c r="D6" s="4" t="n">
        <v>43</v>
      </c>
      <c r="E6" s="4" t="n">
        <v>75</v>
      </c>
      <c r="F6" s="9" t="n">
        <v>33213</v>
      </c>
      <c r="G6" s="9" t="n">
        <v>1428159</v>
      </c>
      <c r="H6" s="4" t="inlineStr">
        <is>
          <t>Alpha Supplies</t>
        </is>
      </c>
      <c r="I6" s="4" t="inlineStr">
        <is>
          <t>Reorder</t>
        </is>
      </c>
    </row>
    <row r="7">
      <c r="A7" s="4" t="inlineStr">
        <is>
          <t>SKU-003</t>
        </is>
      </c>
      <c r="B7" s="4" t="inlineStr">
        <is>
          <t>Printer</t>
        </is>
      </c>
      <c r="C7" s="4" t="inlineStr">
        <is>
          <t>Networking</t>
        </is>
      </c>
      <c r="D7" s="4" t="n">
        <v>219</v>
      </c>
      <c r="E7" s="4" t="n">
        <v>72</v>
      </c>
      <c r="F7" s="9" t="n">
        <v>66865</v>
      </c>
      <c r="G7" s="9" t="n">
        <v>14643435</v>
      </c>
      <c r="H7" s="4" t="inlineStr">
        <is>
          <t>Gamma Distribution</t>
        </is>
      </c>
      <c r="I7" s="4" t="inlineStr">
        <is>
          <t>Healthy</t>
        </is>
      </c>
    </row>
    <row r="8">
      <c r="A8" s="4" t="inlineStr">
        <is>
          <t>SKU-004</t>
        </is>
      </c>
      <c r="B8" s="4" t="inlineStr">
        <is>
          <t>Keyboard</t>
        </is>
      </c>
      <c r="C8" s="4" t="inlineStr">
        <is>
          <t>Accessories</t>
        </is>
      </c>
      <c r="D8" s="4" t="n">
        <v>155</v>
      </c>
      <c r="E8" s="4" t="n">
        <v>27</v>
      </c>
      <c r="F8" s="9" t="n">
        <v>66892</v>
      </c>
      <c r="G8" s="9" t="n">
        <v>10368260</v>
      </c>
      <c r="H8" s="4" t="inlineStr">
        <is>
          <t>Alpha Supplies</t>
        </is>
      </c>
      <c r="I8" s="4" t="inlineStr">
        <is>
          <t>Healthy</t>
        </is>
      </c>
    </row>
    <row r="9">
      <c r="A9" s="4" t="inlineStr">
        <is>
          <t>SKU-005</t>
        </is>
      </c>
      <c r="B9" s="4" t="inlineStr">
        <is>
          <t>Mouse</t>
        </is>
      </c>
      <c r="C9" s="4" t="inlineStr">
        <is>
          <t>Accessories</t>
        </is>
      </c>
      <c r="D9" s="4" t="n">
        <v>160</v>
      </c>
      <c r="E9" s="4" t="n">
        <v>30</v>
      </c>
      <c r="F9" s="9" t="n">
        <v>18016</v>
      </c>
      <c r="G9" s="9" t="n">
        <v>2882560</v>
      </c>
      <c r="H9" s="4" t="inlineStr">
        <is>
          <t>Alpha Supplies</t>
        </is>
      </c>
      <c r="I9" s="4" t="inlineStr">
        <is>
          <t>Healthy</t>
        </is>
      </c>
    </row>
    <row r="10">
      <c r="A10" s="4" t="inlineStr">
        <is>
          <t>SKU-006</t>
        </is>
      </c>
      <c r="B10" s="4" t="inlineStr">
        <is>
          <t>Tablet</t>
        </is>
      </c>
      <c r="C10" s="4" t="inlineStr">
        <is>
          <t>Accessories</t>
        </is>
      </c>
      <c r="D10" s="4" t="n">
        <v>122</v>
      </c>
      <c r="E10" s="4" t="n">
        <v>50</v>
      </c>
      <c r="F10" s="9" t="n">
        <v>43893</v>
      </c>
      <c r="G10" s="9" t="n">
        <v>5354946</v>
      </c>
      <c r="H10" s="4" t="inlineStr">
        <is>
          <t>Alpha Supplies</t>
        </is>
      </c>
      <c r="I10" s="4" t="inlineStr">
        <is>
          <t>Healthy</t>
        </is>
      </c>
    </row>
    <row r="11">
      <c r="A11" s="4" t="inlineStr">
        <is>
          <t>SKU-007</t>
        </is>
      </c>
      <c r="B11" s="4" t="inlineStr">
        <is>
          <t>Webcam</t>
        </is>
      </c>
      <c r="C11" s="4" t="inlineStr">
        <is>
          <t>Networking</t>
        </is>
      </c>
      <c r="D11" s="4" t="n">
        <v>218</v>
      </c>
      <c r="E11" s="4" t="n">
        <v>42</v>
      </c>
      <c r="F11" s="9" t="n">
        <v>37091</v>
      </c>
      <c r="G11" s="9" t="n">
        <v>8085838</v>
      </c>
      <c r="H11" s="4" t="inlineStr">
        <is>
          <t>Gamma Distribution</t>
        </is>
      </c>
      <c r="I11" s="4" t="inlineStr">
        <is>
          <t>Healthy</t>
        </is>
      </c>
    </row>
    <row r="12">
      <c r="A12" s="4" t="inlineStr">
        <is>
          <t>SKU-008</t>
        </is>
      </c>
      <c r="B12" s="4" t="inlineStr">
        <is>
          <t>Router</t>
        </is>
      </c>
      <c r="C12" s="4" t="inlineStr">
        <is>
          <t>Computing</t>
        </is>
      </c>
      <c r="D12" s="4" t="n">
        <v>149</v>
      </c>
      <c r="E12" s="4" t="n">
        <v>59</v>
      </c>
      <c r="F12" s="9" t="n">
        <v>25399</v>
      </c>
      <c r="G12" s="9" t="n">
        <v>3784451</v>
      </c>
      <c r="H12" s="4" t="inlineStr">
        <is>
          <t>Gamma Distribution</t>
        </is>
      </c>
      <c r="I12" s="4" t="inlineStr">
        <is>
          <t>Healthy</t>
        </is>
      </c>
    </row>
    <row r="13">
      <c r="A13" s="4" t="inlineStr">
        <is>
          <t>SKU-009</t>
        </is>
      </c>
      <c r="B13" s="4" t="inlineStr">
        <is>
          <t>SSD</t>
        </is>
      </c>
      <c r="C13" s="4" t="inlineStr">
        <is>
          <t>Accessories</t>
        </is>
      </c>
      <c r="D13" s="4" t="n">
        <v>59</v>
      </c>
      <c r="E13" s="4" t="n">
        <v>29</v>
      </c>
      <c r="F13" s="9" t="n">
        <v>42972</v>
      </c>
      <c r="G13" s="9" t="n">
        <v>2535348</v>
      </c>
      <c r="H13" s="4" t="inlineStr">
        <is>
          <t>Gamma Distribution</t>
        </is>
      </c>
      <c r="I13" s="4" t="inlineStr">
        <is>
          <t>Healthy</t>
        </is>
      </c>
    </row>
    <row r="14">
      <c r="A14" s="4" t="inlineStr">
        <is>
          <t>SKU-010</t>
        </is>
      </c>
      <c r="B14" s="4" t="inlineStr">
        <is>
          <t>Headset</t>
        </is>
      </c>
      <c r="C14" s="4" t="inlineStr">
        <is>
          <t>Accessories</t>
        </is>
      </c>
      <c r="D14" s="4" t="n">
        <v>209</v>
      </c>
      <c r="E14" s="4" t="n">
        <v>79</v>
      </c>
      <c r="F14" s="9" t="n">
        <v>18288</v>
      </c>
      <c r="G14" s="9" t="n">
        <v>3822192</v>
      </c>
      <c r="H14" s="4" t="inlineStr">
        <is>
          <t>Beta Trade</t>
        </is>
      </c>
      <c r="I14" s="4" t="inlineStr">
        <is>
          <t>Healthy</t>
        </is>
      </c>
    </row>
    <row r="15">
      <c r="A15" s="4" t="inlineStr">
        <is>
          <t>SKU-011</t>
        </is>
      </c>
      <c r="B15" s="4" t="inlineStr">
        <is>
          <t>Dock</t>
        </is>
      </c>
      <c r="C15" s="4" t="inlineStr">
        <is>
          <t>Computing</t>
        </is>
      </c>
      <c r="D15" s="4" t="n">
        <v>167</v>
      </c>
      <c r="E15" s="4" t="n">
        <v>51</v>
      </c>
      <c r="F15" s="9" t="n">
        <v>12576</v>
      </c>
      <c r="G15" s="9" t="n">
        <v>2100192</v>
      </c>
      <c r="H15" s="4" t="inlineStr">
        <is>
          <t>Beta Trade</t>
        </is>
      </c>
      <c r="I15" s="4" t="inlineStr">
        <is>
          <t>Healthy</t>
        </is>
      </c>
    </row>
    <row r="16">
      <c r="A16" s="4" t="inlineStr">
        <is>
          <t>SKU-012</t>
        </is>
      </c>
      <c r="B16" s="4" t="inlineStr">
        <is>
          <t>Scanner</t>
        </is>
      </c>
      <c r="C16" s="4" t="inlineStr">
        <is>
          <t>Networking</t>
        </is>
      </c>
      <c r="D16" s="4" t="n">
        <v>93</v>
      </c>
      <c r="E16" s="4" t="n">
        <v>47</v>
      </c>
      <c r="F16" s="9" t="n">
        <v>48244</v>
      </c>
      <c r="G16" s="9" t="n">
        <v>4486692</v>
      </c>
      <c r="H16" s="4" t="inlineStr">
        <is>
          <t>Alpha Supplies</t>
        </is>
      </c>
      <c r="I16" s="4" t="inlineStr">
        <is>
          <t>Healthy</t>
        </is>
      </c>
    </row>
    <row r="17"/>
    <row r="18"/>
    <row r="19">
      <c r="A19" s="5" t="inlineStr">
        <is>
          <t>TASKS</t>
        </is>
      </c>
    </row>
    <row r="20">
      <c r="A20" s="6" t="inlineStr">
        <is>
          <t>#</t>
        </is>
      </c>
      <c r="B20" s="6" t="inlineStr">
        <is>
          <t>Task</t>
        </is>
      </c>
      <c r="C20" s="6" t="inlineStr">
        <is>
          <t>Requirement</t>
        </is>
      </c>
      <c r="D20" s="6" t="inlineStr">
        <is>
          <t>Purpose</t>
        </is>
      </c>
    </row>
    <row r="21">
      <c r="A21" s="4" t="inlineStr">
        <is>
          <t>1</t>
        </is>
      </c>
      <c r="B21" s="4" t="inlineStr">
        <is>
          <t>Stock data bars</t>
        </is>
      </c>
      <c r="C21" s="4" t="inlineStr">
        <is>
          <t>Apply data bars to Stock.</t>
        </is>
      </c>
      <c r="D21" s="4" t="inlineStr">
        <is>
          <t>Show magnitude at a glance.</t>
        </is>
      </c>
    </row>
    <row r="22">
      <c r="A22" s="4" t="inlineStr">
        <is>
          <t>2</t>
        </is>
      </c>
      <c r="B22" s="4" t="inlineStr">
        <is>
          <t>Stock color scale</t>
        </is>
      </c>
      <c r="C22" s="4" t="inlineStr">
        <is>
          <t>3-color scale to Stock.</t>
        </is>
      </c>
      <c r="D22" s="4" t="inlineStr">
        <is>
          <t>Low stock should visually stand out.</t>
        </is>
      </c>
    </row>
    <row r="23">
      <c r="A23" s="4" t="inlineStr">
        <is>
          <t>3</t>
        </is>
      </c>
      <c r="B23" s="4" t="inlineStr">
        <is>
          <t>Reorder</t>
        </is>
      </c>
      <c r="C23" s="4" t="inlineStr">
        <is>
          <t>Highlight entire row when Stock &lt;= Reorder Level.</t>
        </is>
      </c>
      <c r="D23" s="4" t="inlineStr">
        <is>
          <t>Use custom formula =D5&lt;=$E5.</t>
        </is>
      </c>
    </row>
    <row r="24">
      <c r="A24" s="4" t="inlineStr">
        <is>
          <t>4</t>
        </is>
      </c>
      <c r="B24" s="4" t="inlineStr">
        <is>
          <t>High value</t>
        </is>
      </c>
      <c r="C24" s="4" t="inlineStr">
        <is>
          <t>Highlight Stock Value above ₹5,00,000.</t>
        </is>
      </c>
      <c r="D24" s="4" t="inlineStr">
        <is>
          <t>Value exception.</t>
        </is>
      </c>
    </row>
    <row r="25">
      <c r="A25" s="4" t="inlineStr">
        <is>
          <t>5</t>
        </is>
      </c>
      <c r="B25" s="4" t="inlineStr">
        <is>
          <t>Status text</t>
        </is>
      </c>
      <c r="C25" s="4" t="inlineStr">
        <is>
          <t>Highlight Status = Reorder.</t>
        </is>
      </c>
      <c r="D25" s="4" t="inlineStr">
        <is>
          <t>Action signal.</t>
        </is>
      </c>
    </row>
    <row r="26">
      <c r="A26" s="4" t="inlineStr">
        <is>
          <t>6</t>
        </is>
      </c>
      <c r="B26" s="4" t="inlineStr">
        <is>
          <t>Missing supplier</t>
        </is>
      </c>
      <c r="C26" s="4" t="inlineStr">
        <is>
          <t>Highlight blank Supplier.</t>
        </is>
      </c>
      <c r="D26" s="4" t="inlineStr">
        <is>
          <t>Data-quality control.</t>
        </is>
      </c>
    </row>
    <row r="27">
      <c r="A27" s="4" t="inlineStr">
        <is>
          <t>7</t>
        </is>
      </c>
      <c r="B27" s="4" t="inlineStr">
        <is>
          <t>Duplicate SKU</t>
        </is>
      </c>
      <c r="C27" s="4" t="inlineStr">
        <is>
          <t>Create a duplicate SKU and detect it.</t>
        </is>
      </c>
      <c r="D27" s="4" t="inlineStr">
        <is>
          <t>Duplicate Values.</t>
        </is>
      </c>
    </row>
  </sheetData>
  <mergeCells count="3">
    <mergeCell ref="A1:I1"/>
    <mergeCell ref="A19:I19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5" customWidth="1" min="3" max="3"/>
    <col width="35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PRACTICE 4 — CONDITIONAL FORMATTING FOR DASHBOARDS</t>
        </is>
      </c>
    </row>
    <row r="2">
      <c r="A2" s="2" t="inlineStr">
        <is>
          <t>Build dynamic rules driven by input cells. This is the bridge from formatting to interactive MIS/dashboard logic.</t>
        </is>
      </c>
    </row>
    <row r="3"/>
    <row r="4">
      <c r="A4" s="3" t="inlineStr">
        <is>
          <t>CONTROL PANEL</t>
        </is>
      </c>
    </row>
    <row r="5">
      <c r="A5" s="6" t="inlineStr">
        <is>
          <t>Control</t>
        </is>
      </c>
      <c r="B5" s="6" t="inlineStr">
        <is>
          <t>Input</t>
        </is>
      </c>
      <c r="C5" s="6" t="inlineStr">
        <is>
          <t>Meaning</t>
        </is>
      </c>
      <c r="D5" s="6" t="inlineStr">
        <is>
          <t>Test</t>
        </is>
      </c>
    </row>
    <row r="6">
      <c r="A6" s="4" t="inlineStr">
        <is>
          <t>Target Achievement %</t>
        </is>
      </c>
      <c r="B6" s="14" t="n">
        <v>0.9</v>
      </c>
      <c r="C6" s="4" t="inlineStr">
        <is>
          <t>Threshold used by KPI rules</t>
        </is>
      </c>
      <c r="D6" s="4" t="inlineStr">
        <is>
          <t>Change B6</t>
        </is>
      </c>
    </row>
    <row r="7">
      <c r="A7" s="4" t="inlineStr">
        <is>
          <t>Risk Threshold %</t>
        </is>
      </c>
      <c r="B7" s="14" t="n">
        <v>0.2</v>
      </c>
      <c r="C7" s="4" t="inlineStr">
        <is>
          <t>At-risk boundary</t>
        </is>
      </c>
      <c r="D7" s="4" t="inlineStr">
        <is>
          <t>Change B7</t>
        </is>
      </c>
    </row>
    <row r="8">
      <c r="A8" s="4" t="inlineStr">
        <is>
          <t>Selected Region</t>
        </is>
      </c>
      <c r="B8" s="4" t="inlineStr">
        <is>
          <t>North</t>
        </is>
      </c>
      <c r="C8" s="4" t="inlineStr">
        <is>
          <t>Dashboard filter</t>
        </is>
      </c>
      <c r="D8" s="4" t="inlineStr">
        <is>
          <t>Change B8</t>
        </is>
      </c>
    </row>
    <row r="9"/>
    <row r="10">
      <c r="A10" s="5" t="inlineStr">
        <is>
          <t>KPI TABLE</t>
        </is>
      </c>
    </row>
    <row r="11">
      <c r="A11" s="8" t="inlineStr">
        <is>
          <t>KPI</t>
        </is>
      </c>
      <c r="B11" s="8" t="inlineStr">
        <is>
          <t>Actual</t>
        </is>
      </c>
      <c r="C11" s="8" t="inlineStr">
        <is>
          <t>Target</t>
        </is>
      </c>
      <c r="D11" s="8" t="inlineStr">
        <is>
          <t>Achievement %</t>
        </is>
      </c>
      <c r="E11" s="8" t="inlineStr">
        <is>
          <t>Variance</t>
        </is>
      </c>
      <c r="F11" s="8" t="inlineStr">
        <is>
          <t>Status</t>
        </is>
      </c>
      <c r="G11" s="8" t="inlineStr">
        <is>
          <t>Region</t>
        </is>
      </c>
      <c r="H11" s="8" t="inlineStr">
        <is>
          <t>Owner</t>
        </is>
      </c>
    </row>
    <row r="12">
      <c r="A12" s="4" t="inlineStr">
        <is>
          <t>Revenue</t>
        </is>
      </c>
      <c r="B12" s="9" t="n">
        <v>920000</v>
      </c>
      <c r="C12" s="9" t="n">
        <v>1000000</v>
      </c>
      <c r="D12" s="10">
        <f>B12/C12</f>
        <v/>
      </c>
      <c r="E12" s="9">
        <f>B12-C12</f>
        <v/>
      </c>
      <c r="F12" s="4">
        <f>IF(D12&gt;=1,"On Track",IF(D12&gt;=$B$7,"Watch","Critical"))</f>
        <v/>
      </c>
      <c r="G12" s="4" t="inlineStr">
        <is>
          <t>North</t>
        </is>
      </c>
      <c r="H12" s="4" t="inlineStr">
        <is>
          <t>Aarav</t>
        </is>
      </c>
    </row>
    <row r="13">
      <c r="A13" s="4" t="inlineStr">
        <is>
          <t>Orders</t>
        </is>
      </c>
      <c r="B13" s="15" t="n">
        <v>840</v>
      </c>
      <c r="C13" s="15" t="n">
        <v>900</v>
      </c>
      <c r="D13" s="10">
        <f>B13/C13</f>
        <v/>
      </c>
      <c r="E13" s="15">
        <f>B13-C13</f>
        <v/>
      </c>
      <c r="F13" s="4">
        <f>IF(D13&gt;=1,"On Track",IF(D13&gt;=$B$7,"Watch","Critical"))</f>
        <v/>
      </c>
      <c r="G13" s="4" t="inlineStr">
        <is>
          <t>South</t>
        </is>
      </c>
      <c r="H13" s="4" t="inlineStr">
        <is>
          <t>Bhavna</t>
        </is>
      </c>
    </row>
    <row r="14">
      <c r="A14" s="4" t="inlineStr">
        <is>
          <t>Customers</t>
        </is>
      </c>
      <c r="B14" s="15" t="n">
        <v>720</v>
      </c>
      <c r="C14" s="15" t="n">
        <v>700</v>
      </c>
      <c r="D14" s="10">
        <f>B14/C14</f>
        <v/>
      </c>
      <c r="E14" s="15">
        <f>B14-C14</f>
        <v/>
      </c>
      <c r="F14" s="4">
        <f>IF(D14&gt;=1,"On Track",IF(D14&gt;=$B$7,"Watch","Critical"))</f>
        <v/>
      </c>
      <c r="G14" s="4" t="inlineStr">
        <is>
          <t>North</t>
        </is>
      </c>
      <c r="H14" s="4" t="inlineStr">
        <is>
          <t>Chetan</t>
        </is>
      </c>
    </row>
    <row r="15">
      <c r="A15" s="4" t="inlineStr">
        <is>
          <t>Profit</t>
        </is>
      </c>
      <c r="B15" s="9" t="n">
        <v>180000</v>
      </c>
      <c r="C15" s="9" t="n">
        <v>200000</v>
      </c>
      <c r="D15" s="10">
        <f>B15/C15</f>
        <v/>
      </c>
      <c r="E15" s="9">
        <f>B15-C15</f>
        <v/>
      </c>
      <c r="F15" s="4">
        <f>IF(D15&gt;=1,"On Track",IF(D15&gt;=$B$7,"Watch","Critical"))</f>
        <v/>
      </c>
      <c r="G15" s="4" t="inlineStr">
        <is>
          <t>West</t>
        </is>
      </c>
      <c r="H15" s="4" t="inlineStr">
        <is>
          <t>Disha</t>
        </is>
      </c>
    </row>
    <row r="16">
      <c r="A16" s="4" t="inlineStr">
        <is>
          <t>Conversion</t>
        </is>
      </c>
      <c r="B16" s="10" t="n">
        <v>0.041</v>
      </c>
      <c r="C16" s="10" t="n">
        <v>0.05</v>
      </c>
      <c r="D16" s="10">
        <f>B16/C16</f>
        <v/>
      </c>
      <c r="E16" s="4">
        <f>B16-C16</f>
        <v/>
      </c>
      <c r="F16" s="4">
        <f>IF(D16&gt;=1,"On Track",IF(D16&gt;=$B$7,"Watch","Critical"))</f>
        <v/>
      </c>
      <c r="G16" s="4" t="inlineStr">
        <is>
          <t>North</t>
        </is>
      </c>
      <c r="H16" s="4" t="inlineStr">
        <is>
          <t>Eshan</t>
        </is>
      </c>
    </row>
    <row r="17">
      <c r="A17" s="4" t="inlineStr">
        <is>
          <t>SLA</t>
        </is>
      </c>
      <c r="B17" s="10" t="n">
        <v>0.91</v>
      </c>
      <c r="C17" s="10" t="n">
        <v>0.95</v>
      </c>
      <c r="D17" s="10">
        <f>B17/C17</f>
        <v/>
      </c>
      <c r="E17" s="4">
        <f>B17-C17</f>
        <v/>
      </c>
      <c r="F17" s="4">
        <f>IF(D17&gt;=1,"On Track",IF(D17&gt;=$B$7,"Watch","Critical"))</f>
        <v/>
      </c>
      <c r="G17" s="4" t="inlineStr">
        <is>
          <t>East</t>
        </is>
      </c>
      <c r="H17" s="4" t="inlineStr">
        <is>
          <t>Farah</t>
        </is>
      </c>
    </row>
    <row r="18">
      <c r="A18" s="4" t="inlineStr">
        <is>
          <t>Revenue</t>
        </is>
      </c>
      <c r="B18" s="9" t="n">
        <v>1120000</v>
      </c>
      <c r="C18" s="9" t="n">
        <v>1000000</v>
      </c>
      <c r="D18" s="10">
        <f>B18/C18</f>
        <v/>
      </c>
      <c r="E18" s="9">
        <f>B18-C18</f>
        <v/>
      </c>
      <c r="F18" s="4">
        <f>IF(D18&gt;=1,"On Track",IF(D18&gt;=$B$7,"Watch","Critical"))</f>
        <v/>
      </c>
      <c r="G18" s="4" t="inlineStr">
        <is>
          <t>North</t>
        </is>
      </c>
      <c r="H18" s="4" t="inlineStr">
        <is>
          <t>Gaurav</t>
        </is>
      </c>
    </row>
    <row r="19">
      <c r="A19" s="4" t="inlineStr">
        <is>
          <t>Orders</t>
        </is>
      </c>
      <c r="B19" s="15" t="n">
        <v>640</v>
      </c>
      <c r="C19" s="15" t="n">
        <v>700</v>
      </c>
      <c r="D19" s="10">
        <f>B19/C19</f>
        <v/>
      </c>
      <c r="E19" s="15">
        <f>B19-C19</f>
        <v/>
      </c>
      <c r="F19" s="4">
        <f>IF(D19&gt;=1,"On Track",IF(D19&gt;=$B$7,"Watch","Critical"))</f>
        <v/>
      </c>
      <c r="G19" s="4" t="inlineStr">
        <is>
          <t>West</t>
        </is>
      </c>
      <c r="H19" s="4" t="inlineStr">
        <is>
          <t>Harsh</t>
        </is>
      </c>
    </row>
    <row r="20">
      <c r="A20" s="4" t="inlineStr">
        <is>
          <t>Profit</t>
        </is>
      </c>
      <c r="B20" s="9" t="n">
        <v>230000</v>
      </c>
      <c r="C20" s="9" t="n">
        <v>210000</v>
      </c>
      <c r="D20" s="10">
        <f>B20/C20</f>
        <v/>
      </c>
      <c r="E20" s="9">
        <f>B20-C20</f>
        <v/>
      </c>
      <c r="F20" s="4">
        <f>IF(D20&gt;=1,"On Track",IF(D20&gt;=$B$7,"Watch","Critical"))</f>
        <v/>
      </c>
      <c r="G20" s="4" t="inlineStr">
        <is>
          <t>North</t>
        </is>
      </c>
      <c r="H20" s="4" t="inlineStr">
        <is>
          <t>Isha</t>
        </is>
      </c>
    </row>
    <row r="21"/>
    <row r="22"/>
    <row r="23">
      <c r="A23" s="11" t="inlineStr">
        <is>
          <t>TASKS — DYNAMIC RULES</t>
        </is>
      </c>
    </row>
    <row r="24">
      <c r="A24" s="6" t="inlineStr">
        <is>
          <t>#</t>
        </is>
      </c>
      <c r="B24" s="6" t="inlineStr">
        <is>
          <t>Task</t>
        </is>
      </c>
      <c r="C24" s="6" t="inlineStr">
        <is>
          <t>Requirement</t>
        </is>
      </c>
      <c r="D24" s="6" t="inlineStr">
        <is>
          <t>Formula / guidance</t>
        </is>
      </c>
    </row>
    <row r="25">
      <c r="A25" s="4" t="inlineStr">
        <is>
          <t>1</t>
        </is>
      </c>
      <c r="B25" s="4" t="inlineStr">
        <is>
          <t>Achievement color</t>
        </is>
      </c>
      <c r="C25" s="4" t="inlineStr">
        <is>
          <t>Apply a 3-color scale to Achievement %.</t>
        </is>
      </c>
      <c r="D25" s="4" t="inlineStr">
        <is>
          <t>Low / medium / high</t>
        </is>
      </c>
    </row>
    <row r="26">
      <c r="A26" s="4" t="inlineStr">
        <is>
          <t>2</t>
        </is>
      </c>
      <c r="B26" s="4" t="inlineStr">
        <is>
          <t>Target-driven highlight</t>
        </is>
      </c>
      <c r="C26" s="4" t="inlineStr">
        <is>
          <t>Highlight Achievement % below $B$6.</t>
        </is>
      </c>
      <c r="D26" s="4" t="inlineStr">
        <is>
          <t>Use =D12&lt;$B$6</t>
        </is>
      </c>
    </row>
    <row r="27">
      <c r="A27" s="4" t="inlineStr">
        <is>
          <t>3</t>
        </is>
      </c>
      <c r="B27" s="4" t="inlineStr">
        <is>
          <t>Critical KPI</t>
        </is>
      </c>
      <c r="C27" s="4" t="inlineStr">
        <is>
          <t>Highlight entire row when Status="Critical".</t>
        </is>
      </c>
      <c r="D27" s="4" t="inlineStr">
        <is>
          <t>Use =$F12="Critical"</t>
        </is>
      </c>
    </row>
    <row r="28">
      <c r="A28" s="4" t="inlineStr">
        <is>
          <t>4</t>
        </is>
      </c>
      <c r="B28" s="4" t="inlineStr">
        <is>
          <t>Region selector</t>
        </is>
      </c>
      <c r="C28" s="4" t="inlineStr">
        <is>
          <t>Highlight entire row only when Region matches $B$8.</t>
        </is>
      </c>
      <c r="D28" s="4" t="inlineStr">
        <is>
          <t>Use =$G12=$B$8</t>
        </is>
      </c>
    </row>
    <row r="29">
      <c r="A29" s="4" t="inlineStr">
        <is>
          <t>5</t>
        </is>
      </c>
      <c r="B29" s="4" t="inlineStr">
        <is>
          <t>Combined logic</t>
        </is>
      </c>
      <c r="C29" s="4" t="inlineStr">
        <is>
          <t>Highlight rows where selected region AND Critical.</t>
        </is>
      </c>
      <c r="D29" s="4">
        <f>AND($G12=$B$8,$F12="Critical")</f>
        <v/>
      </c>
    </row>
    <row r="30">
      <c r="A30" s="4" t="inlineStr">
        <is>
          <t>6</t>
        </is>
      </c>
      <c r="B30" s="4" t="inlineStr">
        <is>
          <t>Data bars</t>
        </is>
      </c>
      <c r="C30" s="4" t="inlineStr">
        <is>
          <t>Apply data bars to Actual for magnitude.</t>
        </is>
      </c>
      <c r="D30" s="4" t="inlineStr">
        <is>
          <t>Choose sensible metric</t>
        </is>
      </c>
    </row>
    <row r="31">
      <c r="A31" s="4" t="inlineStr">
        <is>
          <t>7</t>
        </is>
      </c>
      <c r="B31" s="4" t="inlineStr">
        <is>
          <t>Blank quality</t>
        </is>
      </c>
      <c r="C31" s="4" t="inlineStr">
        <is>
          <t>Highlight blank Owner cells.</t>
        </is>
      </c>
      <c r="D31" s="4">
        <f>ISBLANK($H12)</f>
        <v/>
      </c>
    </row>
    <row r="32">
      <c r="A32" s="4" t="inlineStr">
        <is>
          <t>8</t>
        </is>
      </c>
      <c r="B32" s="4" t="inlineStr">
        <is>
          <t>Explain rule order</t>
        </is>
      </c>
      <c r="C32" s="4" t="inlineStr">
        <is>
          <t>If multiple rules overlap, decide which should win and document Stop If True.</t>
        </is>
      </c>
      <c r="D32" s="4" t="inlineStr">
        <is>
          <t>Manage Rules</t>
        </is>
      </c>
    </row>
  </sheetData>
  <mergeCells count="5">
    <mergeCell ref="A4:H4"/>
    <mergeCell ref="A2:H2"/>
    <mergeCell ref="A10:H10"/>
    <mergeCell ref="A1:H1"/>
    <mergeCell ref="A23:H23"/>
  </mergeCells>
  <dataValidations count="1">
    <dataValidation sqref="B8" showDropDown="0" showInputMessage="0" showErrorMessage="0" allowBlank="0" type="list">
      <formula1>"North,South,East,West"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showGridLines="0" workbookViewId="0">
      <selection activeCell="A1" sqref="A1"/>
    </sheetView>
  </sheetViews>
  <sheetFormatPr baseColWidth="8" defaultRowHeight="15"/>
  <sheetData>
    <row r="1">
      <c r="A1" s="16" t="inlineStr">
        <is>
          <t>CHAPTER 3 — SOLUTIONS &amp; MASTER REFERENCE</t>
        </is>
      </c>
    </row>
    <row r="2">
      <c r="A2" s="17" t="inlineStr">
        <is>
          <t>Exact formula patterns, ranges and expert reasoning. Use this after attempting the practice sheets.</t>
        </is>
      </c>
    </row>
    <row r="4">
      <c r="A4" s="18" t="inlineStr">
        <is>
          <t>CUSTOM FORMULA PATTERNS</t>
        </is>
      </c>
    </row>
    <row r="5">
      <c r="A5" s="19" t="inlineStr">
        <is>
          <t>Scenario</t>
        </is>
      </c>
      <c r="B5" s="19" t="inlineStr">
        <is>
          <t>Apply To</t>
        </is>
      </c>
      <c r="C5" s="19" t="inlineStr">
        <is>
          <t>Formula</t>
        </is>
      </c>
      <c r="D5" s="19" t="inlineStr">
        <is>
          <t>What it means</t>
        </is>
      </c>
      <c r="E5" s="19" t="inlineStr">
        <is>
          <t>Reference rule</t>
        </is>
      </c>
      <c r="F5" s="19" t="inlineStr">
        <is>
          <t>Business purpose</t>
        </is>
      </c>
    </row>
    <row r="6">
      <c r="A6" t="inlineStr">
        <is>
          <t>Above target</t>
        </is>
      </c>
      <c r="B6" t="inlineStr">
        <is>
          <t>Sales!C5:C16</t>
        </is>
      </c>
      <c r="C6">
        <f>C5&gt;$D5</f>
        <v/>
      </c>
      <c r="D6" t="inlineStr">
        <is>
          <t>Sales exceeds same-row target</t>
        </is>
      </c>
      <c r="E6" t="inlineStr">
        <is>
          <t>Row-relative</t>
        </is>
      </c>
      <c r="F6" t="inlineStr">
        <is>
          <t>Spot achievers</t>
        </is>
      </c>
    </row>
    <row r="7">
      <c r="A7" t="inlineStr">
        <is>
          <t>Below target</t>
        </is>
      </c>
      <c r="B7" t="inlineStr">
        <is>
          <t>Sales!C5:C16</t>
        </is>
      </c>
      <c r="C7">
        <f>C5&lt;$D5</f>
        <v/>
      </c>
      <c r="D7" t="inlineStr">
        <is>
          <t>Sales below same-row target</t>
        </is>
      </c>
      <c r="E7" t="inlineStr">
        <is>
          <t>Row-relative</t>
        </is>
      </c>
      <c r="F7" t="inlineStr">
        <is>
          <t>Spot gaps</t>
        </is>
      </c>
    </row>
    <row r="8">
      <c r="A8" t="inlineStr">
        <is>
          <t>Between fixed limits</t>
        </is>
      </c>
      <c r="B8" t="inlineStr">
        <is>
          <t>Sales!C5:C16</t>
        </is>
      </c>
      <c r="C8">
        <f>AND(C5&gt;=$B$1,C5&lt;=$C$1)</f>
        <v/>
      </c>
      <c r="D8" t="inlineStr">
        <is>
          <t>Between two control cells</t>
        </is>
      </c>
      <c r="E8" t="inlineStr">
        <is>
          <t>$ locks controls</t>
        </is>
      </c>
      <c r="F8" t="inlineStr">
        <is>
          <t>Focus range</t>
        </is>
      </c>
    </row>
    <row r="9">
      <c r="A9" t="inlineStr">
        <is>
          <t>Full delayed row</t>
        </is>
      </c>
      <c r="B9" t="inlineStr">
        <is>
          <t>TAT MIS!A5:K20</t>
        </is>
      </c>
      <c r="C9">
        <f>$J5="Delayed"</f>
        <v/>
      </c>
      <c r="D9" t="inlineStr">
        <is>
          <t>Status in column J controls entire row</t>
        </is>
      </c>
      <c r="E9" t="inlineStr">
        <is>
          <t>$ locks column, row moves</t>
        </is>
      </c>
      <c r="F9" t="inlineStr">
        <is>
          <t>MIS exception</t>
        </is>
      </c>
    </row>
    <row r="10">
      <c r="A10" t="inlineStr">
        <is>
          <t>High/Critical row</t>
        </is>
      </c>
      <c r="B10" t="inlineStr">
        <is>
          <t>TAT MIS!A5:K20</t>
        </is>
      </c>
      <c r="C10">
        <f>OR($C5="High",$C5="Critical")</f>
        <v/>
      </c>
      <c r="D10" t="inlineStr">
        <is>
          <t>Either priority triggers</t>
        </is>
      </c>
      <c r="E10" t="inlineStr">
        <is>
          <t>$ locks priority column</t>
        </is>
      </c>
      <c r="F10" t="inlineStr">
        <is>
          <t>Escalation</t>
        </is>
      </c>
    </row>
    <row r="11">
      <c r="A11" t="inlineStr">
        <is>
          <t>Low + On Time</t>
        </is>
      </c>
      <c r="B11" t="inlineStr">
        <is>
          <t>TAT MIS!A5:K20</t>
        </is>
      </c>
      <c r="C11">
        <f>AND($C5="Low",$J5="On Time")</f>
        <v/>
      </c>
      <c r="D11" t="inlineStr">
        <is>
          <t>Both conditions required</t>
        </is>
      </c>
      <c r="E11" t="inlineStr">
        <is>
          <t>$ locks columns</t>
        </is>
      </c>
      <c r="F11" t="inlineStr">
        <is>
          <t>Positive signal</t>
        </is>
      </c>
    </row>
    <row r="12">
      <c r="A12" t="inlineStr">
        <is>
          <t>Over 20%</t>
        </is>
      </c>
      <c r="B12" t="inlineStr">
        <is>
          <t>TAT MIS!I5:I20</t>
        </is>
      </c>
      <c r="C12">
        <f>I5&gt;20%</f>
        <v/>
      </c>
      <c r="D12" t="inlineStr">
        <is>
          <t>Variance % breaches threshold</t>
        </is>
      </c>
      <c r="E12" t="inlineStr">
        <is>
          <t>Relative row</t>
        </is>
      </c>
      <c r="F12" t="inlineStr">
        <is>
          <t>SLA risk</t>
        </is>
      </c>
    </row>
    <row r="13">
      <c r="A13" t="inlineStr">
        <is>
          <t>Weekend</t>
        </is>
      </c>
      <c r="B13" t="inlineStr">
        <is>
          <t>TAT MIS!D5:D20</t>
        </is>
      </c>
      <c r="C13">
        <f>WEEKDAY(D5,2)&gt;5</f>
        <v/>
      </c>
      <c r="D13" t="inlineStr">
        <is>
          <t>Saturday=6 or Sunday=7</t>
        </is>
      </c>
      <c r="E13" t="inlineStr">
        <is>
          <t>Relative row</t>
        </is>
      </c>
      <c r="F13" t="inlineStr">
        <is>
          <t>Scheduling</t>
        </is>
      </c>
    </row>
    <row r="14">
      <c r="A14" t="inlineStr">
        <is>
          <t>Blank</t>
        </is>
      </c>
      <c r="B14" t="inlineStr">
        <is>
          <t>Dashboard!H12:H20</t>
        </is>
      </c>
      <c r="C14">
        <f>ISBLANK(H12)</f>
        <v/>
      </c>
      <c r="D14" t="inlineStr">
        <is>
          <t>Missing owner</t>
        </is>
      </c>
      <c r="E14" t="inlineStr">
        <is>
          <t>Relative row</t>
        </is>
      </c>
      <c r="F14" t="inlineStr">
        <is>
          <t>Data quality</t>
        </is>
      </c>
    </row>
    <row r="15">
      <c r="A15" t="inlineStr">
        <is>
          <t>Selected region</t>
        </is>
      </c>
      <c r="B15" t="inlineStr">
        <is>
          <t>Dashboard!A12:H20</t>
        </is>
      </c>
      <c r="C15">
        <f>$G12=$B$8</f>
        <v/>
      </c>
      <c r="D15" t="inlineStr">
        <is>
          <t>Row's region equals control cell</t>
        </is>
      </c>
      <c r="E15" t="inlineStr">
        <is>
          <t>$ locks selector</t>
        </is>
      </c>
      <c r="F15" t="inlineStr">
        <is>
          <t>Interactive report</t>
        </is>
      </c>
    </row>
    <row r="16">
      <c r="A16" t="inlineStr">
        <is>
          <t>Selected region + critical</t>
        </is>
      </c>
      <c r="B16" t="inlineStr">
        <is>
          <t>Dashboard!A12:H20</t>
        </is>
      </c>
      <c r="C16">
        <f>AND($G12=$B$8,$F12="Critical")</f>
        <v/>
      </c>
      <c r="D16" t="inlineStr">
        <is>
          <t>Two conditions</t>
        </is>
      </c>
      <c r="E16" t="inlineStr">
        <is>
          <t>$ locks selector/columns</t>
        </is>
      </c>
      <c r="F16" t="inlineStr">
        <is>
          <t>Action queue</t>
        </is>
      </c>
    </row>
    <row r="19">
      <c r="A19" s="20" t="inlineStr">
        <is>
          <t>RULE-BUILDING CHECKLIST</t>
        </is>
      </c>
    </row>
    <row r="20">
      <c r="A20" t="inlineStr">
        <is>
          <t>1. Select the complete Apply To range BEFORE writing the formula.</t>
        </is>
      </c>
    </row>
    <row r="21">
      <c r="A21" t="inlineStr">
        <is>
          <t>2. Write the formula as if it is for the top-left cell of the Apply To range.</t>
        </is>
      </c>
    </row>
    <row r="22">
      <c r="A22" t="inlineStr">
        <is>
          <t>3. Lock only the references that must stay fixed.</t>
        </is>
      </c>
    </row>
    <row r="23">
      <c r="A23" t="inlineStr">
        <is>
          <t>4. Click Format and make the signal readable; do not over-format.</t>
        </is>
      </c>
    </row>
    <row r="24">
      <c r="A24" t="inlineStr">
        <is>
          <t>5. Test TRUE and FALSE examples manually.</t>
        </is>
      </c>
    </row>
    <row r="25">
      <c r="A25" t="inlineStr">
        <is>
          <t>6. Open Manage Rules and verify Apply To, priority and Stop If True.</t>
        </is>
      </c>
    </row>
    <row r="26">
      <c r="A26" t="inlineStr">
        <is>
          <t>7. Change the target/control input and confirm the rule responds.</t>
        </is>
      </c>
    </row>
    <row r="29">
      <c r="A29" s="21" t="inlineStr">
        <is>
          <t>FORMAT TYPE DECISION GUIDE</t>
        </is>
      </c>
    </row>
    <row r="30">
      <c r="A30" s="19" t="inlineStr">
        <is>
          <t>Need</t>
        </is>
      </c>
      <c r="B30" s="19" t="inlineStr">
        <is>
          <t>Best feature</t>
        </is>
      </c>
      <c r="C30" s="19" t="inlineStr">
        <is>
          <t>Example</t>
        </is>
      </c>
      <c r="D30" s="19" t="inlineStr">
        <is>
          <t>Caution</t>
        </is>
      </c>
    </row>
    <row r="31">
      <c r="A31" t="inlineStr">
        <is>
          <t>Single threshold</t>
        </is>
      </c>
      <c r="B31" t="inlineStr">
        <is>
          <t>Highlight Cells / CellIsRule</t>
        </is>
      </c>
      <c r="C31" t="inlineStr">
        <is>
          <t>Sales &gt; Target</t>
        </is>
      </c>
      <c r="D31" t="inlineStr">
        <is>
          <t>Simple only</t>
        </is>
      </c>
    </row>
    <row r="32">
      <c r="A32" t="inlineStr">
        <is>
          <t>Ranking</t>
        </is>
      </c>
      <c r="B32" t="inlineStr">
        <is>
          <t>Top/Bottom</t>
        </is>
      </c>
      <c r="C32" t="inlineStr">
        <is>
          <t>Top 10 sales</t>
        </is>
      </c>
      <c r="D32" t="inlineStr">
        <is>
          <t>Ties can affect interpretation</t>
        </is>
      </c>
    </row>
    <row r="33">
      <c r="A33" t="inlineStr">
        <is>
          <t>Magnitude</t>
        </is>
      </c>
      <c r="B33" t="inlineStr">
        <is>
          <t>Data Bars</t>
        </is>
      </c>
      <c r="C33" t="inlineStr">
        <is>
          <t>Stock quantity</t>
        </is>
      </c>
      <c r="D33" t="inlineStr">
        <is>
          <t>Not ideal for very mixed scales</t>
        </is>
      </c>
    </row>
    <row r="34">
      <c r="A34" t="inlineStr">
        <is>
          <t>Low-medium-high</t>
        </is>
      </c>
      <c r="B34" t="inlineStr">
        <is>
          <t>Color Scale</t>
        </is>
      </c>
      <c r="C34" t="inlineStr">
        <is>
          <t>Achievement %</t>
        </is>
      </c>
      <c r="D34" t="inlineStr">
        <is>
          <t>Avoid too many colors</t>
        </is>
      </c>
    </row>
    <row r="35">
      <c r="A35" t="inlineStr">
        <is>
          <t>Direction/status</t>
        </is>
      </c>
      <c r="B35" t="inlineStr">
        <is>
          <t>Icon Set</t>
        </is>
      </c>
      <c r="C35" t="inlineStr">
        <is>
          <t>TAT On Time/At Risk/Delayed</t>
        </is>
      </c>
      <c r="D35" t="inlineStr">
        <is>
          <t>Keep underlying status visible</t>
        </is>
      </c>
    </row>
    <row r="36">
      <c r="A36" t="inlineStr">
        <is>
          <t>Multiple business conditions</t>
        </is>
      </c>
      <c r="B36" t="inlineStr">
        <is>
          <t>Custom Formula</t>
        </is>
      </c>
      <c r="C36" t="inlineStr">
        <is>
          <t>High priority + delayed</t>
        </is>
      </c>
      <c r="D36" t="inlineStr">
        <is>
          <t>Test relative references</t>
        </is>
      </c>
    </row>
    <row r="37">
      <c r="A37" t="inlineStr">
        <is>
          <t>Whole-record exception</t>
        </is>
      </c>
      <c r="B37" t="inlineStr">
        <is>
          <t>Formula applied to full row</t>
        </is>
      </c>
      <c r="C37" t="inlineStr">
        <is>
          <t>Status=Delayed</t>
        </is>
      </c>
      <c r="D37" t="inlineStr">
        <is>
          <t>Apply To must cover row</t>
        </is>
      </c>
    </row>
    <row r="38">
      <c r="A38" t="inlineStr">
        <is>
          <t>Input-driven report</t>
        </is>
      </c>
      <c r="B38" t="inlineStr">
        <is>
          <t>Formula referencing control cell</t>
        </is>
      </c>
      <c r="C38" t="inlineStr">
        <is>
          <t>Achievement &lt; Target cell</t>
        </is>
      </c>
      <c r="D38" t="inlineStr">
        <is>
          <t>Lock the control cell</t>
        </is>
      </c>
    </row>
    <row r="39">
      <c r="A39" t="inlineStr">
        <is>
          <t>Data quality</t>
        </is>
      </c>
      <c r="B39" t="inlineStr">
        <is>
          <t>Blank/duplicate rules</t>
        </is>
      </c>
      <c r="C39" t="inlineStr">
        <is>
          <t>Missing Owner / duplicate SKU</t>
        </is>
      </c>
      <c r="D39" t="inlineStr">
        <is>
          <t>Fix source data too</t>
        </is>
      </c>
    </row>
    <row r="43">
      <c r="A43" s="22" t="inlineStr">
        <is>
          <t>EXPERT FAILURE MODES</t>
        </is>
      </c>
    </row>
    <row r="44">
      <c r="A44" s="19" t="inlineStr">
        <is>
          <t>Failure</t>
        </is>
      </c>
      <c r="B44" s="19" t="inlineStr">
        <is>
          <t>Likely cause</t>
        </is>
      </c>
      <c r="C44" s="19" t="inlineStr">
        <is>
          <t>How to test</t>
        </is>
      </c>
      <c r="D44" s="19" t="inlineStr">
        <is>
          <t>Fix</t>
        </is>
      </c>
    </row>
    <row r="45">
      <c r="A45" t="inlineStr">
        <is>
          <t>Every row gets same format</t>
        </is>
      </c>
      <c r="B45" t="inlineStr">
        <is>
          <t>Formula locked row, e.g. $A$5</t>
        </is>
      </c>
      <c r="C45" t="inlineStr">
        <is>
          <t>Change row 6 value</t>
        </is>
      </c>
      <c r="D45" t="inlineStr">
        <is>
          <t>Use $A5 when row should move</t>
        </is>
      </c>
    </row>
    <row r="46">
      <c r="A46" t="inlineStr">
        <is>
          <t>Wrong column drives format</t>
        </is>
      </c>
      <c r="B46" t="inlineStr">
        <is>
          <t>Wrong locked column</t>
        </is>
      </c>
      <c r="C46" t="inlineStr">
        <is>
          <t>Edit one trigger cell</t>
        </is>
      </c>
      <c r="D46" t="inlineStr">
        <is>
          <t>Use $J5 etc.</t>
        </is>
      </c>
    </row>
    <row r="47">
      <c r="A47" t="inlineStr">
        <is>
          <t>Control cell not dynamic</t>
        </is>
      </c>
      <c r="B47" t="inlineStr">
        <is>
          <t>Missing $ around selector</t>
        </is>
      </c>
      <c r="C47" t="inlineStr">
        <is>
          <t>Change target</t>
        </is>
      </c>
      <c r="D47" t="inlineStr">
        <is>
          <t>Use $B$6</t>
        </is>
      </c>
    </row>
    <row r="48">
      <c r="A48" t="inlineStr">
        <is>
          <t>Rules conflict</t>
        </is>
      </c>
      <c r="B48" t="inlineStr">
        <is>
          <t>Priority/Stop If True</t>
        </is>
      </c>
      <c r="C48" t="inlineStr">
        <is>
          <t>Open Manage Rules</t>
        </is>
      </c>
      <c r="D48" t="inlineStr">
        <is>
          <t>Reorder and document</t>
        </is>
      </c>
    </row>
    <row r="49">
      <c r="A49" t="inlineStr">
        <is>
          <t>Too many colors</t>
        </is>
      </c>
      <c r="B49" t="inlineStr">
        <is>
          <t>Formatting without a question</t>
        </is>
      </c>
      <c r="C49" t="inlineStr">
        <is>
          <t>Remove colors</t>
        </is>
      </c>
      <c r="D49" t="inlineStr">
        <is>
          <t>Keep only decision-relevant signals</t>
        </is>
      </c>
    </row>
    <row r="50">
      <c r="A50" t="inlineStr">
        <is>
          <t>Dashboard looks good but misleads</t>
        </is>
      </c>
      <c r="B50" t="inlineStr">
        <is>
          <t>Color hides actual values</t>
        </is>
      </c>
      <c r="C50" t="inlineStr">
        <is>
          <t>Disable CF and compare</t>
        </is>
      </c>
      <c r="D50" t="inlineStr">
        <is>
          <t>Show Status/Variance numerically</t>
        </is>
      </c>
    </row>
    <row r="51">
      <c r="A51" t="inlineStr">
        <is>
          <t>Icon thresholds wrong</t>
        </is>
      </c>
      <c r="B51" t="inlineStr">
        <is>
          <t>Relative/percent scale misunderstood</t>
        </is>
      </c>
      <c r="C51" t="inlineStr">
        <is>
          <t>Test known values</t>
        </is>
      </c>
      <c r="D51" t="inlineStr">
        <is>
          <t>Set thresholds deliberately</t>
        </is>
      </c>
    </row>
    <row r="54">
      <c r="A54" s="23" t="inlineStr">
        <is>
          <t>MASTER CHALLENGE — BUILD A TAT MIS VIEW</t>
        </is>
      </c>
    </row>
    <row r="55">
      <c r="A55" t="inlineStr">
        <is>
          <t>Create a final MIS table using the TAT dataset.</t>
        </is>
      </c>
    </row>
    <row r="56">
      <c r="A56" t="inlineStr">
        <is>
          <t>Show TAT Variance % with a 3-color or icon-based signal.</t>
        </is>
      </c>
    </row>
    <row r="57">
      <c r="A57" t="inlineStr">
        <is>
          <t>Color the complete row for Delayed requests.</t>
        </is>
      </c>
    </row>
    <row r="58">
      <c r="A58" t="inlineStr">
        <is>
          <t>Use a second rule for High/Critical priority.</t>
        </is>
      </c>
    </row>
    <row r="59">
      <c r="A59" t="inlineStr">
        <is>
          <t>Highlight weekends in the Requested On column.</t>
        </is>
      </c>
    </row>
    <row r="60">
      <c r="A60" t="inlineStr">
        <is>
          <t>Highlight missing Owner / Completed On values.</t>
        </is>
      </c>
    </row>
    <row r="61">
      <c r="A61" t="inlineStr">
        <is>
          <t>Create a Target cell and make the risk rule respond when the Target changes.</t>
        </is>
      </c>
    </row>
    <row r="62">
      <c r="A62" t="inlineStr">
        <is>
          <t>Document rule priority and explain what action each color/icon should trigger.</t>
        </is>
      </c>
    </row>
    <row r="66">
      <c r="A66" s="24" t="inlineStr">
        <is>
          <t>REFERENCE — SALES PERFORMANCE</t>
        </is>
      </c>
    </row>
    <row r="67">
      <c r="A67" s="19" t="inlineStr">
        <is>
          <t>Salesperson</t>
        </is>
      </c>
      <c r="B67" s="19" t="inlineStr">
        <is>
          <t>Sales (₹)</t>
        </is>
      </c>
      <c r="C67" s="19" t="inlineStr">
        <is>
          <t>Target (₹)</t>
        </is>
      </c>
      <c r="D67" s="19" t="inlineStr">
        <is>
          <t>Achievement %</t>
        </is>
      </c>
    </row>
    <row r="68">
      <c r="A68" t="inlineStr">
        <is>
          <t>Aarav</t>
        </is>
      </c>
      <c r="B68" s="25" t="n">
        <v>91049</v>
      </c>
      <c r="C68" s="25" t="n">
        <v>90000</v>
      </c>
      <c r="D68" s="26">
        <f>B68/C68</f>
        <v/>
      </c>
    </row>
    <row r="69">
      <c r="A69" t="inlineStr">
        <is>
          <t>Bhavna</t>
        </is>
      </c>
      <c r="B69" s="25" t="n">
        <v>65082</v>
      </c>
      <c r="C69" s="25" t="n">
        <v>90000</v>
      </c>
      <c r="D69" s="26">
        <f>B69/C69</f>
        <v/>
      </c>
    </row>
    <row r="70">
      <c r="A70" t="inlineStr">
        <is>
          <t>Chetan</t>
        </is>
      </c>
      <c r="B70" s="25" t="n">
        <v>93903</v>
      </c>
      <c r="C70" s="25" t="n">
        <v>70000</v>
      </c>
      <c r="D70" s="26">
        <f>B70/C70</f>
        <v/>
      </c>
    </row>
    <row r="71">
      <c r="A71" t="inlineStr">
        <is>
          <t>Disha</t>
        </is>
      </c>
      <c r="B71" s="25" t="n">
        <v>100788</v>
      </c>
      <c r="C71" s="25" t="n">
        <v>90000</v>
      </c>
      <c r="D71" s="26">
        <f>B71/C71</f>
        <v/>
      </c>
    </row>
    <row r="72">
      <c r="A72" t="inlineStr">
        <is>
          <t>Eshan</t>
        </is>
      </c>
      <c r="B72" s="25" t="n">
        <v>116109</v>
      </c>
      <c r="C72" s="25" t="n">
        <v>80000</v>
      </c>
      <c r="D72" s="26">
        <f>B72/C72</f>
        <v/>
      </c>
    </row>
    <row r="73">
      <c r="A73" t="inlineStr">
        <is>
          <t>Farah</t>
        </is>
      </c>
      <c r="B73" s="25" t="n">
        <v>77457</v>
      </c>
      <c r="C73" s="25" t="n">
        <v>80000</v>
      </c>
      <c r="D73" s="26">
        <f>B73/C73</f>
        <v/>
      </c>
    </row>
    <row r="74">
      <c r="A74" t="inlineStr">
        <is>
          <t>Gaurav</t>
        </is>
      </c>
      <c r="B74" s="25" t="n">
        <v>97189</v>
      </c>
      <c r="C74" s="25" t="n">
        <v>75000</v>
      </c>
      <c r="D74" s="26">
        <f>B74/C74</f>
        <v/>
      </c>
    </row>
    <row r="75">
      <c r="A75" t="inlineStr">
        <is>
          <t>Harsh</t>
        </is>
      </c>
      <c r="B75" s="25" t="n">
        <v>44408</v>
      </c>
      <c r="C75" s="25" t="n">
        <v>90000</v>
      </c>
      <c r="D75" s="26">
        <f>B75/C75</f>
        <v/>
      </c>
    </row>
    <row r="76">
      <c r="A76" t="inlineStr">
        <is>
          <t>Isha</t>
        </is>
      </c>
      <c r="B76" s="25" t="n">
        <v>68177</v>
      </c>
      <c r="C76" s="25" t="n">
        <v>90000</v>
      </c>
      <c r="D76" s="26">
        <f>B76/C76</f>
        <v/>
      </c>
    </row>
    <row r="77">
      <c r="A77" t="inlineStr">
        <is>
          <t>Jatin</t>
        </is>
      </c>
      <c r="B77" s="25" t="n">
        <v>38106</v>
      </c>
      <c r="C77" s="25" t="n">
        <v>70000</v>
      </c>
      <c r="D77" s="26">
        <f>B77/C77</f>
        <v/>
      </c>
    </row>
    <row r="78">
      <c r="A78" t="inlineStr">
        <is>
          <t>Kavya</t>
        </is>
      </c>
      <c r="B78" s="25" t="n">
        <v>47109</v>
      </c>
      <c r="C78" s="25" t="n">
        <v>80000</v>
      </c>
      <c r="D78" s="26">
        <f>B78/C78</f>
        <v/>
      </c>
    </row>
    <row r="79">
      <c r="A79" t="inlineStr">
        <is>
          <t>Lalit</t>
        </is>
      </c>
      <c r="B79" s="25" t="n">
        <v>75094</v>
      </c>
      <c r="C79" s="25" t="n">
        <v>70000</v>
      </c>
      <c r="D79" s="26">
        <f>B79/C79</f>
        <v/>
      </c>
    </row>
  </sheetData>
  <mergeCells count="23">
    <mergeCell ref="A59:H59"/>
    <mergeCell ref="A24:H24"/>
    <mergeCell ref="A60:H60"/>
    <mergeCell ref="A1:H1"/>
    <mergeCell ref="A61:H61"/>
    <mergeCell ref="A25:H25"/>
    <mergeCell ref="A54:H54"/>
    <mergeCell ref="A66:H66"/>
    <mergeCell ref="A56:H56"/>
    <mergeCell ref="A26:H26"/>
    <mergeCell ref="A21:H21"/>
    <mergeCell ref="A55:H55"/>
    <mergeCell ref="A57:H57"/>
    <mergeCell ref="A2:H2"/>
    <mergeCell ref="A23:H23"/>
    <mergeCell ref="A22:H22"/>
    <mergeCell ref="A4:H4"/>
    <mergeCell ref="A62:H62"/>
    <mergeCell ref="A29:H29"/>
    <mergeCell ref="A20:H20"/>
    <mergeCell ref="A43:H43"/>
    <mergeCell ref="A19:H19"/>
    <mergeCell ref="A58:H58"/>
  </mergeCells>
  <conditionalFormatting sqref="D68:D7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2026-08-31T15:49:05Z</dcterms:created>
  <dcterms:modified xmlns:dcterms="http://purl.org/dc/terms/" xmlns:xsi="http://www.w3.org/2001/XMLSchema-instance" xsi:type="dcterms:W3CDTF">2026-08-31T15:49:05Z</dcterms:modified>
</cp:coreProperties>
</file>