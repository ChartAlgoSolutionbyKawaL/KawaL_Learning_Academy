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DATASET" sheetId="1" state="visible" r:id="rId1"/>
    <sheet xmlns:r="http://schemas.openxmlformats.org/officeDocument/2006/relationships" name="FORECAST_MODEL" sheetId="2" state="visible" r:id="rId2"/>
    <sheet xmlns:r="http://schemas.openxmlformats.org/officeDocument/2006/relationships" name="FORECAST_STORY" sheetId="3" state="visible" r:id="rId3"/>
    <sheet xmlns:r="http://schemas.openxmlformats.org/officeDocument/2006/relationships" name="AI_GUID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₹#,##0"/>
    <numFmt numFmtId="166" formatCode="0.0%"/>
    <numFmt numFmtId="167" formatCode="₹#,##0.0"/>
  </numFmts>
  <fonts count="7">
    <font>
      <name val="Calibri"/>
      <family val="2"/>
      <color theme="1"/>
      <sz val="11"/>
      <scheme val="minor"/>
    </font>
    <font>
      <b val="1"/>
      <color rgb="00FFFFFF"/>
      <sz val="19"/>
    </font>
    <font>
      <b val="1"/>
      <color rgb="0017365D"/>
      <sz val="11"/>
    </font>
    <font>
      <b val="1"/>
      <color rgb="00FFFFFF"/>
    </font>
    <font>
      <b val="1"/>
      <color rgb="0017365D"/>
      <sz val="12"/>
    </font>
    <font>
      <b val="1"/>
      <color rgb="0017365D"/>
    </font>
    <font>
      <b val="1"/>
      <color rgb="0017365D"/>
      <sz val="13"/>
    </font>
  </fonts>
  <fills count="11">
    <fill>
      <patternFill/>
    </fill>
    <fill>
      <patternFill patternType="gray125"/>
    </fill>
    <fill>
      <patternFill patternType="solid">
        <fgColor rgb="001F7A4D"/>
      </patternFill>
    </fill>
    <fill>
      <patternFill patternType="solid">
        <fgColor rgb="002F75B5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C65911"/>
      </patternFill>
    </fill>
    <fill>
      <patternFill patternType="solid">
        <fgColor rgb="007030A0"/>
      </patternFill>
    </fill>
    <fill>
      <patternFill patternType="solid">
        <fgColor rgb="00008C95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17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17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7" fontId="0" fillId="5" borderId="0" pivotButton="0" quotePrefix="0" xfId="0"/>
    <xf numFmtId="0" fontId="0" fillId="5" borderId="0" pivotButton="0" quotePrefix="0" xfId="0"/>
    <xf numFmtId="165" fontId="0" fillId="5" borderId="0" pivotButton="0" quotePrefix="0" xfId="0"/>
    <xf numFmtId="166" fontId="0" fillId="5" borderId="0" pivotButton="0" quotePrefix="0" xfId="0"/>
    <xf numFmtId="0" fontId="4" fillId="6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7" borderId="0" applyAlignment="1" pivotButton="0" quotePrefix="0" xfId="0">
      <alignment vertical="center"/>
    </xf>
    <xf numFmtId="0" fontId="3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9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5" fillId="0" borderId="0" pivotButton="0" quotePrefix="0" xfId="0"/>
    <xf numFmtId="0" fontId="1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3" fillId="9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Historical Loan Disbursement +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'FORECAST_MODEL'!C5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'FORECAST_MODEL'!$A$6:$A$29</f>
            </numRef>
          </cat>
          <val>
            <numRef>
              <f>'FORECAST_MODEL'!$C$6:$C$29</f>
            </numRef>
          </val>
        </ser>
        <ser>
          <idx val="1"/>
          <order val="1"/>
          <tx>
            <strRef>
              <f>'FORECAST_MODEL'!E5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'FORECAST_MODEL'!$A$6:$A$29</f>
            </numRef>
          </cat>
          <val>
            <numRef>
              <f>'FORECAST_MODEL'!$E$6:$E$29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Crore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ankLoanData" displayName="BankLoanData" ref="A4:J22" headerRowCount="1">
  <autoFilter ref="A4:J22"/>
  <tableColumns count="10">
    <tableColumn id="1" name="Month"/>
    <tableColumn id="2" name="Month #"/>
    <tableColumn id="3" name="Quarter"/>
    <tableColumn id="4" name="Actual Loan Disbursement (₹ Cr)"/>
    <tableColumn id="5" name="Applications"/>
    <tableColumn id="6" name="Approved Loans"/>
    <tableColumn id="7" name="Approval Rate"/>
    <tableColumn id="8" name="Average Ticket (₹ Lakh)"/>
    <tableColumn id="9" name="Branch Network"/>
    <tableColumn id="10" name="Comment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27" customWidth="1" min="4" max="4"/>
    <col width="14" customWidth="1" min="5" max="5"/>
    <col width="15" customWidth="1" min="6" max="6"/>
    <col width="14" customWidth="1" min="7" max="7"/>
    <col width="22" customWidth="1" min="8" max="8"/>
    <col width="15" customWidth="1" min="9" max="9"/>
    <col width="30" customWidth="1" min="10" max="10"/>
  </cols>
  <sheetData>
    <row r="1" ht="34" customHeight="1">
      <c r="A1" s="1" t="inlineStr">
        <is>
          <t>BANKING DATASET — RETAIL LOAN DISBURSEMENTS</t>
        </is>
      </c>
    </row>
    <row r="2">
      <c r="A2" s="2" t="inlineStr">
        <is>
          <t>Business question: How much retail loan value should the bank plan for in the next 6 months?</t>
        </is>
      </c>
    </row>
    <row r="4">
      <c r="A4" s="3" t="inlineStr">
        <is>
          <t>Month</t>
        </is>
      </c>
      <c r="B4" s="3" t="inlineStr">
        <is>
          <t>Month #</t>
        </is>
      </c>
      <c r="C4" s="3" t="inlineStr">
        <is>
          <t>Quarter</t>
        </is>
      </c>
      <c r="D4" s="3" t="inlineStr">
        <is>
          <t>Actual Loan Disbursement (₹ Cr)</t>
        </is>
      </c>
      <c r="E4" s="3" t="inlineStr">
        <is>
          <t>Applications</t>
        </is>
      </c>
      <c r="F4" s="3" t="inlineStr">
        <is>
          <t>Approved Loans</t>
        </is>
      </c>
      <c r="G4" s="3" t="inlineStr">
        <is>
          <t>Approval Rate</t>
        </is>
      </c>
      <c r="H4" s="3" t="inlineStr">
        <is>
          <t>Average Ticket (₹ Lakh)</t>
        </is>
      </c>
      <c r="I4" s="3" t="inlineStr">
        <is>
          <t>Branch Network</t>
        </is>
      </c>
      <c r="J4" s="3" t="inlineStr">
        <is>
          <t>Comment</t>
        </is>
      </c>
    </row>
    <row r="5">
      <c r="A5" s="4" t="n">
        <v>45658</v>
      </c>
      <c r="B5" s="5" t="n">
        <v>1</v>
      </c>
      <c r="C5" s="5" t="inlineStr">
        <is>
          <t>Q1</t>
        </is>
      </c>
      <c r="D5" s="6" t="n">
        <v>1180</v>
      </c>
      <c r="E5" s="5" t="n">
        <v>7200</v>
      </c>
      <c r="F5" s="5" t="n">
        <v>5100</v>
      </c>
      <c r="G5" s="7">
        <f>F5/E5</f>
        <v/>
      </c>
      <c r="H5" s="8" t="n">
        <v>520</v>
      </c>
      <c r="I5" s="5" t="n">
        <v>205</v>
      </c>
      <c r="J5" s="5" t="inlineStr">
        <is>
          <t>Post-year-end normalization</t>
        </is>
      </c>
    </row>
    <row r="6">
      <c r="A6" s="4" t="n">
        <v>45689</v>
      </c>
      <c r="B6" s="5" t="n">
        <v>2</v>
      </c>
      <c r="C6" s="5" t="inlineStr">
        <is>
          <t>Q1</t>
        </is>
      </c>
      <c r="D6" s="6" t="n">
        <v>1215</v>
      </c>
      <c r="E6" s="5" t="n">
        <v>7350</v>
      </c>
      <c r="F6" s="5" t="n">
        <v>5230</v>
      </c>
      <c r="G6" s="7">
        <f>F6/E6</f>
        <v/>
      </c>
      <c r="H6" s="8" t="n">
        <v>525</v>
      </c>
      <c r="I6" s="5" t="n">
        <v>207</v>
      </c>
      <c r="J6" s="5" t="inlineStr">
        <is>
          <t>Stable demand</t>
        </is>
      </c>
    </row>
    <row r="7">
      <c r="A7" s="4" t="n">
        <v>45717</v>
      </c>
      <c r="B7" s="5" t="n">
        <v>3</v>
      </c>
      <c r="C7" s="5" t="inlineStr">
        <is>
          <t>Q1</t>
        </is>
      </c>
      <c r="D7" s="6" t="n">
        <v>1290</v>
      </c>
      <c r="E7" s="5" t="n">
        <v>7600</v>
      </c>
      <c r="F7" s="5" t="n">
        <v>5480</v>
      </c>
      <c r="G7" s="7">
        <f>F7/E7</f>
        <v/>
      </c>
      <c r="H7" s="8" t="n">
        <v>528</v>
      </c>
      <c r="I7" s="5" t="n">
        <v>209</v>
      </c>
      <c r="J7" s="5" t="inlineStr">
        <is>
          <t>Quarter-end push</t>
        </is>
      </c>
    </row>
    <row r="8">
      <c r="A8" s="4" t="n">
        <v>45748</v>
      </c>
      <c r="B8" s="5" t="n">
        <v>4</v>
      </c>
      <c r="C8" s="5" t="inlineStr">
        <is>
          <t>Q2</t>
        </is>
      </c>
      <c r="D8" s="6" t="n">
        <v>1245</v>
      </c>
      <c r="E8" s="5" t="n">
        <v>7420</v>
      </c>
      <c r="F8" s="5" t="n">
        <v>5350</v>
      </c>
      <c r="G8" s="7">
        <f>F8/E8</f>
        <v/>
      </c>
      <c r="H8" s="8" t="n">
        <v>530</v>
      </c>
      <c r="I8" s="5" t="n">
        <v>210</v>
      </c>
      <c r="J8" s="5" t="inlineStr">
        <is>
          <t>New quarter reset</t>
        </is>
      </c>
    </row>
    <row r="9">
      <c r="A9" s="4" t="n">
        <v>45778</v>
      </c>
      <c r="B9" s="5" t="n">
        <v>5</v>
      </c>
      <c r="C9" s="5" t="inlineStr">
        <is>
          <t>Q2</t>
        </is>
      </c>
      <c r="D9" s="6" t="n">
        <v>1310</v>
      </c>
      <c r="E9" s="5" t="n">
        <v>7700</v>
      </c>
      <c r="F9" s="5" t="n">
        <v>5560</v>
      </c>
      <c r="G9" s="7">
        <f>F9/E9</f>
        <v/>
      </c>
      <c r="H9" s="8" t="n">
        <v>534</v>
      </c>
      <c r="I9" s="5" t="n">
        <v>212</v>
      </c>
      <c r="J9" s="5" t="inlineStr">
        <is>
          <t>Demand improving</t>
        </is>
      </c>
    </row>
    <row r="10">
      <c r="A10" s="4" t="n">
        <v>45809</v>
      </c>
      <c r="B10" s="5" t="n">
        <v>6</v>
      </c>
      <c r="C10" s="5" t="inlineStr">
        <is>
          <t>Q2</t>
        </is>
      </c>
      <c r="D10" s="6" t="n">
        <v>1395</v>
      </c>
      <c r="E10" s="5" t="n">
        <v>8050</v>
      </c>
      <c r="F10" s="5" t="n">
        <v>5850</v>
      </c>
      <c r="G10" s="7">
        <f>F10/E10</f>
        <v/>
      </c>
      <c r="H10" s="8" t="n">
        <v>538</v>
      </c>
      <c r="I10" s="5" t="n">
        <v>214</v>
      </c>
      <c r="J10" s="5" t="inlineStr">
        <is>
          <t>Strong quarter close</t>
        </is>
      </c>
    </row>
    <row r="11">
      <c r="A11" s="4" t="n">
        <v>45839</v>
      </c>
      <c r="B11" s="5" t="n">
        <v>7</v>
      </c>
      <c r="C11" s="5" t="inlineStr">
        <is>
          <t>Q3</t>
        </is>
      </c>
      <c r="D11" s="6" t="n">
        <v>1370</v>
      </c>
      <c r="E11" s="5" t="n">
        <v>7980</v>
      </c>
      <c r="F11" s="5" t="n">
        <v>5790</v>
      </c>
      <c r="G11" s="7">
        <f>F11/E11</f>
        <v/>
      </c>
      <c r="H11" s="8" t="n">
        <v>541</v>
      </c>
      <c r="I11" s="5" t="n">
        <v>216</v>
      </c>
      <c r="J11" s="5" t="inlineStr">
        <is>
          <t>Monsoon softness</t>
        </is>
      </c>
    </row>
    <row r="12">
      <c r="A12" s="4" t="n">
        <v>45870</v>
      </c>
      <c r="B12" s="5" t="n">
        <v>8</v>
      </c>
      <c r="C12" s="5" t="inlineStr">
        <is>
          <t>Q3</t>
        </is>
      </c>
      <c r="D12" s="6" t="n">
        <v>1425</v>
      </c>
      <c r="E12" s="5" t="n">
        <v>8200</v>
      </c>
      <c r="F12" s="5" t="n">
        <v>6000</v>
      </c>
      <c r="G12" s="7">
        <f>F12/E12</f>
        <v/>
      </c>
      <c r="H12" s="8" t="n">
        <v>545</v>
      </c>
      <c r="I12" s="5" t="n">
        <v>218</v>
      </c>
      <c r="J12" s="5" t="inlineStr">
        <is>
          <t>Demand recovering</t>
        </is>
      </c>
    </row>
    <row r="13">
      <c r="A13" s="4" t="n">
        <v>45901</v>
      </c>
      <c r="B13" s="5" t="n">
        <v>9</v>
      </c>
      <c r="C13" s="5" t="inlineStr">
        <is>
          <t>Q3</t>
        </is>
      </c>
      <c r="D13" s="6" t="n">
        <v>1510</v>
      </c>
      <c r="E13" s="5" t="n">
        <v>8500</v>
      </c>
      <c r="F13" s="5" t="n">
        <v>6250</v>
      </c>
      <c r="G13" s="7">
        <f>F13/E13</f>
        <v/>
      </c>
      <c r="H13" s="8" t="n">
        <v>548</v>
      </c>
      <c r="I13" s="5" t="n">
        <v>220</v>
      </c>
      <c r="J13" s="5" t="inlineStr">
        <is>
          <t>Quarter-end strength</t>
        </is>
      </c>
    </row>
    <row r="14">
      <c r="A14" s="4" t="n">
        <v>45931</v>
      </c>
      <c r="B14" s="5" t="n">
        <v>10</v>
      </c>
      <c r="C14" s="5" t="inlineStr">
        <is>
          <t>Q4</t>
        </is>
      </c>
      <c r="D14" s="6" t="n">
        <v>1490</v>
      </c>
      <c r="E14" s="5" t="n">
        <v>8450</v>
      </c>
      <c r="F14" s="5" t="n">
        <v>6170</v>
      </c>
      <c r="G14" s="7">
        <f>F14/E14</f>
        <v/>
      </c>
      <c r="H14" s="8" t="n">
        <v>551</v>
      </c>
      <c r="I14" s="5" t="n">
        <v>222</v>
      </c>
      <c r="J14" s="5" t="inlineStr">
        <is>
          <t>Festive demand</t>
        </is>
      </c>
    </row>
    <row r="15">
      <c r="A15" s="4" t="n">
        <v>45962</v>
      </c>
      <c r="B15" s="5" t="n">
        <v>11</v>
      </c>
      <c r="C15" s="5" t="inlineStr">
        <is>
          <t>Q4</t>
        </is>
      </c>
      <c r="D15" s="6" t="n">
        <v>1580</v>
      </c>
      <c r="E15" s="5" t="n">
        <v>8800</v>
      </c>
      <c r="F15" s="5" t="n">
        <v>6500</v>
      </c>
      <c r="G15" s="7">
        <f>F15/E15</f>
        <v/>
      </c>
      <c r="H15" s="8" t="n">
        <v>555</v>
      </c>
      <c r="I15" s="5" t="n">
        <v>224</v>
      </c>
      <c r="J15" s="5" t="inlineStr">
        <is>
          <t>Festive demand</t>
        </is>
      </c>
    </row>
    <row r="16">
      <c r="A16" s="4" t="n">
        <v>45992</v>
      </c>
      <c r="B16" s="5" t="n">
        <v>12</v>
      </c>
      <c r="C16" s="5" t="inlineStr">
        <is>
          <t>Q4</t>
        </is>
      </c>
      <c r="D16" s="6" t="n">
        <v>1695</v>
      </c>
      <c r="E16" s="5" t="n">
        <v>9300</v>
      </c>
      <c r="F16" s="5" t="n">
        <v>7000</v>
      </c>
      <c r="G16" s="7">
        <f>F16/E16</f>
        <v/>
      </c>
      <c r="H16" s="8" t="n">
        <v>560</v>
      </c>
      <c r="I16" s="5" t="n">
        <v>226</v>
      </c>
      <c r="J16" s="5" t="inlineStr">
        <is>
          <t>Year-end peak</t>
        </is>
      </c>
    </row>
    <row r="17">
      <c r="A17" s="4" t="n">
        <v>46023</v>
      </c>
      <c r="B17" s="5" t="n">
        <v>13</v>
      </c>
      <c r="C17" s="5" t="inlineStr">
        <is>
          <t>Q1</t>
        </is>
      </c>
      <c r="D17" s="6" t="n">
        <v>1610</v>
      </c>
      <c r="E17" s="5" t="n">
        <v>9050</v>
      </c>
      <c r="F17" s="5" t="n">
        <v>6710</v>
      </c>
      <c r="G17" s="7">
        <f>F17/E17</f>
        <v/>
      </c>
      <c r="H17" s="8" t="n">
        <v>563</v>
      </c>
      <c r="I17" s="5" t="n">
        <v>228</v>
      </c>
      <c r="J17" s="5" t="inlineStr">
        <is>
          <t>Post-year-end normalization</t>
        </is>
      </c>
    </row>
    <row r="18">
      <c r="A18" s="4" t="n">
        <v>46054</v>
      </c>
      <c r="B18" s="5" t="n">
        <v>14</v>
      </c>
      <c r="C18" s="5" t="inlineStr">
        <is>
          <t>Q1</t>
        </is>
      </c>
      <c r="D18" s="6" t="n">
        <v>1660</v>
      </c>
      <c r="E18" s="5" t="n">
        <v>9180</v>
      </c>
      <c r="F18" s="5" t="n">
        <v>6840</v>
      </c>
      <c r="G18" s="7">
        <f>F18/E18</f>
        <v/>
      </c>
      <c r="H18" s="8" t="n">
        <v>567</v>
      </c>
      <c r="I18" s="5" t="n">
        <v>230</v>
      </c>
      <c r="J18" s="5" t="inlineStr">
        <is>
          <t>Stable demand</t>
        </is>
      </c>
    </row>
    <row r="19">
      <c r="A19" s="4" t="n">
        <v>46082</v>
      </c>
      <c r="B19" s="5" t="n">
        <v>15</v>
      </c>
      <c r="C19" s="5" t="inlineStr">
        <is>
          <t>Q1</t>
        </is>
      </c>
      <c r="D19" s="6" t="n">
        <v>1755</v>
      </c>
      <c r="E19" s="5" t="n">
        <v>9600</v>
      </c>
      <c r="F19" s="5" t="n">
        <v>7200</v>
      </c>
      <c r="G19" s="7">
        <f>F19/E19</f>
        <v/>
      </c>
      <c r="H19" s="8" t="n">
        <v>571</v>
      </c>
      <c r="I19" s="5" t="n">
        <v>232</v>
      </c>
      <c r="J19" s="5" t="inlineStr">
        <is>
          <t>Quarter-end push</t>
        </is>
      </c>
    </row>
    <row r="20">
      <c r="A20" s="4" t="n">
        <v>46113</v>
      </c>
      <c r="B20" s="5" t="n">
        <v>16</v>
      </c>
      <c r="C20" s="5" t="inlineStr">
        <is>
          <t>Q2</t>
        </is>
      </c>
      <c r="D20" s="6" t="n">
        <v>1715</v>
      </c>
      <c r="E20" s="5" t="n">
        <v>9480</v>
      </c>
      <c r="F20" s="5" t="n">
        <v>7050</v>
      </c>
      <c r="G20" s="7">
        <f>F20/E20</f>
        <v/>
      </c>
      <c r="H20" s="8" t="n">
        <v>575</v>
      </c>
      <c r="I20" s="5" t="n">
        <v>234</v>
      </c>
      <c r="J20" s="5" t="inlineStr">
        <is>
          <t>New quarter reset</t>
        </is>
      </c>
    </row>
    <row r="21">
      <c r="A21" s="4" t="n">
        <v>46143</v>
      </c>
      <c r="B21" s="5" t="n">
        <v>17</v>
      </c>
      <c r="C21" s="5" t="inlineStr">
        <is>
          <t>Q2</t>
        </is>
      </c>
      <c r="D21" s="6" t="n">
        <v>1790</v>
      </c>
      <c r="E21" s="5" t="n">
        <v>9750</v>
      </c>
      <c r="F21" s="5" t="n">
        <v>7300</v>
      </c>
      <c r="G21" s="7">
        <f>F21/E21</f>
        <v/>
      </c>
      <c r="H21" s="8" t="n">
        <v>579</v>
      </c>
      <c r="I21" s="5" t="n">
        <v>236</v>
      </c>
      <c r="J21" s="5" t="inlineStr">
        <is>
          <t>Demand improving</t>
        </is>
      </c>
    </row>
    <row r="22">
      <c r="A22" s="4" t="n">
        <v>46174</v>
      </c>
      <c r="B22" s="5" t="n">
        <v>18</v>
      </c>
      <c r="C22" s="5" t="inlineStr">
        <is>
          <t>Q2</t>
        </is>
      </c>
      <c r="D22" s="6" t="n">
        <v>1885</v>
      </c>
      <c r="E22" s="5" t="n">
        <v>10100</v>
      </c>
      <c r="F22" s="5" t="n">
        <v>7650</v>
      </c>
      <c r="G22" s="7">
        <f>F22/E22</f>
        <v/>
      </c>
      <c r="H22" s="8" t="n">
        <v>583</v>
      </c>
      <c r="I22" s="5" t="n">
        <v>238</v>
      </c>
      <c r="J22" s="5" t="inlineStr">
        <is>
          <t>Strong quarter close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0" customWidth="1" min="4" max="4"/>
    <col width="20" customWidth="1" min="5" max="5"/>
    <col width="18" customWidth="1" min="6" max="6"/>
    <col width="22" customWidth="1" min="7" max="7"/>
    <col width="18" customWidth="1" min="8" max="8"/>
    <col width="20" customWidth="1" min="9" max="9"/>
    <col width="32" customWidth="1" min="10" max="10"/>
    <col width="34" customWidth="1" min="11" max="11"/>
  </cols>
  <sheetData>
    <row r="1" ht="22" customHeight="1">
      <c r="A1" s="9" t="inlineStr">
        <is>
          <t>FORECAST MODEL — BANKING LOAN DEMAND</t>
        </is>
      </c>
    </row>
    <row r="2" ht="30" customHeight="1">
      <c r="A2" s="2" t="inlineStr">
        <is>
          <t>Learn how historical banking data becomes a planning forecast — then challenge the forecast with AI.</t>
        </is>
      </c>
    </row>
    <row r="3" ht="22" customHeight="1"/>
    <row r="4" ht="22" customHeight="1">
      <c r="A4" s="10" t="inlineStr">
        <is>
          <t>1. HISTORICAL + FORECAST MODEL</t>
        </is>
      </c>
    </row>
    <row r="5" ht="22" customHeight="1">
      <c r="A5" s="11" t="inlineStr">
        <is>
          <t>Month</t>
        </is>
      </c>
      <c r="B5" s="11" t="inlineStr">
        <is>
          <t>Month #</t>
        </is>
      </c>
      <c r="C5" s="11" t="inlineStr">
        <is>
          <t>Actual (₹ Cr)</t>
        </is>
      </c>
      <c r="D5" s="11" t="inlineStr">
        <is>
          <t>FORECAST.LINEAR</t>
        </is>
      </c>
      <c r="E5" s="11" t="inlineStr">
        <is>
          <t>FORECAST.ETS</t>
        </is>
      </c>
      <c r="F5" s="11" t="inlineStr">
        <is>
          <t>TREND</t>
        </is>
      </c>
      <c r="G5" s="11" t="inlineStr">
        <is>
          <t>3-Month Moving Avg</t>
        </is>
      </c>
      <c r="H5" s="11" t="inlineStr">
        <is>
          <t>Growth vs Prior</t>
        </is>
      </c>
      <c r="I5" s="11" t="inlineStr">
        <is>
          <t>Actual / Forecast Flag</t>
        </is>
      </c>
      <c r="J5" s="11" t="inlineStr">
        <is>
          <t>Business Meaning</t>
        </is>
      </c>
      <c r="K5" s="11" t="inlineStr">
        <is>
          <t>Model Note</t>
        </is>
      </c>
    </row>
    <row r="6" ht="22" customHeight="1">
      <c r="A6" s="12" t="n">
        <v>45658</v>
      </c>
      <c r="B6" t="n">
        <v>1</v>
      </c>
      <c r="C6" s="13">
        <f>BANKING_DATASET!D5</f>
        <v/>
      </c>
      <c r="D6" s="13">
        <f>FORECAST.LINEAR(B6,$C$6:$C$23,$B$6:$B$23)</f>
        <v/>
      </c>
      <c r="E6" s="13">
        <f>FORECAST.ETS(A6,$C$6:$C$23,$A$6:$A$23,12,1,1)</f>
        <v/>
      </c>
      <c r="F6" s="13">
        <f>TREND($C$6:$C$23,$B$6:$B$23,B6)</f>
        <v/>
      </c>
      <c r="G6" s="13">
        <f>IF(B6&gt;=3,AVERAGE(INDEX($C:$C,ROW()-2):C6),"")</f>
        <v/>
      </c>
      <c r="H6" s="14">
        <f>""</f>
        <v/>
      </c>
      <c r="I6" t="inlineStr">
        <is>
          <t>Actual</t>
        </is>
      </c>
      <c r="J6" t="inlineStr">
        <is>
          <t>Observed bank performance</t>
        </is>
      </c>
      <c r="K6" t="inlineStr">
        <is>
          <t>Historical actual; formulas illustrate model outputs</t>
        </is>
      </c>
    </row>
    <row r="7" ht="22" customHeight="1">
      <c r="A7" s="12" t="n">
        <v>45689</v>
      </c>
      <c r="B7" t="n">
        <v>2</v>
      </c>
      <c r="C7" s="13">
        <f>BANKING_DATASET!D6</f>
        <v/>
      </c>
      <c r="D7" s="13">
        <f>FORECAST.LINEAR(B7,$C$6:$C$23,$B$6:$B$23)</f>
        <v/>
      </c>
      <c r="E7" s="13">
        <f>FORECAST.ETS(A7,$C$6:$C$23,$A$6:$A$23,12,1,1)</f>
        <v/>
      </c>
      <c r="F7" s="13">
        <f>TREND($C$6:$C$23,$B$6:$B$23,B7)</f>
        <v/>
      </c>
      <c r="G7" s="13">
        <f>IF(B7&gt;=3,AVERAGE(INDEX($C:$C,ROW()-2):C7),"")</f>
        <v/>
      </c>
      <c r="H7" s="14">
        <f>IFERROR(C7/C6-1,"")</f>
        <v/>
      </c>
      <c r="I7" t="inlineStr">
        <is>
          <t>Actual</t>
        </is>
      </c>
      <c r="J7" t="inlineStr">
        <is>
          <t>Observed bank performance</t>
        </is>
      </c>
      <c r="K7" t="inlineStr">
        <is>
          <t>Historical actual; formulas illustrate model outputs</t>
        </is>
      </c>
    </row>
    <row r="8" ht="22" customHeight="1">
      <c r="A8" s="12" t="n">
        <v>45717</v>
      </c>
      <c r="B8" t="n">
        <v>3</v>
      </c>
      <c r="C8" s="13">
        <f>BANKING_DATASET!D7</f>
        <v/>
      </c>
      <c r="D8" s="13">
        <f>FORECAST.LINEAR(B8,$C$6:$C$23,$B$6:$B$23)</f>
        <v/>
      </c>
      <c r="E8" s="13">
        <f>FORECAST.ETS(A8,$C$6:$C$23,$A$6:$A$23,12,1,1)</f>
        <v/>
      </c>
      <c r="F8" s="13">
        <f>TREND($C$6:$C$23,$B$6:$B$23,B8)</f>
        <v/>
      </c>
      <c r="G8" s="13">
        <f>IF(B8&gt;=3,AVERAGE(INDEX($C:$C,ROW()-2):C8),"")</f>
        <v/>
      </c>
      <c r="H8" s="14">
        <f>IFERROR(C8/C7-1,"")</f>
        <v/>
      </c>
      <c r="I8" t="inlineStr">
        <is>
          <t>Actual</t>
        </is>
      </c>
      <c r="J8" t="inlineStr">
        <is>
          <t>Observed bank performance</t>
        </is>
      </c>
      <c r="K8" t="inlineStr">
        <is>
          <t>Historical actual; formulas illustrate model outputs</t>
        </is>
      </c>
    </row>
    <row r="9" ht="22" customHeight="1">
      <c r="A9" s="12" t="n">
        <v>45748</v>
      </c>
      <c r="B9" t="n">
        <v>4</v>
      </c>
      <c r="C9" s="13">
        <f>BANKING_DATASET!D8</f>
        <v/>
      </c>
      <c r="D9" s="13">
        <f>FORECAST.LINEAR(B9,$C$6:$C$23,$B$6:$B$23)</f>
        <v/>
      </c>
      <c r="E9" s="13">
        <f>FORECAST.ETS(A9,$C$6:$C$23,$A$6:$A$23,12,1,1)</f>
        <v/>
      </c>
      <c r="F9" s="13">
        <f>TREND($C$6:$C$23,$B$6:$B$23,B9)</f>
        <v/>
      </c>
      <c r="G9" s="13">
        <f>IF(B9&gt;=3,AVERAGE(INDEX($C:$C,ROW()-2):C9),"")</f>
        <v/>
      </c>
      <c r="H9" s="14">
        <f>IFERROR(C9/C8-1,"")</f>
        <v/>
      </c>
      <c r="I9" t="inlineStr">
        <is>
          <t>Actual</t>
        </is>
      </c>
      <c r="J9" t="inlineStr">
        <is>
          <t>Observed bank performance</t>
        </is>
      </c>
      <c r="K9" t="inlineStr">
        <is>
          <t>Historical actual; formulas illustrate model outputs</t>
        </is>
      </c>
    </row>
    <row r="10" ht="22" customHeight="1">
      <c r="A10" s="12" t="n">
        <v>45778</v>
      </c>
      <c r="B10" t="n">
        <v>5</v>
      </c>
      <c r="C10" s="13">
        <f>BANKING_DATASET!D9</f>
        <v/>
      </c>
      <c r="D10" s="13">
        <f>FORECAST.LINEAR(B10,$C$6:$C$23,$B$6:$B$23)</f>
        <v/>
      </c>
      <c r="E10" s="13">
        <f>FORECAST.ETS(A10,$C$6:$C$23,$A$6:$A$23,12,1,1)</f>
        <v/>
      </c>
      <c r="F10" s="13">
        <f>TREND($C$6:$C$23,$B$6:$B$23,B10)</f>
        <v/>
      </c>
      <c r="G10" s="13">
        <f>IF(B10&gt;=3,AVERAGE(INDEX($C:$C,ROW()-2):C10),"")</f>
        <v/>
      </c>
      <c r="H10" s="14">
        <f>IFERROR(C10/C9-1,"")</f>
        <v/>
      </c>
      <c r="I10" t="inlineStr">
        <is>
          <t>Actual</t>
        </is>
      </c>
      <c r="J10" t="inlineStr">
        <is>
          <t>Observed bank performance</t>
        </is>
      </c>
      <c r="K10" t="inlineStr">
        <is>
          <t>Historical actual; formulas illustrate model outputs</t>
        </is>
      </c>
    </row>
    <row r="11" ht="22" customHeight="1">
      <c r="A11" s="12" t="n">
        <v>45809</v>
      </c>
      <c r="B11" t="n">
        <v>6</v>
      </c>
      <c r="C11" s="13">
        <f>BANKING_DATASET!D10</f>
        <v/>
      </c>
      <c r="D11" s="13">
        <f>FORECAST.LINEAR(B11,$C$6:$C$23,$B$6:$B$23)</f>
        <v/>
      </c>
      <c r="E11" s="13">
        <f>FORECAST.ETS(A11,$C$6:$C$23,$A$6:$A$23,12,1,1)</f>
        <v/>
      </c>
      <c r="F11" s="13">
        <f>TREND($C$6:$C$23,$B$6:$B$23,B11)</f>
        <v/>
      </c>
      <c r="G11" s="13">
        <f>IF(B11&gt;=3,AVERAGE(INDEX($C:$C,ROW()-2):C11),"")</f>
        <v/>
      </c>
      <c r="H11" s="14">
        <f>IFERROR(C11/C10-1,"")</f>
        <v/>
      </c>
      <c r="I11" t="inlineStr">
        <is>
          <t>Actual</t>
        </is>
      </c>
      <c r="J11" t="inlineStr">
        <is>
          <t>Observed bank performance</t>
        </is>
      </c>
      <c r="K11" t="inlineStr">
        <is>
          <t>Historical actual; formulas illustrate model outputs</t>
        </is>
      </c>
    </row>
    <row r="12" ht="22" customHeight="1">
      <c r="A12" s="12" t="n">
        <v>45839</v>
      </c>
      <c r="B12" t="n">
        <v>7</v>
      </c>
      <c r="C12" s="13">
        <f>BANKING_DATASET!D11</f>
        <v/>
      </c>
      <c r="D12" s="13">
        <f>FORECAST.LINEAR(B12,$C$6:$C$23,$B$6:$B$23)</f>
        <v/>
      </c>
      <c r="E12" s="13">
        <f>FORECAST.ETS(A12,$C$6:$C$23,$A$6:$A$23,12,1,1)</f>
        <v/>
      </c>
      <c r="F12" s="13">
        <f>TREND($C$6:$C$23,$B$6:$B$23,B12)</f>
        <v/>
      </c>
      <c r="G12" s="13">
        <f>IF(B12&gt;=3,AVERAGE(INDEX($C:$C,ROW()-2):C12),"")</f>
        <v/>
      </c>
      <c r="H12" s="14">
        <f>IFERROR(C12/C11-1,"")</f>
        <v/>
      </c>
      <c r="I12" t="inlineStr">
        <is>
          <t>Actual</t>
        </is>
      </c>
      <c r="J12" t="inlineStr">
        <is>
          <t>Observed bank performance</t>
        </is>
      </c>
      <c r="K12" t="inlineStr">
        <is>
          <t>Historical actual; formulas illustrate model outputs</t>
        </is>
      </c>
    </row>
    <row r="13" ht="22" customHeight="1">
      <c r="A13" s="12" t="n">
        <v>45870</v>
      </c>
      <c r="B13" t="n">
        <v>8</v>
      </c>
      <c r="C13" s="13">
        <f>BANKING_DATASET!D12</f>
        <v/>
      </c>
      <c r="D13" s="13">
        <f>FORECAST.LINEAR(B13,$C$6:$C$23,$B$6:$B$23)</f>
        <v/>
      </c>
      <c r="E13" s="13">
        <f>FORECAST.ETS(A13,$C$6:$C$23,$A$6:$A$23,12,1,1)</f>
        <v/>
      </c>
      <c r="F13" s="13">
        <f>TREND($C$6:$C$23,$B$6:$B$23,B13)</f>
        <v/>
      </c>
      <c r="G13" s="13">
        <f>IF(B13&gt;=3,AVERAGE(INDEX($C:$C,ROW()-2):C13),"")</f>
        <v/>
      </c>
      <c r="H13" s="14">
        <f>IFERROR(C13/C12-1,"")</f>
        <v/>
      </c>
      <c r="I13" t="inlineStr">
        <is>
          <t>Actual</t>
        </is>
      </c>
      <c r="J13" t="inlineStr">
        <is>
          <t>Observed bank performance</t>
        </is>
      </c>
      <c r="K13" t="inlineStr">
        <is>
          <t>Historical actual; formulas illustrate model outputs</t>
        </is>
      </c>
    </row>
    <row r="14" ht="22" customHeight="1">
      <c r="A14" s="12" t="n">
        <v>45901</v>
      </c>
      <c r="B14" t="n">
        <v>9</v>
      </c>
      <c r="C14" s="13">
        <f>BANKING_DATASET!D13</f>
        <v/>
      </c>
      <c r="D14" s="13">
        <f>FORECAST.LINEAR(B14,$C$6:$C$23,$B$6:$B$23)</f>
        <v/>
      </c>
      <c r="E14" s="13">
        <f>FORECAST.ETS(A14,$C$6:$C$23,$A$6:$A$23,12,1,1)</f>
        <v/>
      </c>
      <c r="F14" s="13">
        <f>TREND($C$6:$C$23,$B$6:$B$23,B14)</f>
        <v/>
      </c>
      <c r="G14" s="13">
        <f>IF(B14&gt;=3,AVERAGE(INDEX($C:$C,ROW()-2):C14),"")</f>
        <v/>
      </c>
      <c r="H14" s="14">
        <f>IFERROR(C14/C13-1,"")</f>
        <v/>
      </c>
      <c r="I14" t="inlineStr">
        <is>
          <t>Actual</t>
        </is>
      </c>
      <c r="J14" t="inlineStr">
        <is>
          <t>Observed bank performance</t>
        </is>
      </c>
      <c r="K14" t="inlineStr">
        <is>
          <t>Historical actual; formulas illustrate model outputs</t>
        </is>
      </c>
    </row>
    <row r="15" ht="22" customHeight="1">
      <c r="A15" s="12" t="n">
        <v>45931</v>
      </c>
      <c r="B15" t="n">
        <v>10</v>
      </c>
      <c r="C15" s="13">
        <f>BANKING_DATASET!D14</f>
        <v/>
      </c>
      <c r="D15" s="13">
        <f>FORECAST.LINEAR(B15,$C$6:$C$23,$B$6:$B$23)</f>
        <v/>
      </c>
      <c r="E15" s="13">
        <f>FORECAST.ETS(A15,$C$6:$C$23,$A$6:$A$23,12,1,1)</f>
        <v/>
      </c>
      <c r="F15" s="13">
        <f>TREND($C$6:$C$23,$B$6:$B$23,B15)</f>
        <v/>
      </c>
      <c r="G15" s="13">
        <f>IF(B15&gt;=3,AVERAGE(INDEX($C:$C,ROW()-2):C15),"")</f>
        <v/>
      </c>
      <c r="H15" s="14">
        <f>IFERROR(C15/C14-1,"")</f>
        <v/>
      </c>
      <c r="I15" t="inlineStr">
        <is>
          <t>Actual</t>
        </is>
      </c>
      <c r="J15" t="inlineStr">
        <is>
          <t>Observed bank performance</t>
        </is>
      </c>
      <c r="K15" t="inlineStr">
        <is>
          <t>Historical actual; formulas illustrate model outputs</t>
        </is>
      </c>
    </row>
    <row r="16" ht="22" customHeight="1">
      <c r="A16" s="12" t="n">
        <v>45962</v>
      </c>
      <c r="B16" t="n">
        <v>11</v>
      </c>
      <c r="C16" s="13">
        <f>BANKING_DATASET!D15</f>
        <v/>
      </c>
      <c r="D16" s="13">
        <f>FORECAST.LINEAR(B16,$C$6:$C$23,$B$6:$B$23)</f>
        <v/>
      </c>
      <c r="E16" s="13">
        <f>FORECAST.ETS(A16,$C$6:$C$23,$A$6:$A$23,12,1,1)</f>
        <v/>
      </c>
      <c r="F16" s="13">
        <f>TREND($C$6:$C$23,$B$6:$B$23,B16)</f>
        <v/>
      </c>
      <c r="G16" s="13">
        <f>IF(B16&gt;=3,AVERAGE(INDEX($C:$C,ROW()-2):C16),"")</f>
        <v/>
      </c>
      <c r="H16" s="14">
        <f>IFERROR(C16/C15-1,"")</f>
        <v/>
      </c>
      <c r="I16" t="inlineStr">
        <is>
          <t>Actual</t>
        </is>
      </c>
      <c r="J16" t="inlineStr">
        <is>
          <t>Observed bank performance</t>
        </is>
      </c>
      <c r="K16" t="inlineStr">
        <is>
          <t>Historical actual; formulas illustrate model outputs</t>
        </is>
      </c>
    </row>
    <row r="17" ht="22" customHeight="1">
      <c r="A17" s="12" t="n">
        <v>45992</v>
      </c>
      <c r="B17" t="n">
        <v>12</v>
      </c>
      <c r="C17" s="13">
        <f>BANKING_DATASET!D16</f>
        <v/>
      </c>
      <c r="D17" s="13">
        <f>FORECAST.LINEAR(B17,$C$6:$C$23,$B$6:$B$23)</f>
        <v/>
      </c>
      <c r="E17" s="13">
        <f>FORECAST.ETS(A17,$C$6:$C$23,$A$6:$A$23,12,1,1)</f>
        <v/>
      </c>
      <c r="F17" s="13">
        <f>TREND($C$6:$C$23,$B$6:$B$23,B17)</f>
        <v/>
      </c>
      <c r="G17" s="13">
        <f>IF(B17&gt;=3,AVERAGE(INDEX($C:$C,ROW()-2):C17),"")</f>
        <v/>
      </c>
      <c r="H17" s="14">
        <f>IFERROR(C17/C16-1,"")</f>
        <v/>
      </c>
      <c r="I17" t="inlineStr">
        <is>
          <t>Actual</t>
        </is>
      </c>
      <c r="J17" t="inlineStr">
        <is>
          <t>Observed bank performance</t>
        </is>
      </c>
      <c r="K17" t="inlineStr">
        <is>
          <t>Historical actual; formulas illustrate model outputs</t>
        </is>
      </c>
    </row>
    <row r="18" ht="22" customHeight="1">
      <c r="A18" s="12" t="n">
        <v>46023</v>
      </c>
      <c r="B18" t="n">
        <v>13</v>
      </c>
      <c r="C18" s="13">
        <f>BANKING_DATASET!D17</f>
        <v/>
      </c>
      <c r="D18" s="13">
        <f>FORECAST.LINEAR(B18,$C$6:$C$23,$B$6:$B$23)</f>
        <v/>
      </c>
      <c r="E18" s="13">
        <f>FORECAST.ETS(A18,$C$6:$C$23,$A$6:$A$23,12,1,1)</f>
        <v/>
      </c>
      <c r="F18" s="13">
        <f>TREND($C$6:$C$23,$B$6:$B$23,B18)</f>
        <v/>
      </c>
      <c r="G18" s="13">
        <f>IF(B18&gt;=3,AVERAGE(INDEX($C:$C,ROW()-2):C18),"")</f>
        <v/>
      </c>
      <c r="H18" s="14">
        <f>IFERROR(C18/C17-1,"")</f>
        <v/>
      </c>
      <c r="I18" t="inlineStr">
        <is>
          <t>Actual</t>
        </is>
      </c>
      <c r="J18" t="inlineStr">
        <is>
          <t>Observed bank performance</t>
        </is>
      </c>
      <c r="K18" t="inlineStr">
        <is>
          <t>Historical actual; formulas illustrate model outputs</t>
        </is>
      </c>
    </row>
    <row r="19" ht="22" customHeight="1">
      <c r="A19" s="12" t="n">
        <v>46054</v>
      </c>
      <c r="B19" t="n">
        <v>14</v>
      </c>
      <c r="C19" s="13">
        <f>BANKING_DATASET!D18</f>
        <v/>
      </c>
      <c r="D19" s="13">
        <f>FORECAST.LINEAR(B19,$C$6:$C$23,$B$6:$B$23)</f>
        <v/>
      </c>
      <c r="E19" s="13">
        <f>FORECAST.ETS(A19,$C$6:$C$23,$A$6:$A$23,12,1,1)</f>
        <v/>
      </c>
      <c r="F19" s="13">
        <f>TREND($C$6:$C$23,$B$6:$B$23,B19)</f>
        <v/>
      </c>
      <c r="G19" s="13">
        <f>IF(B19&gt;=3,AVERAGE(INDEX($C:$C,ROW()-2):C19),"")</f>
        <v/>
      </c>
      <c r="H19" s="14">
        <f>IFERROR(C19/C18-1,"")</f>
        <v/>
      </c>
      <c r="I19" t="inlineStr">
        <is>
          <t>Actual</t>
        </is>
      </c>
      <c r="J19" t="inlineStr">
        <is>
          <t>Observed bank performance</t>
        </is>
      </c>
      <c r="K19" t="inlineStr">
        <is>
          <t>Historical actual; formulas illustrate model outputs</t>
        </is>
      </c>
    </row>
    <row r="20" ht="22" customHeight="1">
      <c r="A20" s="12" t="n">
        <v>46082</v>
      </c>
      <c r="B20" t="n">
        <v>15</v>
      </c>
      <c r="C20" s="13">
        <f>BANKING_DATASET!D19</f>
        <v/>
      </c>
      <c r="D20" s="13">
        <f>FORECAST.LINEAR(B20,$C$6:$C$23,$B$6:$B$23)</f>
        <v/>
      </c>
      <c r="E20" s="13">
        <f>FORECAST.ETS(A20,$C$6:$C$23,$A$6:$A$23,12,1,1)</f>
        <v/>
      </c>
      <c r="F20" s="13">
        <f>TREND($C$6:$C$23,$B$6:$B$23,B20)</f>
        <v/>
      </c>
      <c r="G20" s="13">
        <f>IF(B20&gt;=3,AVERAGE(INDEX($C:$C,ROW()-2):C20),"")</f>
        <v/>
      </c>
      <c r="H20" s="14">
        <f>IFERROR(C20/C19-1,"")</f>
        <v/>
      </c>
      <c r="I20" t="inlineStr">
        <is>
          <t>Actual</t>
        </is>
      </c>
      <c r="J20" t="inlineStr">
        <is>
          <t>Observed bank performance</t>
        </is>
      </c>
      <c r="K20" t="inlineStr">
        <is>
          <t>Historical actual; formulas illustrate model outputs</t>
        </is>
      </c>
    </row>
    <row r="21" ht="22" customHeight="1">
      <c r="A21" s="12" t="n">
        <v>46113</v>
      </c>
      <c r="B21" t="n">
        <v>16</v>
      </c>
      <c r="C21" s="13">
        <f>BANKING_DATASET!D20</f>
        <v/>
      </c>
      <c r="D21" s="13">
        <f>FORECAST.LINEAR(B21,$C$6:$C$23,$B$6:$B$23)</f>
        <v/>
      </c>
      <c r="E21" s="13">
        <f>FORECAST.ETS(A21,$C$6:$C$23,$A$6:$A$23,12,1,1)</f>
        <v/>
      </c>
      <c r="F21" s="13">
        <f>TREND($C$6:$C$23,$B$6:$B$23,B21)</f>
        <v/>
      </c>
      <c r="G21" s="13">
        <f>IF(B21&gt;=3,AVERAGE(INDEX($C:$C,ROW()-2):C21),"")</f>
        <v/>
      </c>
      <c r="H21" s="14">
        <f>IFERROR(C21/C20-1,"")</f>
        <v/>
      </c>
      <c r="I21" t="inlineStr">
        <is>
          <t>Actual</t>
        </is>
      </c>
      <c r="J21" t="inlineStr">
        <is>
          <t>Observed bank performance</t>
        </is>
      </c>
      <c r="K21" t="inlineStr">
        <is>
          <t>Historical actual; formulas illustrate model outputs</t>
        </is>
      </c>
    </row>
    <row r="22" ht="22" customHeight="1">
      <c r="A22" s="12" t="n">
        <v>46143</v>
      </c>
      <c r="B22" t="n">
        <v>17</v>
      </c>
      <c r="C22" s="13">
        <f>BANKING_DATASET!D21</f>
        <v/>
      </c>
      <c r="D22" s="13">
        <f>FORECAST.LINEAR(B22,$C$6:$C$23,$B$6:$B$23)</f>
        <v/>
      </c>
      <c r="E22" s="13">
        <f>FORECAST.ETS(A22,$C$6:$C$23,$A$6:$A$23,12,1,1)</f>
        <v/>
      </c>
      <c r="F22" s="13">
        <f>TREND($C$6:$C$23,$B$6:$B$23,B22)</f>
        <v/>
      </c>
      <c r="G22" s="13">
        <f>IF(B22&gt;=3,AVERAGE(INDEX($C:$C,ROW()-2):C22),"")</f>
        <v/>
      </c>
      <c r="H22" s="14">
        <f>IFERROR(C22/C21-1,"")</f>
        <v/>
      </c>
      <c r="I22" t="inlineStr">
        <is>
          <t>Actual</t>
        </is>
      </c>
      <c r="J22" t="inlineStr">
        <is>
          <t>Observed bank performance</t>
        </is>
      </c>
      <c r="K22" t="inlineStr">
        <is>
          <t>Historical actual; formulas illustrate model outputs</t>
        </is>
      </c>
    </row>
    <row r="23" ht="22" customHeight="1">
      <c r="A23" s="12" t="n">
        <v>46174</v>
      </c>
      <c r="B23" t="n">
        <v>18</v>
      </c>
      <c r="C23" s="13">
        <f>BANKING_DATASET!D22</f>
        <v/>
      </c>
      <c r="D23" s="13">
        <f>FORECAST.LINEAR(B23,$C$6:$C$23,$B$6:$B$23)</f>
        <v/>
      </c>
      <c r="E23" s="13">
        <f>FORECAST.ETS(A23,$C$6:$C$23,$A$6:$A$23,12,1,1)</f>
        <v/>
      </c>
      <c r="F23" s="13">
        <f>TREND($C$6:$C$23,$B$6:$B$23,B23)</f>
        <v/>
      </c>
      <c r="G23" s="13">
        <f>IF(B23&gt;=3,AVERAGE(INDEX($C:$C,ROW()-2):C23),"")</f>
        <v/>
      </c>
      <c r="H23" s="14">
        <f>IFERROR(C23/C22-1,"")</f>
        <v/>
      </c>
      <c r="I23" t="inlineStr">
        <is>
          <t>Actual</t>
        </is>
      </c>
      <c r="J23" t="inlineStr">
        <is>
          <t>Observed bank performance</t>
        </is>
      </c>
      <c r="K23" t="inlineStr">
        <is>
          <t>Historical actual; formulas illustrate model outputs</t>
        </is>
      </c>
    </row>
    <row r="24" ht="22" customHeight="1">
      <c r="A24" s="15" t="n">
        <v>46204</v>
      </c>
      <c r="B24" s="16" t="n">
        <v>19</v>
      </c>
      <c r="C24" s="16" t="inlineStr"/>
      <c r="D24" s="17">
        <f>FORECAST.LINEAR(B24,$C$6:$C$23,$B$6:$B$23)</f>
        <v/>
      </c>
      <c r="E24" s="17">
        <f>FORECAST.ETS(A24,$C$6:$C$23,$A$6:$A$23,12,1,1)</f>
        <v/>
      </c>
      <c r="F24" s="17">
        <f>TREND($C$6:$C$23,$B$6:$B$23,B24)</f>
        <v/>
      </c>
      <c r="G24" s="17">
        <f>AVERAGE(C21:C23)</f>
        <v/>
      </c>
      <c r="H24" s="18">
        <f>IFERROR(E24/E23-1,"")</f>
        <v/>
      </c>
      <c r="I24" s="16" t="inlineStr">
        <is>
          <t>Forecast</t>
        </is>
      </c>
      <c r="J24" s="16" t="inlineStr">
        <is>
          <t>Planning estimate for future demand</t>
        </is>
      </c>
      <c r="K24" s="16" t="inlineStr">
        <is>
          <t>Compare models before committing capacity</t>
        </is>
      </c>
    </row>
    <row r="25" ht="22" customHeight="1">
      <c r="A25" s="15" t="n">
        <v>46235</v>
      </c>
      <c r="B25" s="16" t="n">
        <v>20</v>
      </c>
      <c r="C25" s="16" t="inlineStr"/>
      <c r="D25" s="17">
        <f>FORECAST.LINEAR(B25,$C$6:$C$23,$B$6:$B$23)</f>
        <v/>
      </c>
      <c r="E25" s="17">
        <f>FORECAST.ETS(A25,$C$6:$C$23,$A$6:$A$23,12,1,1)</f>
        <v/>
      </c>
      <c r="F25" s="17">
        <f>TREND($C$6:$C$23,$B$6:$B$23,B25)</f>
        <v/>
      </c>
      <c r="G25" s="17">
        <f>AVERAGE(INDEX($C:$C,ROW()-3):C23)</f>
        <v/>
      </c>
      <c r="H25" s="18">
        <f>IFERROR(E25/E24-1,"")</f>
        <v/>
      </c>
      <c r="I25" s="16" t="inlineStr">
        <is>
          <t>Forecast</t>
        </is>
      </c>
      <c r="J25" s="16" t="inlineStr">
        <is>
          <t>Planning estimate for future demand</t>
        </is>
      </c>
      <c r="K25" s="16" t="inlineStr">
        <is>
          <t>Compare models before committing capacity</t>
        </is>
      </c>
    </row>
    <row r="26" ht="22" customHeight="1">
      <c r="A26" s="15" t="n">
        <v>46266</v>
      </c>
      <c r="B26" s="16" t="n">
        <v>21</v>
      </c>
      <c r="C26" s="16" t="inlineStr"/>
      <c r="D26" s="17">
        <f>FORECAST.LINEAR(B26,$C$6:$C$23,$B$6:$B$23)</f>
        <v/>
      </c>
      <c r="E26" s="17">
        <f>FORECAST.ETS(A26,$C$6:$C$23,$A$6:$A$23,12,1,1)</f>
        <v/>
      </c>
      <c r="F26" s="17">
        <f>TREND($C$6:$C$23,$B$6:$B$23,B26)</f>
        <v/>
      </c>
      <c r="G26" s="17">
        <f>AVERAGE(INDEX($C:$C,ROW()-3):C23)</f>
        <v/>
      </c>
      <c r="H26" s="18">
        <f>IFERROR(E26/E25-1,"")</f>
        <v/>
      </c>
      <c r="I26" s="16" t="inlineStr">
        <is>
          <t>Forecast</t>
        </is>
      </c>
      <c r="J26" s="16" t="inlineStr">
        <is>
          <t>Planning estimate for future demand</t>
        </is>
      </c>
      <c r="K26" s="16" t="inlineStr">
        <is>
          <t>Compare models before committing capacity</t>
        </is>
      </c>
    </row>
    <row r="27" ht="22" customHeight="1">
      <c r="A27" s="15" t="n">
        <v>46296</v>
      </c>
      <c r="B27" s="16" t="n">
        <v>22</v>
      </c>
      <c r="C27" s="16" t="inlineStr"/>
      <c r="D27" s="17">
        <f>FORECAST.LINEAR(B27,$C$6:$C$23,$B$6:$B$23)</f>
        <v/>
      </c>
      <c r="E27" s="17">
        <f>FORECAST.ETS(A27,$C$6:$C$23,$A$6:$A$23,12,1,1)</f>
        <v/>
      </c>
      <c r="F27" s="17">
        <f>TREND($C$6:$C$23,$B$6:$B$23,B27)</f>
        <v/>
      </c>
      <c r="G27" s="17">
        <f>AVERAGE(INDEX($C:$C,ROW()-3):C23)</f>
        <v/>
      </c>
      <c r="H27" s="18">
        <f>IFERROR(E27/E26-1,"")</f>
        <v/>
      </c>
      <c r="I27" s="16" t="inlineStr">
        <is>
          <t>Forecast</t>
        </is>
      </c>
      <c r="J27" s="16" t="inlineStr">
        <is>
          <t>Planning estimate for future demand</t>
        </is>
      </c>
      <c r="K27" s="16" t="inlineStr">
        <is>
          <t>Compare models before committing capacity</t>
        </is>
      </c>
    </row>
    <row r="28" ht="22" customHeight="1">
      <c r="A28" s="15" t="n">
        <v>46327</v>
      </c>
      <c r="B28" s="16" t="n">
        <v>23</v>
      </c>
      <c r="C28" s="16" t="inlineStr"/>
      <c r="D28" s="17">
        <f>FORECAST.LINEAR(B28,$C$6:$C$23,$B$6:$B$23)</f>
        <v/>
      </c>
      <c r="E28" s="17">
        <f>FORECAST.ETS(A28,$C$6:$C$23,$A$6:$A$23,12,1,1)</f>
        <v/>
      </c>
      <c r="F28" s="17">
        <f>TREND($C$6:$C$23,$B$6:$B$23,B28)</f>
        <v/>
      </c>
      <c r="G28" s="17">
        <f>AVERAGE(INDEX($C:$C,ROW()-3):C23)</f>
        <v/>
      </c>
      <c r="H28" s="18">
        <f>IFERROR(E28/E27-1,"")</f>
        <v/>
      </c>
      <c r="I28" s="16" t="inlineStr">
        <is>
          <t>Forecast</t>
        </is>
      </c>
      <c r="J28" s="16" t="inlineStr">
        <is>
          <t>Planning estimate for future demand</t>
        </is>
      </c>
      <c r="K28" s="16" t="inlineStr">
        <is>
          <t>Compare models before committing capacity</t>
        </is>
      </c>
    </row>
    <row r="29" ht="22" customHeight="1">
      <c r="A29" s="15" t="n">
        <v>46357</v>
      </c>
      <c r="B29" s="16" t="n">
        <v>24</v>
      </c>
      <c r="C29" s="16" t="inlineStr"/>
      <c r="D29" s="17">
        <f>FORECAST.LINEAR(B29,$C$6:$C$23,$B$6:$B$23)</f>
        <v/>
      </c>
      <c r="E29" s="17">
        <f>FORECAST.ETS(A29,$C$6:$C$23,$A$6:$A$23,12,1,1)</f>
        <v/>
      </c>
      <c r="F29" s="17">
        <f>TREND($C$6:$C$23,$B$6:$B$23,B29)</f>
        <v/>
      </c>
      <c r="G29" s="17">
        <f>AVERAGE(INDEX($C:$C,ROW()-3):C23)</f>
        <v/>
      </c>
      <c r="H29" s="18">
        <f>IFERROR(E29/E28-1,"")</f>
        <v/>
      </c>
      <c r="I29" s="16" t="inlineStr">
        <is>
          <t>Forecast</t>
        </is>
      </c>
      <c r="J29" s="16" t="inlineStr">
        <is>
          <t>Planning estimate for future demand</t>
        </is>
      </c>
      <c r="K29" s="16" t="inlineStr">
        <is>
          <t>Compare models before committing capacity</t>
        </is>
      </c>
    </row>
    <row r="30" ht="22" customHeight="1"/>
    <row r="31" ht="22" customHeight="1"/>
    <row r="32" ht="22" customHeight="1">
      <c r="A32" s="19" t="inlineStr">
        <is>
          <t>2. WHAT EACH FORECAST FORMULA IS TEACHING</t>
        </is>
      </c>
    </row>
    <row r="33" ht="22" customHeight="1">
      <c r="A33" s="3" t="inlineStr">
        <is>
          <t>Method</t>
        </is>
      </c>
      <c r="B33" s="3" t="inlineStr">
        <is>
          <t>What it does</t>
        </is>
      </c>
      <c r="C33" s="3" t="inlineStr">
        <is>
          <t>When to use it</t>
        </is>
      </c>
    </row>
    <row r="34" ht="22" customHeight="1">
      <c r="A34" s="20" t="inlineStr">
        <is>
          <t>FORECAST.LINEAR</t>
        </is>
      </c>
      <c r="B34" s="21" t="inlineStr">
        <is>
          <t>Predicts a future value using a straight-line trend from historical values.</t>
        </is>
      </c>
      <c r="H34" s="21" t="inlineStr">
        <is>
          <t>Good starting point when the series has a fairly stable linear trend.</t>
        </is>
      </c>
    </row>
    <row r="35" ht="22" customHeight="1">
      <c r="A35" s="20" t="inlineStr">
        <is>
          <t>FORECAST.ETS</t>
        </is>
      </c>
      <c r="B35" s="21" t="inlineStr">
        <is>
          <t>Uses exponential smoothing and can capture level, trend and seasonality.</t>
        </is>
      </c>
      <c r="H35" s="21" t="inlineStr">
        <is>
          <t>Useful when banking demand has recurring seasonal patterns.</t>
        </is>
      </c>
    </row>
    <row r="36" ht="22" customHeight="1">
      <c r="A36" s="20" t="inlineStr">
        <is>
          <t>TREND</t>
        </is>
      </c>
      <c r="B36" s="21" t="inlineStr">
        <is>
          <t>Returns values along a linear trend line.</t>
        </is>
      </c>
      <c r="H36" s="21" t="inlineStr">
        <is>
          <t>Useful for understanding the underlying direction of demand.</t>
        </is>
      </c>
    </row>
    <row r="37" ht="22" customHeight="1">
      <c r="A37" s="20" t="inlineStr">
        <is>
          <t>3-Month Moving Average</t>
        </is>
      </c>
      <c r="B37" s="21" t="inlineStr">
        <is>
          <t>Average of recent months.</t>
        </is>
      </c>
      <c r="H37" s="21" t="inlineStr">
        <is>
          <t>Simple baseline; useful for short-term operational planning.</t>
        </is>
      </c>
    </row>
    <row r="38" ht="22" customHeight="1">
      <c r="A38" s="20" t="inlineStr">
        <is>
          <t>Growth %</t>
        </is>
      </c>
      <c r="B38" s="21" t="inlineStr">
        <is>
          <t>Current forecast ÷ previous period − 1.</t>
        </is>
      </c>
      <c r="H38" s="21" t="inlineStr">
        <is>
          <t>Converts the forecast into a business growth signal.</t>
        </is>
      </c>
    </row>
    <row r="39" ht="22" customHeight="1"/>
    <row r="40" ht="22" customHeight="1"/>
    <row r="41" ht="22" customHeight="1">
      <c r="A41" s="22" t="inlineStr">
        <is>
          <t>3. BANKING DECISION — MODEL COMPARISON</t>
        </is>
      </c>
    </row>
    <row r="42" ht="22" customHeight="1">
      <c r="A42" s="23" t="inlineStr">
        <is>
          <t>Future Month</t>
        </is>
      </c>
      <c r="B42" s="23" t="inlineStr">
        <is>
          <t>Linear Forecast</t>
        </is>
      </c>
      <c r="C42" s="23" t="inlineStr">
        <is>
          <t>ETS Forecast</t>
        </is>
      </c>
      <c r="D42" s="23" t="inlineStr">
        <is>
          <t>Trend Forecast</t>
        </is>
      </c>
      <c r="E42" s="23" t="inlineStr">
        <is>
          <t>Planning View</t>
        </is>
      </c>
      <c r="F42" s="23" t="inlineStr">
        <is>
          <t>Why</t>
        </is>
      </c>
    </row>
    <row r="43" ht="22" customHeight="1">
      <c r="A43" s="12">
        <f>A24</f>
        <v/>
      </c>
      <c r="B43" s="13">
        <f>D24</f>
        <v/>
      </c>
      <c r="C43" s="13">
        <f>E24</f>
        <v/>
      </c>
      <c r="D43" s="13">
        <f>F24</f>
        <v/>
      </c>
      <c r="E43" s="13">
        <f>AVERAGE(B43:D43)</f>
        <v/>
      </c>
      <c r="F43" s="24" t="inlineStr">
        <is>
          <t>Use the average as a neutral planning baseline; investigate large model differences.</t>
        </is>
      </c>
    </row>
    <row r="44" ht="22" customHeight="1">
      <c r="A44" s="12">
        <f>A25</f>
        <v/>
      </c>
      <c r="B44" s="13">
        <f>D25</f>
        <v/>
      </c>
      <c r="C44" s="13">
        <f>E25</f>
        <v/>
      </c>
      <c r="D44" s="13">
        <f>F25</f>
        <v/>
      </c>
      <c r="E44" s="13">
        <f>AVERAGE(B44:D44)</f>
        <v/>
      </c>
      <c r="F44" s="24" t="inlineStr">
        <is>
          <t>Use the average as a neutral planning baseline; investigate large model differences.</t>
        </is>
      </c>
    </row>
    <row r="45" ht="22" customHeight="1">
      <c r="A45" s="12">
        <f>A26</f>
        <v/>
      </c>
      <c r="B45" s="13">
        <f>D26</f>
        <v/>
      </c>
      <c r="C45" s="13">
        <f>E26</f>
        <v/>
      </c>
      <c r="D45" s="13">
        <f>F26</f>
        <v/>
      </c>
      <c r="E45" s="13">
        <f>AVERAGE(B45:D45)</f>
        <v/>
      </c>
      <c r="F45" s="24" t="inlineStr">
        <is>
          <t>Use the average as a neutral planning baseline; investigate large model differences.</t>
        </is>
      </c>
    </row>
    <row r="46" ht="22" customHeight="1">
      <c r="A46" s="12">
        <f>A27</f>
        <v/>
      </c>
      <c r="B46" s="13">
        <f>D27</f>
        <v/>
      </c>
      <c r="C46" s="13">
        <f>E27</f>
        <v/>
      </c>
      <c r="D46" s="13">
        <f>F27</f>
        <v/>
      </c>
      <c r="E46" s="13">
        <f>AVERAGE(B46:D46)</f>
        <v/>
      </c>
      <c r="F46" s="24" t="inlineStr">
        <is>
          <t>Use the average as a neutral planning baseline; investigate large model differences.</t>
        </is>
      </c>
    </row>
    <row r="47" ht="22" customHeight="1">
      <c r="A47" s="12">
        <f>A28</f>
        <v/>
      </c>
      <c r="B47" s="13">
        <f>D28</f>
        <v/>
      </c>
      <c r="C47" s="13">
        <f>E28</f>
        <v/>
      </c>
      <c r="D47" s="13">
        <f>F28</f>
        <v/>
      </c>
      <c r="E47" s="13">
        <f>AVERAGE(B47:D47)</f>
        <v/>
      </c>
      <c r="F47" s="24" t="inlineStr">
        <is>
          <t>Use the average as a neutral planning baseline; investigate large model differences.</t>
        </is>
      </c>
    </row>
    <row r="48" ht="22" customHeight="1">
      <c r="A48" s="12">
        <f>A29</f>
        <v/>
      </c>
      <c r="B48" s="13">
        <f>D29</f>
        <v/>
      </c>
      <c r="C48" s="13">
        <f>E29</f>
        <v/>
      </c>
      <c r="D48" s="13">
        <f>F29</f>
        <v/>
      </c>
      <c r="E48" s="13">
        <f>AVERAGE(B48:D48)</f>
        <v/>
      </c>
      <c r="F48" s="24" t="inlineStr">
        <is>
          <t>Use the average as a neutral planning baseline; investigate large model differences.</t>
        </is>
      </c>
    </row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</sheetData>
  <mergeCells count="15">
    <mergeCell ref="B38:G38"/>
    <mergeCell ref="H36:K36"/>
    <mergeCell ref="B34:G34"/>
    <mergeCell ref="A4:K4"/>
    <mergeCell ref="B36:G36"/>
    <mergeCell ref="B37:G37"/>
    <mergeCell ref="H34:K34"/>
    <mergeCell ref="H35:K35"/>
    <mergeCell ref="A41:K41"/>
    <mergeCell ref="A2:K2"/>
    <mergeCell ref="B35:G35"/>
    <mergeCell ref="H38:K38"/>
    <mergeCell ref="A32:K32"/>
    <mergeCell ref="A1:K1"/>
    <mergeCell ref="H37:K37"/>
  </mergeCells>
  <pageMargins left="0.75" right="0.75" top="1" bottom="1" header="0.5" footer="0.5"/>
  <pageSetup orientation="landscape" fitToHeight="2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25" t="inlineStr">
        <is>
          <t>BANKING FORECAST — FROM DATA TO DECISION</t>
        </is>
      </c>
    </row>
    <row r="3">
      <c r="A3" s="22" t="inlineStr">
        <is>
          <t>THE BUSINESS PROBLEM</t>
        </is>
      </c>
    </row>
    <row r="4">
      <c r="A4" s="26" t="inlineStr">
        <is>
          <t>A bank needs to plan branch staffing, loan-processing capacity, liquidity and marketing before demand arrives. Historical loan disbursements show the pattern, but management needs a forward-looking estimate for the next six months.</t>
        </is>
      </c>
    </row>
    <row r="5"/>
    <row r="6"/>
    <row r="7"/>
    <row r="9">
      <c r="A9" s="10" t="inlineStr">
        <is>
          <t>WHAT THE LEARNER SHOULD NOTICE</t>
        </is>
      </c>
    </row>
    <row r="10">
      <c r="A10" s="27" t="inlineStr">
        <is>
          <t>1. Actual data is the evidence — never replace it with a forecast.</t>
        </is>
      </c>
    </row>
    <row r="11">
      <c r="A11" s="27" t="inlineStr">
        <is>
          <t>2. Linear forecasting answers: 'What if the current direction continues?'</t>
        </is>
      </c>
    </row>
    <row r="12">
      <c r="A12" s="27" t="inlineStr">
        <is>
          <t>3. ETS answers: 'What if trend + recurring seasonal behaviour continue?'</t>
        </is>
      </c>
    </row>
    <row r="13">
      <c r="A13" s="27" t="inlineStr">
        <is>
          <t>4. Moving average provides a simple benchmark.</t>
        </is>
      </c>
    </row>
    <row r="14">
      <c r="A14" s="27" t="inlineStr">
        <is>
          <t>5. If models disagree materially, investigate the reason before acting.</t>
        </is>
      </c>
    </row>
    <row r="15">
      <c r="A15" s="27" t="inlineStr">
        <is>
          <t>6. Forecasts support decisions; they do not guarantee the future.</t>
        </is>
      </c>
    </row>
    <row r="18">
      <c r="A18" s="19" t="inlineStr">
        <is>
          <t>BANKING USE CASES</t>
        </is>
      </c>
    </row>
    <row r="19">
      <c r="A19" s="3" t="inlineStr">
        <is>
          <t>Area</t>
        </is>
      </c>
      <c r="B19" s="3" t="inlineStr">
        <is>
          <t>Business Use</t>
        </is>
      </c>
    </row>
    <row r="20">
      <c r="A20" s="28" t="inlineStr">
        <is>
          <t>Loan demand</t>
        </is>
      </c>
      <c r="B20" s="24" t="inlineStr">
        <is>
          <t>Plan credit officers, processing capacity and branch staffing.</t>
        </is>
      </c>
    </row>
    <row r="21">
      <c r="A21" s="28" t="inlineStr">
        <is>
          <t>Cash / liquidity</t>
        </is>
      </c>
      <c r="B21" s="24" t="inlineStr">
        <is>
          <t>Prepare funding requirements for expected disbursements.</t>
        </is>
      </c>
    </row>
    <row r="22">
      <c r="A22" s="28" t="inlineStr">
        <is>
          <t>Marketing</t>
        </is>
      </c>
      <c r="B22" s="24" t="inlineStr">
        <is>
          <t>Time campaigns around expected demand peaks.</t>
        </is>
      </c>
    </row>
    <row r="23">
      <c r="A23" s="28" t="inlineStr">
        <is>
          <t>Risk planning</t>
        </is>
      </c>
      <c r="B23" s="24" t="inlineStr">
        <is>
          <t>Stress-test whether rapid growth could create operational pressure.</t>
        </is>
      </c>
    </row>
    <row r="26">
      <c r="A26" s="10" t="inlineStr">
        <is>
          <t>AI — HOW TO USE IT SMARTLY</t>
        </is>
      </c>
    </row>
    <row r="27">
      <c r="A27" s="24" t="inlineStr">
        <is>
          <t>✓ AI can detect patterns and seasonality you may overlook.</t>
        </is>
      </c>
    </row>
    <row r="28">
      <c r="A28" s="24" t="inlineStr">
        <is>
          <t>✓ AI can compare Linear vs ETS vs Moving Average and explain the difference.</t>
        </is>
      </c>
    </row>
    <row r="29">
      <c r="A29" s="24" t="inlineStr">
        <is>
          <t>✓ AI can challenge assumptions and identify missing drivers.</t>
        </is>
      </c>
    </row>
    <row r="30">
      <c r="A30" s="24" t="inlineStr">
        <is>
          <t>✓ AI can convert the forecast into an executive business narrative.</t>
        </is>
      </c>
    </row>
    <row r="31">
      <c r="A31" s="24" t="inlineStr">
        <is>
          <t>✓ AI should NOT invent future numbers or be trusted without checking the Excel model.</t>
        </is>
      </c>
    </row>
    <row r="34">
      <c r="A34" s="22" t="inlineStr">
        <is>
          <t>FINAL DECISION FRAMEWORK</t>
        </is>
      </c>
    </row>
    <row r="35">
      <c r="A35" s="23" t="inlineStr">
        <is>
          <t>Step</t>
        </is>
      </c>
      <c r="B35" s="23" t="inlineStr">
        <is>
          <t>Action</t>
        </is>
      </c>
      <c r="C35" s="23" t="inlineStr">
        <is>
          <t>Question</t>
        </is>
      </c>
    </row>
    <row r="36">
      <c r="A36" t="inlineStr">
        <is>
          <t>1</t>
        </is>
      </c>
      <c r="B36" t="inlineStr">
        <is>
          <t>Observe</t>
        </is>
      </c>
      <c r="C36" s="24" t="inlineStr">
        <is>
          <t>What does the historical series actually show?</t>
        </is>
      </c>
    </row>
    <row r="37">
      <c r="A37" t="inlineStr">
        <is>
          <t>2</t>
        </is>
      </c>
      <c r="B37" t="inlineStr">
        <is>
          <t>Model</t>
        </is>
      </c>
      <c r="C37" s="24" t="inlineStr">
        <is>
          <t>Generate at least two forecasting approaches.</t>
        </is>
      </c>
    </row>
    <row r="38">
      <c r="A38" t="inlineStr">
        <is>
          <t>3</t>
        </is>
      </c>
      <c r="B38" t="inlineStr">
        <is>
          <t>Compare</t>
        </is>
      </c>
      <c r="C38" s="24" t="inlineStr">
        <is>
          <t>Check whether models agree or diverge.</t>
        </is>
      </c>
    </row>
    <row r="39">
      <c r="A39" t="inlineStr">
        <is>
          <t>4</t>
        </is>
      </c>
      <c r="B39" t="inlineStr">
        <is>
          <t>Validate</t>
        </is>
      </c>
      <c r="C39" s="24" t="inlineStr">
        <is>
          <t>Measure errors on known historical periods where possible.</t>
        </is>
      </c>
    </row>
    <row r="40">
      <c r="A40" t="inlineStr">
        <is>
          <t>5</t>
        </is>
      </c>
      <c r="B40" t="inlineStr">
        <is>
          <t>Decide</t>
        </is>
      </c>
      <c r="C40" s="24" t="inlineStr">
        <is>
          <t>Use the forecast to plan capacity, liquidity and campaigns.</t>
        </is>
      </c>
    </row>
    <row r="41">
      <c r="A41" t="inlineStr">
        <is>
          <t>6</t>
        </is>
      </c>
      <c r="B41" t="inlineStr">
        <is>
          <t>Review</t>
        </is>
      </c>
      <c r="C41" s="24" t="inlineStr">
        <is>
          <t>Update the forecast when new actual data arrives.</t>
        </is>
      </c>
    </row>
  </sheetData>
  <mergeCells count="28">
    <mergeCell ref="A9:H9"/>
    <mergeCell ref="C41:H41"/>
    <mergeCell ref="A30:H30"/>
    <mergeCell ref="A15:H15"/>
    <mergeCell ref="C40:H40"/>
    <mergeCell ref="A11:H11"/>
    <mergeCell ref="A1:H1"/>
    <mergeCell ref="B20:H20"/>
    <mergeCell ref="C36:H36"/>
    <mergeCell ref="C39:H39"/>
    <mergeCell ref="A27:H27"/>
    <mergeCell ref="A12:H12"/>
    <mergeCell ref="A18:H18"/>
    <mergeCell ref="A4:H7"/>
    <mergeCell ref="A3:H3"/>
    <mergeCell ref="B22:H22"/>
    <mergeCell ref="A26:H26"/>
    <mergeCell ref="C38:H38"/>
    <mergeCell ref="B21:H21"/>
    <mergeCell ref="C37:H37"/>
    <mergeCell ref="A14:H14"/>
    <mergeCell ref="B23:H23"/>
    <mergeCell ref="A29:H29"/>
    <mergeCell ref="A10:H10"/>
    <mergeCell ref="A28:H28"/>
    <mergeCell ref="A13:H13"/>
    <mergeCell ref="A31:H31"/>
    <mergeCell ref="A34:H34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4" customHeight="1">
      <c r="A1" s="29" t="inlineStr">
        <is>
          <t>AI GUIDE — FORECASTING WITH A BANKING DATASET</t>
        </is>
      </c>
    </row>
    <row r="3">
      <c r="A3" s="10" t="inlineStr">
        <is>
          <t>COPY-READY PROMPTS</t>
        </is>
      </c>
    </row>
    <row r="4">
      <c r="A4" s="30" t="inlineStr">
        <is>
          <t>Prompt</t>
        </is>
      </c>
      <c r="B4" s="30" t="inlineStr">
        <is>
          <t>Use with your dataset</t>
        </is>
      </c>
    </row>
    <row r="5">
      <c r="A5" s="31" t="inlineStr">
        <is>
          <t>1 • Explore</t>
        </is>
      </c>
      <c r="B5" s="32" t="inlineStr">
        <is>
          <t>Analyze this banking loan-disbursement dataset. Identify trend, seasonality, outliers and structural changes. Use exact months and numbers.</t>
        </is>
      </c>
    </row>
    <row r="6">
      <c r="A6" s="31" t="inlineStr">
        <is>
          <t>2 • Compare</t>
        </is>
      </c>
      <c r="B6" s="32" t="inlineStr">
        <is>
          <t>Compare FORECAST.LINEAR, FORECAST.ETS and a 3-month moving average. Explain why the forecasts differ and which method is more appropriate for this dataset.</t>
        </is>
      </c>
    </row>
    <row r="7">
      <c r="A7" s="31" t="inlineStr">
        <is>
          <t>3 • Challenge</t>
        </is>
      </c>
      <c r="B7" s="32" t="inlineStr">
        <is>
          <t>Act as a skeptical banking CFO. Challenge the forecast. What assumptions could make it wrong? What external variables should we consider?</t>
        </is>
      </c>
    </row>
    <row r="8">
      <c r="A8" s="31" t="inlineStr">
        <is>
          <t>4 • Scenario</t>
        </is>
      </c>
      <c r="B8" s="32" t="inlineStr">
        <is>
          <t>Create Base, Upside and Downside scenarios for the next six months. Clearly label assumptions and do not invent historical facts.</t>
        </is>
      </c>
    </row>
    <row r="9">
      <c r="A9" s="31" t="inlineStr">
        <is>
          <t>5 • Story</t>
        </is>
      </c>
      <c r="B9" s="32" t="inlineStr">
        <is>
          <t>Turn the validated forecast into an executive story: What is expected? Why? What is the business impact? What should management do?</t>
        </is>
      </c>
    </row>
    <row r="10">
      <c r="A10" s="31" t="inlineStr">
        <is>
          <t>6 • Action</t>
        </is>
      </c>
      <c r="B10" s="32" t="inlineStr">
        <is>
          <t>Based only on the validated forecast, recommend actions for staffing, liquidity, marketing and branch capacity.</t>
        </is>
      </c>
    </row>
    <row r="13">
      <c r="A13" s="22" t="inlineStr">
        <is>
          <t>AI SAFETY RULES FOR FORECASTING</t>
        </is>
      </c>
    </row>
    <row r="14">
      <c r="A14" s="24" t="inlineStr">
        <is>
          <t>⚠ Never treat an AI-generated number as evidence until it can be reproduced in Excel.</t>
        </is>
      </c>
    </row>
    <row r="15">
      <c r="A15" s="24" t="inlineStr">
        <is>
          <t>⚠ Separate historical facts, model output, assumptions and recommendations.</t>
        </is>
      </c>
    </row>
    <row r="16">
      <c r="A16" s="24" t="inlineStr">
        <is>
          <t>⚠ Ask AI to show the formula or calculation logic.</t>
        </is>
      </c>
    </row>
    <row r="17">
      <c r="A17" s="24" t="inlineStr">
        <is>
          <t>⚠ Validate unusual forecast jumps against business events.</t>
        </is>
      </c>
    </row>
    <row r="18">
      <c r="A18" s="24" t="inlineStr">
        <is>
          <t>⚠ Use multiple methods when the decision is financially important.</t>
        </is>
      </c>
    </row>
    <row r="21">
      <c r="A21" s="19" t="inlineStr">
        <is>
          <t>LEARNER ACTIVITY</t>
        </is>
      </c>
    </row>
    <row r="22">
      <c r="A22" s="24" t="inlineStr">
        <is>
          <t>1. Open BANKING_DATASET and inspect the 18 months of actual loan disbursement data.</t>
        </is>
      </c>
    </row>
    <row r="23">
      <c r="A23" s="24" t="inlineStr">
        <is>
          <t>2. Open FORECAST_MODEL and identify the formulas in the historical and future rows.</t>
        </is>
      </c>
    </row>
    <row r="24">
      <c r="A24" s="24" t="inlineStr">
        <is>
          <t>3. Compare Linear, ETS, Trend and Moving Average forecasts for Jul–Dec 2026.</t>
        </is>
      </c>
    </row>
    <row r="25">
      <c r="A25" s="24" t="inlineStr">
        <is>
          <t>4. Decide which forecast you would use for bank planning and explain why.</t>
        </is>
      </c>
    </row>
    <row r="26">
      <c r="A26" s="24" t="inlineStr">
        <is>
          <t>5. Use one AI prompt from this sheet to challenge your decision.</t>
        </is>
      </c>
    </row>
    <row r="27">
      <c r="A27" s="24" t="inlineStr">
        <is>
          <t>6. Write a final management recommendation in 5–7 sentences.</t>
        </is>
      </c>
    </row>
  </sheetData>
  <mergeCells count="21">
    <mergeCell ref="B9:H9"/>
    <mergeCell ref="A15:H15"/>
    <mergeCell ref="A24:H24"/>
    <mergeCell ref="B6:H6"/>
    <mergeCell ref="A1:H1"/>
    <mergeCell ref="B5:H5"/>
    <mergeCell ref="A25:H25"/>
    <mergeCell ref="A16:H16"/>
    <mergeCell ref="B7:H7"/>
    <mergeCell ref="A27:H27"/>
    <mergeCell ref="A18:H18"/>
    <mergeCell ref="A3:H3"/>
    <mergeCell ref="A21:H21"/>
    <mergeCell ref="A26:H26"/>
    <mergeCell ref="A14:H14"/>
    <mergeCell ref="A23:H23"/>
    <mergeCell ref="A22:H22"/>
    <mergeCell ref="A17:H17"/>
    <mergeCell ref="B8:H8"/>
    <mergeCell ref="A13:H13"/>
    <mergeCell ref="B10:H10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Level 5 Chapter 5 — Banking Forecasting &amp; Predictive Analytics with Excel &amp; AI</dc:title>
  <dc:subject xmlns:dc="http://purl.org/dc/elements/1.1/">Banking loan demand forecasting with Excel formulas and AI workflow</dc:subject>
  <dcterms:created xmlns:dcterms="http://purl.org/dc/terms/" xmlns:xsi="http://www.w3.org/2001/XMLSchema-instance" xsi:type="dcterms:W3CDTF">2026-08-25T14:10:07Z</dcterms:created>
  <dcterms:modified xmlns:dcterms="http://purl.org/dc/terms/" xmlns:xsi="http://www.w3.org/2001/XMLSchema-instance" xsi:type="dcterms:W3CDTF">2026-08-25T14:10:07Z</dcterms:modified>
</cp:coreProperties>
</file>