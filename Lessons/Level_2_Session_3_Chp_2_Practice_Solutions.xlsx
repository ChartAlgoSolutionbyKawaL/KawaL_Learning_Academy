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 Practice" sheetId="1" state="visible" r:id="rId1"/>
    <sheet xmlns:r="http://schemas.openxmlformats.org/officeDocument/2006/relationships" name="Healthcare Practice" sheetId="2" state="visible" r:id="rId2"/>
    <sheet xmlns:r="http://schemas.openxmlformats.org/officeDocument/2006/relationships" name="Education Practice" sheetId="3" state="visible" r:id="rId3"/>
    <sheet xmlns:r="http://schemas.openxmlformats.org/officeDocument/2006/relationships" name="Sol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EA580C"/>
      <sz val="14"/>
    </font>
  </fonts>
  <fills count="4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hipments" displayName="Shipments" ref="A4:H12" headerRowCount="1">
  <autoFilter ref="A4:H12"/>
  <tableColumns count="8">
    <tableColumn id="1" name="Shipment ID"/>
    <tableColumn id="2" name="Customer"/>
    <tableColumn id="3" name="Carrier Code"/>
    <tableColumn id="4" name="Route"/>
    <tableColumn id="5" name="Service"/>
    <tableColumn id="6" name="Weight KG"/>
    <tableColumn id="7" name="Status"/>
    <tableColumn id="8" name="Tracking Ref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Carriers" displayName="Carriers" ref="A15:D19" headerRowCount="1">
  <autoFilter ref="A15:D19"/>
  <tableColumns count="4">
    <tableColumn id="1" name="Carrier Code"/>
    <tableColumn id="2" name="Carrier Name"/>
    <tableColumn id="3" name="SLA Days"/>
    <tableColumn id="4" name="Rating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Appointments" displayName="Appointments" ref="A4:G12" headerRowCount="1">
  <autoFilter ref="A4:G12"/>
  <tableColumns count="7">
    <tableColumn id="1" name="Appointment ID"/>
    <tableColumn id="2" name="Patient"/>
    <tableColumn id="3" name="Doctor ID"/>
    <tableColumn id="4" name="Visit Type"/>
    <tableColumn id="5" name="Date"/>
    <tableColumn id="6" name="Department"/>
    <tableColumn id="7" name="Status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Doctors" displayName="Doctors" ref="A15:E20" headerRowCount="1">
  <autoFilter ref="A15:E20"/>
  <tableColumns count="5">
    <tableColumn id="1" name="Doctor ID"/>
    <tableColumn id="2" name="Doctor Name"/>
    <tableColumn id="3" name="Specialization"/>
    <tableColumn id="4" name="Room"/>
    <tableColumn id="5" name="Consult Fee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Students" displayName="Students" ref="A4:G12" headerRowCount="1">
  <autoFilter ref="A4:G12"/>
  <tableColumns count="7">
    <tableColumn id="1" name="Student ID"/>
    <tableColumn id="2" name="Student Name"/>
    <tableColumn id="3" name="Course Code"/>
    <tableColumn id="4" name="Assessment"/>
    <tableColumn id="5" name="Marks"/>
    <tableColumn id="6" name="Term"/>
    <tableColumn id="7" name="Result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Courses" displayName="Courses" ref="A15:E19" headerRowCount="1">
  <autoFilter ref="A15:E19"/>
  <tableColumns count="5">
    <tableColumn id="1" name="Course Code"/>
    <tableColumn id="2" name="Course Name"/>
    <tableColumn id="3" name="Category"/>
    <tableColumn id="4" name="Duration Hrs"/>
    <tableColumn id="5" name="Trainer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8" customWidth="1" min="3" max="3"/>
    <col width="32" customWidth="1" min="4" max="4"/>
    <col width="20" customWidth="1" min="5" max="5"/>
    <col width="20" customWidth="1" min="6" max="6"/>
    <col width="20" customWidth="1" min="7" max="7"/>
    <col width="25" customWidth="1" min="8" max="8"/>
  </cols>
  <sheetData>
    <row r="1">
      <c r="A1" s="1" t="inlineStr">
        <is>
          <t>LEVEL 2 • SESSION 3 • CHAPTER 2 — XLOOKUP</t>
        </is>
      </c>
    </row>
    <row r="2">
      <c r="A2" t="inlineStr">
        <is>
          <t>Another practice set — attempt the questions before checking Solutions.</t>
        </is>
      </c>
    </row>
    <row r="4">
      <c r="A4" s="2" t="inlineStr">
        <is>
          <t>Shipment ID</t>
        </is>
      </c>
      <c r="B4" s="2" t="inlineStr">
        <is>
          <t>Customer</t>
        </is>
      </c>
      <c r="C4" s="2" t="inlineStr">
        <is>
          <t>Carrier Code</t>
        </is>
      </c>
      <c r="D4" s="2" t="inlineStr">
        <is>
          <t>Route</t>
        </is>
      </c>
      <c r="E4" s="2" t="inlineStr">
        <is>
          <t>Service</t>
        </is>
      </c>
      <c r="F4" s="2" t="inlineStr">
        <is>
          <t>Weight KG</t>
        </is>
      </c>
      <c r="G4" s="2" t="inlineStr">
        <is>
          <t>Status</t>
        </is>
      </c>
      <c r="H4" s="2" t="inlineStr">
        <is>
          <t>Tracking Ref</t>
        </is>
      </c>
    </row>
    <row r="5">
      <c r="A5" t="inlineStr">
        <is>
          <t>SHP2001</t>
        </is>
      </c>
      <c r="B5" t="inlineStr">
        <is>
          <t>NorthStar Retail</t>
        </is>
      </c>
      <c r="C5" t="inlineStr">
        <is>
          <t>CAR01</t>
        </is>
      </c>
      <c r="D5" t="inlineStr">
        <is>
          <t>Mumbai → Delhi</t>
        </is>
      </c>
      <c r="E5" t="inlineStr">
        <is>
          <t>Express</t>
        </is>
      </c>
      <c r="F5" t="n">
        <v>42</v>
      </c>
      <c r="G5" t="inlineStr">
        <is>
          <t>In Transit</t>
        </is>
      </c>
      <c r="H5" t="inlineStr">
        <is>
          <t>TRK-MH-001</t>
        </is>
      </c>
    </row>
    <row r="6">
      <c r="A6" t="inlineStr">
        <is>
          <t>SHP2002</t>
        </is>
      </c>
      <c r="B6" t="inlineStr">
        <is>
          <t>MetroMart</t>
        </is>
      </c>
      <c r="C6" t="inlineStr">
        <is>
          <t>CAR03</t>
        </is>
      </c>
      <c r="D6" t="inlineStr">
        <is>
          <t>Pune → Mumbai</t>
        </is>
      </c>
      <c r="E6" t="inlineStr">
        <is>
          <t>Standard</t>
        </is>
      </c>
      <c r="F6" t="n">
        <v>18</v>
      </c>
      <c r="G6" t="inlineStr">
        <is>
          <t>Delivered</t>
        </is>
      </c>
      <c r="H6" t="inlineStr">
        <is>
          <t>TRK-MH-002</t>
        </is>
      </c>
    </row>
    <row r="7">
      <c r="A7" t="inlineStr">
        <is>
          <t>SHP2003</t>
        </is>
      </c>
      <c r="B7" t="inlineStr">
        <is>
          <t>BluePeak Foods</t>
        </is>
      </c>
      <c r="C7" t="inlineStr">
        <is>
          <t>CAR02</t>
        </is>
      </c>
      <c r="D7" t="inlineStr">
        <is>
          <t>Delhi → Jaipur</t>
        </is>
      </c>
      <c r="E7" t="inlineStr">
        <is>
          <t>Express</t>
        </is>
      </c>
      <c r="F7" t="n">
        <v>65</v>
      </c>
      <c r="G7" t="inlineStr">
        <is>
          <t>In Transit</t>
        </is>
      </c>
      <c r="H7" t="inlineStr">
        <is>
          <t>TRK-DL-003</t>
        </is>
      </c>
    </row>
    <row r="8">
      <c r="A8" t="inlineStr">
        <is>
          <t>SHP2004</t>
        </is>
      </c>
      <c r="B8" t="inlineStr">
        <is>
          <t>UrbanHome</t>
        </is>
      </c>
      <c r="C8" t="inlineStr">
        <is>
          <t>CAR04</t>
        </is>
      </c>
      <c r="D8" t="inlineStr">
        <is>
          <t>Bengaluru → Chennai</t>
        </is>
      </c>
      <c r="E8" t="inlineStr">
        <is>
          <t>Economy</t>
        </is>
      </c>
      <c r="F8" t="n">
        <v>31</v>
      </c>
      <c r="G8" t="inlineStr">
        <is>
          <t>Delayed</t>
        </is>
      </c>
      <c r="H8" t="inlineStr">
        <is>
          <t>TRK-KA-004</t>
        </is>
      </c>
    </row>
    <row r="9">
      <c r="A9" t="inlineStr">
        <is>
          <t>SHP2005</t>
        </is>
      </c>
      <c r="B9" t="inlineStr">
        <is>
          <t>Prime Electronics</t>
        </is>
      </c>
      <c r="C9" t="inlineStr">
        <is>
          <t>CAR01</t>
        </is>
      </c>
      <c r="D9" t="inlineStr">
        <is>
          <t>Mumbai → Surat</t>
        </is>
      </c>
      <c r="E9" t="inlineStr">
        <is>
          <t>Express</t>
        </is>
      </c>
      <c r="F9" t="n">
        <v>27</v>
      </c>
      <c r="G9" t="inlineStr">
        <is>
          <t>Delivered</t>
        </is>
      </c>
      <c r="H9" t="inlineStr">
        <is>
          <t>TRK-MH-005</t>
        </is>
      </c>
    </row>
    <row r="10">
      <c r="A10" t="inlineStr">
        <is>
          <t>SHP2006</t>
        </is>
      </c>
      <c r="B10" t="inlineStr">
        <is>
          <t>GreenBasket</t>
        </is>
      </c>
      <c r="C10" t="inlineStr">
        <is>
          <t>CAR02</t>
        </is>
      </c>
      <c r="D10" t="inlineStr">
        <is>
          <t>Delhi → Lucknow</t>
        </is>
      </c>
      <c r="E10" t="inlineStr">
        <is>
          <t>Standard</t>
        </is>
      </c>
      <c r="F10" t="n">
        <v>55</v>
      </c>
      <c r="G10" t="inlineStr">
        <is>
          <t>In Transit</t>
        </is>
      </c>
      <c r="H10" t="inlineStr">
        <is>
          <t>TRK-DL-006</t>
        </is>
      </c>
    </row>
    <row r="11">
      <c r="A11" t="inlineStr">
        <is>
          <t>SHP2007</t>
        </is>
      </c>
      <c r="B11" t="inlineStr">
        <is>
          <t>CityPharma</t>
        </is>
      </c>
      <c r="C11" t="inlineStr">
        <is>
          <t>CAR04</t>
        </is>
      </c>
      <c r="D11" t="inlineStr">
        <is>
          <t>Hyderabad → Bengaluru</t>
        </is>
      </c>
      <c r="E11" t="inlineStr">
        <is>
          <t>Express</t>
        </is>
      </c>
      <c r="F11" t="n">
        <v>22</v>
      </c>
      <c r="G11" t="inlineStr">
        <is>
          <t>Delivered</t>
        </is>
      </c>
      <c r="H11" t="inlineStr">
        <is>
          <t>TRK-TS-007</t>
        </is>
      </c>
    </row>
    <row r="12">
      <c r="A12" t="inlineStr">
        <is>
          <t>SHP2008</t>
        </is>
      </c>
      <c r="B12" t="inlineStr">
        <is>
          <t>Nova Furnishings</t>
        </is>
      </c>
      <c r="C12" t="inlineStr">
        <is>
          <t>CAR03</t>
        </is>
      </c>
      <c r="D12" t="inlineStr">
        <is>
          <t>Pune → Goa</t>
        </is>
      </c>
      <c r="E12" t="inlineStr">
        <is>
          <t>Economy</t>
        </is>
      </c>
      <c r="F12" t="n">
        <v>76</v>
      </c>
      <c r="G12" t="inlineStr">
        <is>
          <t>Delayed</t>
        </is>
      </c>
      <c r="H12" t="inlineStr">
        <is>
          <t>TRK-MH-008</t>
        </is>
      </c>
    </row>
    <row r="15">
      <c r="A15" s="2" t="inlineStr">
        <is>
          <t>Carrier Code</t>
        </is>
      </c>
      <c r="B15" s="2" t="inlineStr">
        <is>
          <t>Carrier Name</t>
        </is>
      </c>
      <c r="C15" s="2" t="inlineStr">
        <is>
          <t>SLA Days</t>
        </is>
      </c>
      <c r="D15" s="2" t="inlineStr">
        <is>
          <t>Rating</t>
        </is>
      </c>
    </row>
    <row r="16">
      <c r="A16" t="inlineStr">
        <is>
          <t>CAR01</t>
        </is>
      </c>
      <c r="B16" t="inlineStr">
        <is>
          <t>SwiftLogix</t>
        </is>
      </c>
      <c r="C16" t="n">
        <v>2</v>
      </c>
      <c r="D16" t="n">
        <v>4.8</v>
      </c>
    </row>
    <row r="17">
      <c r="A17" t="inlineStr">
        <is>
          <t>CAR02</t>
        </is>
      </c>
      <c r="B17" t="inlineStr">
        <is>
          <t>BlueDart Express</t>
        </is>
      </c>
      <c r="C17" t="n">
        <v>3</v>
      </c>
      <c r="D17" t="n">
        <v>4.6</v>
      </c>
    </row>
    <row r="18">
      <c r="A18" t="inlineStr">
        <is>
          <t>CAR03</t>
        </is>
      </c>
      <c r="B18" t="inlineStr">
        <is>
          <t>MetroFreight</t>
        </is>
      </c>
      <c r="C18" t="n">
        <v>4</v>
      </c>
      <c r="D18" t="n">
        <v>4.2</v>
      </c>
    </row>
    <row r="19">
      <c r="A19" t="inlineStr">
        <is>
          <t>CAR04</t>
        </is>
      </c>
      <c r="B19" t="inlineStr">
        <is>
          <t>SouthLine Logistics</t>
        </is>
      </c>
      <c r="C19" t="n">
        <v>5</v>
      </c>
      <c r="D19" t="n">
        <v>4</v>
      </c>
    </row>
    <row r="22">
      <c r="A22" s="3" t="inlineStr">
        <is>
          <t>PRACTICE QUESTIONS</t>
        </is>
      </c>
    </row>
    <row r="23">
      <c r="A23" t="inlineStr">
        <is>
          <t>1.</t>
        </is>
      </c>
      <c r="B23" s="4" t="inlineStr">
        <is>
          <t>Return Customer from Shipment ID.</t>
        </is>
      </c>
    </row>
    <row r="24">
      <c r="A24" t="inlineStr">
        <is>
          <t>2.</t>
        </is>
      </c>
      <c r="B24" s="4" t="inlineStr">
        <is>
          <t>Return Carrier Name from Carrier Code.</t>
        </is>
      </c>
    </row>
    <row r="25">
      <c r="A25" t="inlineStr">
        <is>
          <t>3.</t>
        </is>
      </c>
      <c r="B25" s="4" t="inlineStr">
        <is>
          <t>Return SLA Days and Rating from Carrier Code.</t>
        </is>
      </c>
    </row>
    <row r="26">
      <c r="A26" t="inlineStr">
        <is>
          <t>4.</t>
        </is>
      </c>
      <c r="B26" s="4" t="inlineStr">
        <is>
          <t>Reverse lookup: return Shipment ID from Tracking Ref.</t>
        </is>
      </c>
    </row>
    <row r="27">
      <c r="A27" t="inlineStr">
        <is>
          <t>5.</t>
        </is>
      </c>
      <c r="B27" s="4" t="inlineStr">
        <is>
          <t>Use IF_NOT_FOUND for an invalid Carrier Code.</t>
        </is>
      </c>
    </row>
    <row r="28">
      <c r="A28" t="inlineStr">
        <is>
          <t>6.</t>
        </is>
      </c>
      <c r="B28" s="4" t="inlineStr">
        <is>
          <t>Build a dynamic summary using one Shipment ID input.</t>
        </is>
      </c>
    </row>
    <row r="29">
      <c r="A29" t="inlineStr">
        <is>
          <t>7.</t>
        </is>
      </c>
      <c r="B29" s="4" t="inlineStr">
        <is>
          <t>Challenge: return Carrier Name + SLA + Rating with one XLOOKUP that spills multiple columns.</t>
        </is>
      </c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8" customWidth="1" min="3" max="3"/>
    <col width="32" customWidth="1" min="4" max="4"/>
    <col width="20" customWidth="1" min="5" max="5"/>
    <col width="20" customWidth="1" min="6" max="6"/>
    <col width="20" customWidth="1" min="7" max="7"/>
    <col width="25" customWidth="1" min="8" max="8"/>
  </cols>
  <sheetData>
    <row r="1">
      <c r="A1" s="1" t="inlineStr">
        <is>
          <t>LEVEL 2 • SESSION 3 • CHAPTER 2 — XLOOKUP</t>
        </is>
      </c>
    </row>
    <row r="2">
      <c r="A2" t="inlineStr">
        <is>
          <t>Another practice set — attempt the questions before checking Solutions.</t>
        </is>
      </c>
    </row>
    <row r="4">
      <c r="A4" s="2" t="inlineStr">
        <is>
          <t>Appointment ID</t>
        </is>
      </c>
      <c r="B4" s="2" t="inlineStr">
        <is>
          <t>Patient</t>
        </is>
      </c>
      <c r="C4" s="2" t="inlineStr">
        <is>
          <t>Doctor ID</t>
        </is>
      </c>
      <c r="D4" s="2" t="inlineStr">
        <is>
          <t>Visit Type</t>
        </is>
      </c>
      <c r="E4" s="2" t="inlineStr">
        <is>
          <t>Date</t>
        </is>
      </c>
      <c r="F4" s="2" t="inlineStr">
        <is>
          <t>Department</t>
        </is>
      </c>
      <c r="G4" s="2" t="inlineStr">
        <is>
          <t>Status</t>
        </is>
      </c>
    </row>
    <row r="5">
      <c r="A5" t="inlineStr">
        <is>
          <t>APT501</t>
        </is>
      </c>
      <c r="B5" t="inlineStr">
        <is>
          <t>Aisha Khan</t>
        </is>
      </c>
      <c r="C5" t="inlineStr">
        <is>
          <t>DOC01</t>
        </is>
      </c>
      <c r="D5" t="inlineStr">
        <is>
          <t>Consultation</t>
        </is>
      </c>
      <c r="E5" t="inlineStr">
        <is>
          <t>31-Aug-2026</t>
        </is>
      </c>
      <c r="F5" t="inlineStr">
        <is>
          <t>Cardiology</t>
        </is>
      </c>
      <c r="G5" t="inlineStr">
        <is>
          <t>Confirmed</t>
        </is>
      </c>
    </row>
    <row r="6">
      <c r="A6" t="inlineStr">
        <is>
          <t>APT502</t>
        </is>
      </c>
      <c r="B6" t="inlineStr">
        <is>
          <t>Rohan Shah</t>
        </is>
      </c>
      <c r="C6" t="inlineStr">
        <is>
          <t>DOC03</t>
        </is>
      </c>
      <c r="D6" t="inlineStr">
        <is>
          <t>Follow-up</t>
        </is>
      </c>
      <c r="E6" t="inlineStr">
        <is>
          <t>31-Aug-2026</t>
        </is>
      </c>
      <c r="F6" t="inlineStr">
        <is>
          <t>Orthopedics</t>
        </is>
      </c>
      <c r="G6" t="inlineStr">
        <is>
          <t>Completed</t>
        </is>
      </c>
    </row>
    <row r="7">
      <c r="A7" t="inlineStr">
        <is>
          <t>APT503</t>
        </is>
      </c>
      <c r="B7" t="inlineStr">
        <is>
          <t>Meera Iyer</t>
        </is>
      </c>
      <c r="C7" t="inlineStr">
        <is>
          <t>DOC02</t>
        </is>
      </c>
      <c r="D7" t="inlineStr">
        <is>
          <t>Consultation</t>
        </is>
      </c>
      <c r="E7" t="inlineStr">
        <is>
          <t>01-Sep-2026</t>
        </is>
      </c>
      <c r="F7" t="inlineStr">
        <is>
          <t>Neurology</t>
        </is>
      </c>
      <c r="G7" t="inlineStr">
        <is>
          <t>Confirmed</t>
        </is>
      </c>
    </row>
    <row r="8">
      <c r="A8" t="inlineStr">
        <is>
          <t>APT504</t>
        </is>
      </c>
      <c r="B8" t="inlineStr">
        <is>
          <t>Kabir Verma</t>
        </is>
      </c>
      <c r="C8" t="inlineStr">
        <is>
          <t>DOC04</t>
        </is>
      </c>
      <c r="D8" t="inlineStr">
        <is>
          <t>Emergency</t>
        </is>
      </c>
      <c r="E8" t="inlineStr">
        <is>
          <t>01-Sep-2026</t>
        </is>
      </c>
      <c r="F8" t="inlineStr">
        <is>
          <t>General Medicine</t>
        </is>
      </c>
      <c r="G8" t="inlineStr">
        <is>
          <t>Open</t>
        </is>
      </c>
    </row>
    <row r="9">
      <c r="A9" t="inlineStr">
        <is>
          <t>APT505</t>
        </is>
      </c>
      <c r="B9" t="inlineStr">
        <is>
          <t>Diya Patel</t>
        </is>
      </c>
      <c r="C9" t="inlineStr">
        <is>
          <t>DOC01</t>
        </is>
      </c>
      <c r="D9" t="inlineStr">
        <is>
          <t>Follow-up</t>
        </is>
      </c>
      <c r="E9" t="inlineStr">
        <is>
          <t>02-Sep-2026</t>
        </is>
      </c>
      <c r="F9" t="inlineStr">
        <is>
          <t>Cardiology</t>
        </is>
      </c>
      <c r="G9" t="inlineStr">
        <is>
          <t>Confirmed</t>
        </is>
      </c>
    </row>
    <row r="10">
      <c r="A10" t="inlineStr">
        <is>
          <t>APT506</t>
        </is>
      </c>
      <c r="B10" t="inlineStr">
        <is>
          <t>Arjun Mehta</t>
        </is>
      </c>
      <c r="C10" t="inlineStr">
        <is>
          <t>DOC05</t>
        </is>
      </c>
      <c r="D10" t="inlineStr">
        <is>
          <t>Consultation</t>
        </is>
      </c>
      <c r="E10" t="inlineStr">
        <is>
          <t>02-Sep-2026</t>
        </is>
      </c>
      <c r="F10" t="inlineStr">
        <is>
          <t>Pediatrics</t>
        </is>
      </c>
      <c r="G10" t="inlineStr">
        <is>
          <t>Confirmed</t>
        </is>
      </c>
    </row>
    <row r="11">
      <c r="A11" t="inlineStr">
        <is>
          <t>APT507</t>
        </is>
      </c>
      <c r="B11" t="inlineStr">
        <is>
          <t>Neha Rao</t>
        </is>
      </c>
      <c r="C11" t="inlineStr">
        <is>
          <t>DOC03</t>
        </is>
      </c>
      <c r="D11" t="inlineStr">
        <is>
          <t>Consultation</t>
        </is>
      </c>
      <c r="E11" t="inlineStr">
        <is>
          <t>03-Sep-2026</t>
        </is>
      </c>
      <c r="F11" t="inlineStr">
        <is>
          <t>Orthopedics</t>
        </is>
      </c>
      <c r="G11" t="inlineStr">
        <is>
          <t>Cancelled</t>
        </is>
      </c>
    </row>
    <row r="12">
      <c r="A12" t="inlineStr">
        <is>
          <t>APT508</t>
        </is>
      </c>
      <c r="B12" t="inlineStr">
        <is>
          <t>Vikram Joshi</t>
        </is>
      </c>
      <c r="C12" t="inlineStr">
        <is>
          <t>DOC02</t>
        </is>
      </c>
      <c r="D12" t="inlineStr">
        <is>
          <t>Follow-up</t>
        </is>
      </c>
      <c r="E12" t="inlineStr">
        <is>
          <t>03-Sep-2026</t>
        </is>
      </c>
      <c r="F12" t="inlineStr">
        <is>
          <t>Neurology</t>
        </is>
      </c>
      <c r="G12" t="inlineStr">
        <is>
          <t>Confirmed</t>
        </is>
      </c>
    </row>
    <row r="15">
      <c r="A15" s="2" t="inlineStr">
        <is>
          <t>Doctor ID</t>
        </is>
      </c>
      <c r="B15" s="2" t="inlineStr">
        <is>
          <t>Doctor Name</t>
        </is>
      </c>
      <c r="C15" s="2" t="inlineStr">
        <is>
          <t>Specialization</t>
        </is>
      </c>
      <c r="D15" s="2" t="inlineStr">
        <is>
          <t>Room</t>
        </is>
      </c>
      <c r="E15" s="2" t="inlineStr">
        <is>
          <t>Consult Fee</t>
        </is>
      </c>
    </row>
    <row r="16">
      <c r="A16" t="inlineStr">
        <is>
          <t>DOC01</t>
        </is>
      </c>
      <c r="B16" t="inlineStr">
        <is>
          <t>Dr. Kavita Rao</t>
        </is>
      </c>
      <c r="C16" t="inlineStr">
        <is>
          <t>Cardiology</t>
        </is>
      </c>
      <c r="D16" t="inlineStr">
        <is>
          <t>C-201</t>
        </is>
      </c>
      <c r="E16" t="n">
        <v>1200</v>
      </c>
    </row>
    <row r="17">
      <c r="A17" t="inlineStr">
        <is>
          <t>DOC02</t>
        </is>
      </c>
      <c r="B17" t="inlineStr">
        <is>
          <t>Dr. Sameer Iyer</t>
        </is>
      </c>
      <c r="C17" t="inlineStr">
        <is>
          <t>Neurology</t>
        </is>
      </c>
      <c r="D17" t="inlineStr">
        <is>
          <t>N-104</t>
        </is>
      </c>
      <c r="E17" t="n">
        <v>1500</v>
      </c>
    </row>
    <row r="18">
      <c r="A18" t="inlineStr">
        <is>
          <t>DOC03</t>
        </is>
      </c>
      <c r="B18" t="inlineStr">
        <is>
          <t>Dr. Anil Mehta</t>
        </is>
      </c>
      <c r="C18" t="inlineStr">
        <is>
          <t>Orthopedics</t>
        </is>
      </c>
      <c r="D18" t="inlineStr">
        <is>
          <t>O-305</t>
        </is>
      </c>
      <c r="E18" t="n">
        <v>1000</v>
      </c>
    </row>
    <row r="19">
      <c r="A19" t="inlineStr">
        <is>
          <t>DOC04</t>
        </is>
      </c>
      <c r="B19" t="inlineStr">
        <is>
          <t>Dr. Priya Shah</t>
        </is>
      </c>
      <c r="C19" t="inlineStr">
        <is>
          <t>General Medicine</t>
        </is>
      </c>
      <c r="D19" t="inlineStr">
        <is>
          <t>G-110</t>
        </is>
      </c>
      <c r="E19" t="n">
        <v>700</v>
      </c>
    </row>
    <row r="20">
      <c r="A20" t="inlineStr">
        <is>
          <t>DOC05</t>
        </is>
      </c>
      <c r="B20" t="inlineStr">
        <is>
          <t>Dr. Rakesh Nair</t>
        </is>
      </c>
      <c r="C20" t="inlineStr">
        <is>
          <t>Pediatrics</t>
        </is>
      </c>
      <c r="D20" t="inlineStr">
        <is>
          <t>P-202</t>
        </is>
      </c>
      <c r="E20" t="n">
        <v>900</v>
      </c>
    </row>
    <row r="23">
      <c r="A23" s="3" t="inlineStr">
        <is>
          <t>PRACTICE QUESTIONS</t>
        </is>
      </c>
    </row>
    <row r="24">
      <c r="A24" t="inlineStr">
        <is>
          <t>1.</t>
        </is>
      </c>
      <c r="B24" s="4" t="inlineStr">
        <is>
          <t>Return Patient from Appointment ID.</t>
        </is>
      </c>
    </row>
    <row r="25">
      <c r="A25" t="inlineStr">
        <is>
          <t>2.</t>
        </is>
      </c>
      <c r="B25" s="4" t="inlineStr">
        <is>
          <t>Return Doctor Name, Specialization and Fee from Doctor ID.</t>
        </is>
      </c>
    </row>
    <row r="26">
      <c r="A26" t="inlineStr">
        <is>
          <t>3.</t>
        </is>
      </c>
      <c r="B26" s="4" t="inlineStr">
        <is>
          <t>Reverse lookup: return Doctor ID from Doctor Name.</t>
        </is>
      </c>
    </row>
    <row r="27">
      <c r="A27" t="inlineStr">
        <is>
          <t>4.</t>
        </is>
      </c>
      <c r="B27" s="4" t="inlineStr">
        <is>
          <t>Use IF_NOT_FOUND for an invalid Doctor ID.</t>
        </is>
      </c>
    </row>
    <row r="28">
      <c r="A28" t="inlineStr">
        <is>
          <t>5.</t>
        </is>
      </c>
      <c r="B28" s="4" t="inlineStr">
        <is>
          <t>Build a dynamic appointment summary.</t>
        </is>
      </c>
    </row>
    <row r="29">
      <c r="A29" t="inlineStr">
        <is>
          <t>6.</t>
        </is>
      </c>
      <c r="B29" s="4" t="inlineStr">
        <is>
          <t>Challenge: return Doctor Name + Specialization + Room with one XLOOKUP spill.</t>
        </is>
      </c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8" customWidth="1" min="3" max="3"/>
    <col width="32" customWidth="1" min="4" max="4"/>
    <col width="20" customWidth="1" min="5" max="5"/>
    <col width="20" customWidth="1" min="6" max="6"/>
    <col width="20" customWidth="1" min="7" max="7"/>
    <col width="25" customWidth="1" min="8" max="8"/>
  </cols>
  <sheetData>
    <row r="1">
      <c r="A1" s="1" t="inlineStr">
        <is>
          <t>LEVEL 2 • SESSION 3 • CHAPTER 2 — XLOOKUP</t>
        </is>
      </c>
    </row>
    <row r="2">
      <c r="A2" t="inlineStr">
        <is>
          <t>Another practice set — attempt the questions before checking Solutions.</t>
        </is>
      </c>
    </row>
    <row r="4">
      <c r="A4" s="2" t="inlineStr">
        <is>
          <t>Student ID</t>
        </is>
      </c>
      <c r="B4" s="2" t="inlineStr">
        <is>
          <t>Student Name</t>
        </is>
      </c>
      <c r="C4" s="2" t="inlineStr">
        <is>
          <t>Course Code</t>
        </is>
      </c>
      <c r="D4" s="2" t="inlineStr">
        <is>
          <t>Assessment</t>
        </is>
      </c>
      <c r="E4" s="2" t="inlineStr">
        <is>
          <t>Marks</t>
        </is>
      </c>
      <c r="F4" s="2" t="inlineStr">
        <is>
          <t>Term</t>
        </is>
      </c>
      <c r="G4" s="2" t="inlineStr">
        <is>
          <t>Result</t>
        </is>
      </c>
    </row>
    <row r="5">
      <c r="A5" t="inlineStr">
        <is>
          <t>ST301</t>
        </is>
      </c>
      <c r="B5" t="inlineStr">
        <is>
          <t>Ishaan Kapoor</t>
        </is>
      </c>
      <c r="C5" t="inlineStr">
        <is>
          <t>EX101</t>
        </is>
      </c>
      <c r="D5" t="inlineStr">
        <is>
          <t>Excel Fundamentals</t>
        </is>
      </c>
      <c r="E5" t="n">
        <v>82</v>
      </c>
      <c r="F5" t="inlineStr">
        <is>
          <t>Term 1</t>
        </is>
      </c>
      <c r="G5" t="inlineStr">
        <is>
          <t>Pass</t>
        </is>
      </c>
    </row>
    <row r="6">
      <c r="A6" t="inlineStr">
        <is>
          <t>ST302</t>
        </is>
      </c>
      <c r="B6" t="inlineStr">
        <is>
          <t>Sara Khan</t>
        </is>
      </c>
      <c r="C6" t="inlineStr">
        <is>
          <t>DA201</t>
        </is>
      </c>
      <c r="D6" t="inlineStr">
        <is>
          <t>Data Analytics</t>
        </is>
      </c>
      <c r="E6" t="n">
        <v>74</v>
      </c>
      <c r="F6" t="inlineStr">
        <is>
          <t>Term 1</t>
        </is>
      </c>
      <c r="G6" t="inlineStr">
        <is>
          <t>Pass</t>
        </is>
      </c>
    </row>
    <row r="7">
      <c r="A7" t="inlineStr">
        <is>
          <t>ST303</t>
        </is>
      </c>
      <c r="B7" t="inlineStr">
        <is>
          <t>Aditya Rao</t>
        </is>
      </c>
      <c r="C7" t="inlineStr">
        <is>
          <t>BI301</t>
        </is>
      </c>
      <c r="D7" t="inlineStr">
        <is>
          <t>Power BI</t>
        </is>
      </c>
      <c r="E7" t="n">
        <v>91</v>
      </c>
      <c r="F7" t="inlineStr">
        <is>
          <t>Term 1</t>
        </is>
      </c>
      <c r="G7" t="inlineStr">
        <is>
          <t>Distinction</t>
        </is>
      </c>
    </row>
    <row r="8">
      <c r="A8" t="inlineStr">
        <is>
          <t>ST304</t>
        </is>
      </c>
      <c r="B8" t="inlineStr">
        <is>
          <t>Myra Shah</t>
        </is>
      </c>
      <c r="C8" t="inlineStr">
        <is>
          <t>EX101</t>
        </is>
      </c>
      <c r="D8" t="inlineStr">
        <is>
          <t>Excel Fundamentals</t>
        </is>
      </c>
      <c r="E8" t="n">
        <v>68</v>
      </c>
      <c r="F8" t="inlineStr">
        <is>
          <t>Term 1</t>
        </is>
      </c>
      <c r="G8" t="inlineStr">
        <is>
          <t>Pass</t>
        </is>
      </c>
    </row>
    <row r="9">
      <c r="A9" t="inlineStr">
        <is>
          <t>ST305</t>
        </is>
      </c>
      <c r="B9" t="inlineStr">
        <is>
          <t>Kabir Nair</t>
        </is>
      </c>
      <c r="C9" t="inlineStr">
        <is>
          <t>SQL201</t>
        </is>
      </c>
      <c r="D9" t="inlineStr">
        <is>
          <t>SQL Essentials</t>
        </is>
      </c>
      <c r="E9" t="n">
        <v>59</v>
      </c>
      <c r="F9" t="inlineStr">
        <is>
          <t>Term 1</t>
        </is>
      </c>
      <c r="G9" t="inlineStr">
        <is>
          <t>Pass</t>
        </is>
      </c>
    </row>
    <row r="10">
      <c r="A10" t="inlineStr">
        <is>
          <t>ST306</t>
        </is>
      </c>
      <c r="B10" t="inlineStr">
        <is>
          <t>Anaya Mehta</t>
        </is>
      </c>
      <c r="C10" t="inlineStr">
        <is>
          <t>BI301</t>
        </is>
      </c>
      <c r="D10" t="inlineStr">
        <is>
          <t>Power BI</t>
        </is>
      </c>
      <c r="E10" t="n">
        <v>47</v>
      </c>
      <c r="F10" t="inlineStr">
        <is>
          <t>Term 1</t>
        </is>
      </c>
      <c r="G10" t="inlineStr">
        <is>
          <t>Needs Support</t>
        </is>
      </c>
    </row>
    <row r="11">
      <c r="A11" t="inlineStr">
        <is>
          <t>ST307</t>
        </is>
      </c>
      <c r="B11" t="inlineStr">
        <is>
          <t>Vivaan Patel</t>
        </is>
      </c>
      <c r="C11" t="inlineStr">
        <is>
          <t>DA201</t>
        </is>
      </c>
      <c r="D11" t="inlineStr">
        <is>
          <t>Data Analytics</t>
        </is>
      </c>
      <c r="E11" t="n">
        <v>88</v>
      </c>
      <c r="F11" t="inlineStr">
        <is>
          <t>Term 1</t>
        </is>
      </c>
      <c r="G11" t="inlineStr">
        <is>
          <t>Distinction</t>
        </is>
      </c>
    </row>
    <row r="12">
      <c r="A12" t="inlineStr">
        <is>
          <t>ST308</t>
        </is>
      </c>
      <c r="B12" t="inlineStr">
        <is>
          <t>Kiara Singh</t>
        </is>
      </c>
      <c r="C12" t="inlineStr">
        <is>
          <t>SQL201</t>
        </is>
      </c>
      <c r="D12" t="inlineStr">
        <is>
          <t>SQL Essentials</t>
        </is>
      </c>
      <c r="E12" t="n">
        <v>93</v>
      </c>
      <c r="F12" t="inlineStr">
        <is>
          <t>Term 1</t>
        </is>
      </c>
      <c r="G12" t="inlineStr">
        <is>
          <t>Distinction</t>
        </is>
      </c>
    </row>
    <row r="15">
      <c r="A15" s="2" t="inlineStr">
        <is>
          <t>Course Code</t>
        </is>
      </c>
      <c r="B15" s="2" t="inlineStr">
        <is>
          <t>Course Name</t>
        </is>
      </c>
      <c r="C15" s="2" t="inlineStr">
        <is>
          <t>Category</t>
        </is>
      </c>
      <c r="D15" s="2" t="inlineStr">
        <is>
          <t>Duration Hrs</t>
        </is>
      </c>
      <c r="E15" s="2" t="inlineStr">
        <is>
          <t>Trainer</t>
        </is>
      </c>
    </row>
    <row r="16">
      <c r="A16" t="inlineStr">
        <is>
          <t>EX101</t>
        </is>
      </c>
      <c r="B16" t="inlineStr">
        <is>
          <t>Excel Fundamentals</t>
        </is>
      </c>
      <c r="C16" t="inlineStr">
        <is>
          <t>Spreadsheet</t>
        </is>
      </c>
      <c r="D16" t="n">
        <v>12</v>
      </c>
      <c r="E16" t="inlineStr">
        <is>
          <t>Neha Kapoor</t>
        </is>
      </c>
    </row>
    <row r="17">
      <c r="A17" t="inlineStr">
        <is>
          <t>DA201</t>
        </is>
      </c>
      <c r="B17" t="inlineStr">
        <is>
          <t>Data Analytics</t>
        </is>
      </c>
      <c r="C17" t="inlineStr">
        <is>
          <t>Analytics</t>
        </is>
      </c>
      <c r="D17" t="n">
        <v>18</v>
      </c>
      <c r="E17" t="inlineStr">
        <is>
          <t>Ravi Sharma</t>
        </is>
      </c>
    </row>
    <row r="18">
      <c r="A18" t="inlineStr">
        <is>
          <t>BI301</t>
        </is>
      </c>
      <c r="B18" t="inlineStr">
        <is>
          <t>Power BI</t>
        </is>
      </c>
      <c r="C18" t="inlineStr">
        <is>
          <t>BI &amp; Reporting</t>
        </is>
      </c>
      <c r="D18" t="n">
        <v>20</v>
      </c>
      <c r="E18" t="inlineStr">
        <is>
          <t>Amit Verma</t>
        </is>
      </c>
    </row>
    <row r="19">
      <c r="A19" t="inlineStr">
        <is>
          <t>SQL201</t>
        </is>
      </c>
      <c r="B19" t="inlineStr">
        <is>
          <t>SQL Essentials</t>
        </is>
      </c>
      <c r="C19" t="inlineStr">
        <is>
          <t>Database</t>
        </is>
      </c>
      <c r="D19" t="n">
        <v>16</v>
      </c>
      <c r="E19" t="inlineStr">
        <is>
          <t>Priya Nair</t>
        </is>
      </c>
    </row>
    <row r="22">
      <c r="A22" s="3" t="inlineStr">
        <is>
          <t>PRACTICE QUESTIONS</t>
        </is>
      </c>
    </row>
    <row r="23">
      <c r="A23" t="inlineStr">
        <is>
          <t>1.</t>
        </is>
      </c>
      <c r="B23" s="4" t="inlineStr">
        <is>
          <t>Return Student Name from Student ID.</t>
        </is>
      </c>
    </row>
    <row r="24">
      <c r="A24" t="inlineStr">
        <is>
          <t>2.</t>
        </is>
      </c>
      <c r="B24" s="4" t="inlineStr">
        <is>
          <t>Return Course Name and Trainer from Course Code.</t>
        </is>
      </c>
    </row>
    <row r="25">
      <c r="A25" t="inlineStr">
        <is>
          <t>3.</t>
        </is>
      </c>
      <c r="B25" s="4" t="inlineStr">
        <is>
          <t>Reverse lookup: return Course Code from Course Name.</t>
        </is>
      </c>
    </row>
    <row r="26">
      <c r="A26" t="inlineStr">
        <is>
          <t>4.</t>
        </is>
      </c>
      <c r="B26" s="4" t="inlineStr">
        <is>
          <t>Use IF_NOT_FOUND for an invalid Course Code.</t>
        </is>
      </c>
    </row>
    <row r="27">
      <c r="A27" t="inlineStr">
        <is>
          <t>5.</t>
        </is>
      </c>
      <c r="B27" s="4" t="inlineStr">
        <is>
          <t>Build a dynamic learner summary.</t>
        </is>
      </c>
    </row>
    <row r="28">
      <c r="A28" t="inlineStr">
        <is>
          <t>6.</t>
        </is>
      </c>
      <c r="B28" s="4" t="inlineStr">
        <is>
          <t>Challenge: return Course Name + Category + Trainer with one XLOOKUP spill.</t>
        </is>
      </c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8" customWidth="1" min="3" max="3"/>
    <col width="32" customWidth="1" min="4" max="4"/>
    <col width="20" customWidth="1" min="5" max="5"/>
    <col width="20" customWidth="1" min="6" max="6"/>
    <col width="20" customWidth="1" min="7" max="7"/>
    <col width="25" customWidth="1" min="8" max="8"/>
  </cols>
  <sheetData>
    <row r="1">
      <c r="A1" s="1" t="inlineStr">
        <is>
          <t>LEVEL 2 • SESSION 3 • CHAPTER 2 — XLOOKUP</t>
        </is>
      </c>
    </row>
    <row r="2">
      <c r="A2" t="inlineStr">
        <is>
          <t>Another practice set — attempt the questions before checking Solutions.</t>
        </is>
      </c>
    </row>
    <row r="4">
      <c r="A4" s="2" t="inlineStr">
        <is>
          <t>Industry</t>
        </is>
      </c>
      <c r="B4" s="2" t="inlineStr">
        <is>
          <t>Task</t>
        </is>
      </c>
      <c r="C4" s="2" t="inlineStr">
        <is>
          <t>Formula / Method</t>
        </is>
      </c>
      <c r="D4" s="2" t="inlineStr">
        <is>
          <t>Learning Point</t>
        </is>
      </c>
    </row>
    <row r="5">
      <c r="A5" s="5" t="inlineStr">
        <is>
          <t>Logistics</t>
        </is>
      </c>
      <c r="B5" s="5" t="inlineStr">
        <is>
          <t>Customer</t>
        </is>
      </c>
      <c r="C5" s="5">
        <f>XLOOKUP("SHP2004",'Logistics Practice'!$A$5:$A$12,'Logistics Practice'!$B$5:$B$12,"Not Found")</f>
        <v/>
      </c>
      <c r="D5" s="5" t="inlineStr">
        <is>
          <t>UrbanHome</t>
        </is>
      </c>
    </row>
    <row r="6">
      <c r="A6" s="5" t="inlineStr">
        <is>
          <t>Logistics</t>
        </is>
      </c>
      <c r="B6" s="5" t="inlineStr">
        <is>
          <t>Carrier</t>
        </is>
      </c>
      <c r="C6" s="5">
        <f>XLOOKUP("CAR02",'Logistics Practice'!$A$16:$A$19,'Logistics Practice'!$B$16:$D$19,"Not Found")</f>
        <v/>
      </c>
      <c r="D6" s="5" t="inlineStr">
        <is>
          <t>Spills Carrier Name, SLA and Rating</t>
        </is>
      </c>
    </row>
    <row r="7">
      <c r="A7" s="5" t="inlineStr">
        <is>
          <t>Logistics</t>
        </is>
      </c>
      <c r="B7" s="5" t="inlineStr">
        <is>
          <t>Reverse</t>
        </is>
      </c>
      <c r="C7" s="5">
        <f>XLOOKUP("TRK-MH-005",'Logistics Practice'!$H$5:$H$12,'Logistics Practice'!$A$5:$A$12,"Not Found")</f>
        <v/>
      </c>
      <c r="D7" s="5" t="inlineStr">
        <is>
          <t>SHP2005</t>
        </is>
      </c>
    </row>
    <row r="8">
      <c r="A8" s="5" t="inlineStr">
        <is>
          <t>Healthcare</t>
        </is>
      </c>
      <c r="B8" s="5" t="inlineStr">
        <is>
          <t>Doctor</t>
        </is>
      </c>
      <c r="C8" s="5">
        <f>XLOOKUP("DOC04",'Healthcare Practice'!$A$16:$A$20,'Healthcare Practice'!$B$16:$E$20,"Doctor Not Found")</f>
        <v/>
      </c>
      <c r="D8" s="5" t="inlineStr">
        <is>
          <t>Spills Doctor Name through Fee</t>
        </is>
      </c>
    </row>
    <row r="9">
      <c r="A9" s="5" t="inlineStr">
        <is>
          <t>Healthcare</t>
        </is>
      </c>
      <c r="B9" s="5" t="inlineStr">
        <is>
          <t>Reverse</t>
        </is>
      </c>
      <c r="C9" s="5">
        <f>XLOOKUP("Dr. Kavita Rao",'Healthcare Practice'!$B$16:$B$20,'Healthcare Practice'!$A$16:$A$20,"Not Found")</f>
        <v/>
      </c>
      <c r="D9" s="5" t="inlineStr">
        <is>
          <t>DOC01</t>
        </is>
      </c>
    </row>
    <row r="10">
      <c r="A10" s="5" t="inlineStr">
        <is>
          <t>Education</t>
        </is>
      </c>
      <c r="B10" s="5" t="inlineStr">
        <is>
          <t>Course</t>
        </is>
      </c>
      <c r="C10" s="5">
        <f>XLOOKUP("BI301",'Education Practice'!$A$16:$A$19,'Education Practice'!$B$16:$E$19,"Course Not Available")</f>
        <v/>
      </c>
      <c r="D10" s="5" t="inlineStr">
        <is>
          <t>Spills Course Name, Category, Duration, Trainer</t>
        </is>
      </c>
    </row>
    <row r="11">
      <c r="A11" s="5" t="inlineStr">
        <is>
          <t>Education</t>
        </is>
      </c>
      <c r="B11" s="5" t="inlineStr">
        <is>
          <t>Reverse</t>
        </is>
      </c>
      <c r="C11" s="5">
        <f>XLOOKUP("SQL Essentials",'Education Practice'!$B$16:$B$19,'Education Practice'!$A$16:$A$19,"Not Found")</f>
        <v/>
      </c>
      <c r="D11" s="5" t="inlineStr">
        <is>
          <t>SQL201</t>
        </is>
      </c>
    </row>
    <row r="12">
      <c r="A12" s="5" t="inlineStr">
        <is>
          <t>All</t>
        </is>
      </c>
      <c r="B12" s="5" t="inlineStr">
        <is>
          <t>Dynamic input</t>
        </is>
      </c>
      <c r="C12" s="5">
        <f>XLOOKUP(B2,lookup_array,return_array,"Not Found")</f>
        <v/>
      </c>
      <c r="D12" s="5" t="inlineStr">
        <is>
          <t>Put the lookup key in an input cell so one change drives the report.</t>
        </is>
      </c>
    </row>
    <row r="13">
      <c r="A13" s="5" t="inlineStr">
        <is>
          <t>All</t>
        </is>
      </c>
      <c r="B13" s="5" t="inlineStr">
        <is>
          <t>Core syntax</t>
        </is>
      </c>
      <c r="C13" s="5">
        <f>XLOOKUP(lookup_value,lookup_array,return_array,[if_not_found],[match_mode],[search_mode])</f>
        <v/>
      </c>
      <c r="D13" s="5" t="inlineStr">
        <is>
          <t>Exact match is the default; lookup and return arrays can be in any direction.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2026-08-31T01:56:09Z</dcterms:created>
  <dcterms:modified xmlns:dcterms="http://purl.org/dc/terms/" xmlns:xsi="http://www.w3.org/2001/XMLSchema-instance" xsi:type="dcterms:W3CDTF">2026-08-31T01:56:10Z</dcterms:modified>
</cp:coreProperties>
</file>