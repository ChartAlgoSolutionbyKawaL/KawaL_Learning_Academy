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kawal\Downloads\"/>
    </mc:Choice>
  </mc:AlternateContent>
  <xr:revisionPtr revIDLastSave="0" documentId="13_ncr:1_{97DFB388-31EA-4170-A395-ED4EF99A5FF6}"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DASHBOARD" sheetId="2" r:id="rId2"/>
    <sheet name="RAW DATA" sheetId="3" r:id="rId3"/>
    <sheet name="MASTER DATA" sheetId="4" r:id="rId4"/>
    <sheet name="FORMULA LAB" sheetId="5" r:id="rId5"/>
    <sheet name="PRACTICE" sheetId="6" r:id="rId6"/>
  </sheets>
  <definedNames>
    <definedName name="_xlchart.v1.0" hidden="1">DASHBOARD!$J$18:$J$33</definedName>
    <definedName name="_xlchart.v1.1" hidden="1">DASHBOARD!$J$18:$J$33</definedName>
    <definedName name="_xlchart.v1.10" hidden="1">DASHBOARD!$K$18:$K$33</definedName>
    <definedName name="_xlchart.v1.11" hidden="1">DASHBOARD!$K$18:$K$33</definedName>
    <definedName name="_xlchart.v1.2" hidden="1">DASHBOARD!$K$18:$K$33</definedName>
    <definedName name="_xlchart.v1.3" hidden="1">DASHBOARD!$K$17</definedName>
    <definedName name="_xlchart.v1.4" hidden="1">DASHBOARD!$K$17</definedName>
    <definedName name="_xlchart.v1.5" hidden="1">DASHBOARD!$K$18:$K$33</definedName>
    <definedName name="_xlchart.v1.6" hidden="1">DASHBOARD!$J$18:$J$33</definedName>
    <definedName name="_xlchart.v1.7" hidden="1">DASHBOARD!$J$18:$J$33</definedName>
    <definedName name="_xlchart.v1.8" hidden="1">DASHBOARD!$K$17</definedName>
    <definedName name="_xlchart.v1.9" hidden="1">DASHBOARD!$K$17</definedName>
    <definedName name="Cities_All">'MASTER DATA'!$N$21:$N$44</definedName>
    <definedName name="Cities_Assam">'MASTER DATA'!$Z$21:$Z$22</definedName>
    <definedName name="Cities_Delhi">'MASTER DATA'!$O$21:$O$22</definedName>
    <definedName name="Cities_Gujarat">'MASTER DATA'!$V$21:$V$22</definedName>
    <definedName name="Cities_Haryana">'MASTER DATA'!$P$21:$P$22</definedName>
    <definedName name="Cities_Karnataka">'MASTER DATA'!$R$21:$R$22</definedName>
    <definedName name="Cities_Maharashtra">'MASTER DATA'!$U$21:$U$22</definedName>
    <definedName name="Cities_Odisha">'MASTER DATA'!$Y$21:$Y$22</definedName>
    <definedName name="Cities_Rajasthan">'MASTER DATA'!$W$21:$W$22</definedName>
    <definedName name="Cities_Tamil_Nadu">'MASTER DATA'!$S$21:$S$22</definedName>
    <definedName name="Cities_Telangana">'MASTER DATA'!$T$21:$T$22</definedName>
    <definedName name="Cities_Uttar_Pradesh">'MASTER DATA'!$Q$21:$Q$22</definedName>
    <definedName name="Cities_West_Bengal">'MASTER DATA'!$X$21:$X$22</definedName>
    <definedName name="DashboardTrendMonths">OFFSET(DASHBOARD!$G$20,0,0,8,1)</definedName>
    <definedName name="DashboardTrendValues">OFFSET(DASHBOARD!$H$20,0,0,8,1)</definedName>
    <definedName name="MetricList">'MASTER DATA'!$J$5:$J$8</definedName>
    <definedName name="PeriodList">'MASTER DATA'!$L$5:$L$7</definedName>
    <definedName name="RegionList">'MASTER DATA'!$F$5:$F$9</definedName>
    <definedName name="ScenarioList">'MASTER DATA'!$H$5:$H$7</definedName>
    <definedName name="States_All">'MASTER DATA'!$N$5:$N$16</definedName>
    <definedName name="States_East">'MASTER DATA'!$R$5:$R$7</definedName>
    <definedName name="States_North">'MASTER DATA'!$O$5:$O$7</definedName>
    <definedName name="States_South">'MASTER DATA'!$P$5:$P$7</definedName>
    <definedName name="States_West">'MASTER DATA'!$Q$5:$Q$7</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5" l="1" a="1"/>
  <c r="D9" i="5" s="1"/>
  <c r="D7" i="5" a="1"/>
  <c r="D7" i="5" s="1"/>
  <c r="D6" i="5" a="1"/>
  <c r="D6" i="5" s="1"/>
  <c r="D5" i="5" a="1"/>
  <c r="D5" i="5" s="1"/>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L45" i="2"/>
  <c r="K45" i="2"/>
  <c r="L44" i="2"/>
  <c r="K44" i="2"/>
  <c r="L43" i="2"/>
  <c r="K43" i="2"/>
  <c r="L42" i="2"/>
  <c r="K42" i="2"/>
  <c r="M33" i="2"/>
  <c r="L33" i="2"/>
  <c r="K33" i="2"/>
  <c r="M32" i="2"/>
  <c r="L32" i="2"/>
  <c r="K32" i="2"/>
  <c r="M31" i="2"/>
  <c r="L31" i="2"/>
  <c r="K31" i="2"/>
  <c r="M30" i="2"/>
  <c r="L30" i="2"/>
  <c r="K30" i="2"/>
  <c r="M29" i="2"/>
  <c r="L29" i="2"/>
  <c r="K29" i="2"/>
  <c r="M28" i="2"/>
  <c r="L28" i="2"/>
  <c r="K28" i="2"/>
  <c r="M27" i="2"/>
  <c r="L27" i="2"/>
  <c r="K27" i="2"/>
  <c r="H27" i="2"/>
  <c r="M26" i="2"/>
  <c r="L26" i="2"/>
  <c r="K26" i="2"/>
  <c r="H26" i="2"/>
  <c r="M25" i="2"/>
  <c r="L25" i="2"/>
  <c r="K25" i="2"/>
  <c r="H25" i="2"/>
  <c r="M24" i="2"/>
  <c r="L24" i="2"/>
  <c r="K24" i="2"/>
  <c r="H24" i="2"/>
  <c r="M23" i="2"/>
  <c r="L23" i="2"/>
  <c r="K23" i="2"/>
  <c r="H23" i="2"/>
  <c r="M22" i="2"/>
  <c r="L22" i="2"/>
  <c r="K22" i="2"/>
  <c r="H22" i="2"/>
  <c r="M21" i="2"/>
  <c r="L21" i="2"/>
  <c r="K21" i="2"/>
  <c r="H21" i="2"/>
  <c r="M20" i="2"/>
  <c r="L20" i="2"/>
  <c r="K20" i="2"/>
  <c r="H20" i="2"/>
  <c r="E20" i="2"/>
  <c r="M19" i="2"/>
  <c r="L19" i="2"/>
  <c r="K19" i="2"/>
  <c r="E19" i="2"/>
  <c r="M18" i="2"/>
  <c r="L18" i="2"/>
  <c r="K18" i="2"/>
  <c r="E14" i="2"/>
  <c r="C14" i="2"/>
  <c r="A14" i="2"/>
  <c r="D8" i="5" a="1"/>
  <c r="K37" i="2" a="1"/>
  <c r="D8" i="5" l="1"/>
  <c r="K37" i="2"/>
  <c r="K14" i="2"/>
  <c r="I14" i="2"/>
  <c r="M14" i="2"/>
  <c r="G14" i="2"/>
  <c r="B21" i="2" l="1"/>
  <c r="B20" i="2"/>
  <c r="B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<sst xmlns="http://schemas.openxmlformats.org/spreadsheetml/2006/main" count="15485" uniqueCount="537">
  <si>
    <t>LEVEL 3 • SESSION 1 — ADVANCED FORMULAS DYNAMIC DASHBOARD</t>
  </si>
  <si>
    <t>Professional capstone using the five chapters together.</t>
  </si>
  <si>
    <t>Component</t>
  </si>
  <si>
    <t>Included</t>
  </si>
  <si>
    <t>Purpose</t>
  </si>
  <si>
    <t>RAW DATA</t>
  </si>
  <si>
    <t>1,500 transactions</t>
  </si>
  <si>
    <t>Realistic source layer for interactive filtering.</t>
  </si>
  <si>
    <t>MASTER DATA</t>
  </si>
  <si>
    <t>Products, cities, managers, validation lists and named ranges</t>
  </si>
  <si>
    <t>Supports lookups and dependent validation.</t>
  </si>
  <si>
    <t>DASHBOARD</t>
  </si>
  <si>
    <t>Controls, KPI cards, trend, product chart, category mix and lookup insights</t>
  </si>
  <si>
    <t>Shows formulas becoming a usable analytical product.</t>
  </si>
  <si>
    <t>FORMULA LAB</t>
  </si>
  <si>
    <t>Five functions + combination patterns + cautions</t>
  </si>
  <si>
    <t>Connects syntax to design decisions.</t>
  </si>
  <si>
    <t>PRACTICE</t>
  </si>
  <si>
    <t>Rebuild tasks + stress/performance thinking</t>
  </si>
  <si>
    <t>Forces application rather than copying.</t>
  </si>
  <si>
    <t>THE FIVE CHAPTERS</t>
  </si>
  <si>
    <t>•</t>
  </si>
  <si>
    <t>Chapter 1 — INDEX + MATCH (Advanced)</t>
  </si>
  <si>
    <t>Chapter 2 — XLOOKUP (Advanced)</t>
  </si>
  <si>
    <t>Chapter 3 — OFFSET</t>
  </si>
  <si>
    <t>Chapter 4 — INDIRECT</t>
  </si>
  <si>
    <t>Chapter 5 — CHOOSE + MATCH + INDEX combinations</t>
  </si>
  <si>
    <t>HOW TO USE</t>
  </si>
  <si>
    <t>Open DASHBOARD, change the yellow/orange controls, and observe the KPI and chart logic. Then use PRACTICE to rebuild the same architecture yourself.</t>
  </si>
  <si>
    <t>ADVANCED DYNAMIC SALES DASHBOARD</t>
  </si>
  <si>
    <t>Interactive controls + dynamic formulas from all five Level 3 Session 1 chapters.</t>
  </si>
  <si>
    <t>DASHBOARD CONTROLS</t>
  </si>
  <si>
    <t>DATE WINDOW</t>
  </si>
  <si>
    <t>Scenario</t>
  </si>
  <si>
    <t>Actual</t>
  </si>
  <si>
    <t>Start Date</t>
  </si>
  <si>
    <t>Region</t>
  </si>
  <si>
    <t>All</t>
  </si>
  <si>
    <t>End Date</t>
  </si>
  <si>
    <t>State</t>
  </si>
  <si>
    <t>Tip</t>
  </si>
  <si>
    <t>Change inputs; KPIs and charts react.</t>
  </si>
  <si>
    <t>City</t>
  </si>
  <si>
    <t>Category</t>
  </si>
  <si>
    <t>Metric</t>
  </si>
  <si>
    <t>Sales</t>
  </si>
  <si>
    <t>Period</t>
  </si>
  <si>
    <t>YTD</t>
  </si>
  <si>
    <t>TOTAL SALES</t>
  </si>
  <si>
    <t>TOTAL PROFIT</t>
  </si>
  <si>
    <t>TOTAL UNITS</t>
  </si>
  <si>
    <t>AVG ORDER VALUE</t>
  </si>
  <si>
    <t>TOP PRODUCT</t>
  </si>
  <si>
    <t>PROFIT MARGIN</t>
  </si>
  <si>
    <t>SELECTED METRIC</t>
  </si>
  <si>
    <t>Product</t>
  </si>
  <si>
    <t>Profit</t>
  </si>
  <si>
    <t>Units</t>
  </si>
  <si>
    <t>XLOOKUP — TOP PRODUCT METADATA</t>
  </si>
  <si>
    <t>INDEX + MATCH — SELECTED CITY</t>
  </si>
  <si>
    <t>OFFSET — DYNAMIC TREND SOURCE</t>
  </si>
  <si>
    <t>Laptop Pro</t>
  </si>
  <si>
    <t>Manager</t>
  </si>
  <si>
    <t>Month</t>
  </si>
  <si>
    <t>Monitor 27</t>
  </si>
  <si>
    <t>Unit Price</t>
  </si>
  <si>
    <t>Jan</t>
  </si>
  <si>
    <t>Tablet X</t>
  </si>
  <si>
    <t>Supplier</t>
  </si>
  <si>
    <t>Feb</t>
  </si>
  <si>
    <t>Printer Pro</t>
  </si>
  <si>
    <t>Mar</t>
  </si>
  <si>
    <t>Keyboard</t>
  </si>
  <si>
    <t>Apr</t>
  </si>
  <si>
    <t>Headset</t>
  </si>
  <si>
    <t>May</t>
  </si>
  <si>
    <t>Mouse</t>
  </si>
  <si>
    <t>Jun</t>
  </si>
  <si>
    <t>Webcam</t>
  </si>
  <si>
    <t>Jul</t>
  </si>
  <si>
    <t>Office Chair</t>
  </si>
  <si>
    <t>Aug</t>
  </si>
  <si>
    <t>Standing Desk</t>
  </si>
  <si>
    <t>Meeting Table</t>
  </si>
  <si>
    <t>Filing Cabinet</t>
  </si>
  <si>
    <t>Air Purifier</t>
  </si>
  <si>
    <t>Coffee Maker</t>
  </si>
  <si>
    <t>Microwave</t>
  </si>
  <si>
    <t>Vacuum Cleaner</t>
  </si>
  <si>
    <t>INDIRECT — DYNAMIC SOURCE</t>
  </si>
  <si>
    <t>Source Sheet</t>
  </si>
  <si>
    <t>Reference</t>
  </si>
  <si>
    <t>Concept</t>
  </si>
  <si>
    <t>Text is converted into a real worksheet reference.</t>
  </si>
  <si>
    <t>Electronics</t>
  </si>
  <si>
    <t>Accessories</t>
  </si>
  <si>
    <t>Furniture</t>
  </si>
  <si>
    <t>Home</t>
  </si>
  <si>
    <t>RAW DATA — SALES TRANSACTIONS</t>
  </si>
  <si>
    <t>1,500 records. Dashboard reads this table; learners should not overwrite the source.</t>
  </si>
  <si>
    <t>Date</t>
  </si>
  <si>
    <t>Salesperson</t>
  </si>
  <si>
    <t>Customer ID</t>
  </si>
  <si>
    <t>Cost</t>
  </si>
  <si>
    <t>Channel</t>
  </si>
  <si>
    <t>Order Status</t>
  </si>
  <si>
    <t>Product Key</t>
  </si>
  <si>
    <t>West</t>
  </si>
  <si>
    <t>Rajasthan</t>
  </si>
  <si>
    <t>Udaipur</t>
  </si>
  <si>
    <t>Kabir Verma</t>
  </si>
  <si>
    <t>C05071</t>
  </si>
  <si>
    <t>Corporate</t>
  </si>
  <si>
    <t>Closed</t>
  </si>
  <si>
    <t>Budget</t>
  </si>
  <si>
    <t>Gujarat</t>
  </si>
  <si>
    <t>Ahmedabad</t>
  </si>
  <si>
    <t>Aarav Mehta</t>
  </si>
  <si>
    <t>C05152</t>
  </si>
  <si>
    <t>Returned</t>
  </si>
  <si>
    <t>Forecast</t>
  </si>
  <si>
    <t>East</t>
  </si>
  <si>
    <t>West Bengal</t>
  </si>
  <si>
    <t>Durgapur</t>
  </si>
  <si>
    <t>C05180</t>
  </si>
  <si>
    <t>Retail Store</t>
  </si>
  <si>
    <t>North</t>
  </si>
  <si>
    <t>Haryana</t>
  </si>
  <si>
    <t>Gurugram</t>
  </si>
  <si>
    <t>Ananya Gupta</t>
  </si>
  <si>
    <t>C05067</t>
  </si>
  <si>
    <t>Online</t>
  </si>
  <si>
    <t>Jaipur</t>
  </si>
  <si>
    <t>Arjun Patel</t>
  </si>
  <si>
    <t>C05239</t>
  </si>
  <si>
    <t>Karan Joshi</t>
  </si>
  <si>
    <t>C05218</t>
  </si>
  <si>
    <t>Odisha</t>
  </si>
  <si>
    <t>Cuttack</t>
  </si>
  <si>
    <t>Riya Singh</t>
  </si>
  <si>
    <t>C05039</t>
  </si>
  <si>
    <t>Partner</t>
  </si>
  <si>
    <t>Pending</t>
  </si>
  <si>
    <t>Faridabad</t>
  </si>
  <si>
    <t>C05079</t>
  </si>
  <si>
    <t>C05213</t>
  </si>
  <si>
    <t>Assam</t>
  </si>
  <si>
    <t>Guwahati</t>
  </si>
  <si>
    <t>C05119</t>
  </si>
  <si>
    <t>Maharashtra</t>
  </si>
  <si>
    <t>Mumbai</t>
  </si>
  <si>
    <t>C05110</t>
  </si>
  <si>
    <t>South</t>
  </si>
  <si>
    <t>Tamil Nadu</t>
  </si>
  <si>
    <t>Coimbatore</t>
  </si>
  <si>
    <t>C05207</t>
  </si>
  <si>
    <t>Karnataka</t>
  </si>
  <si>
    <t>Mysuru</t>
  </si>
  <si>
    <t>C05225</t>
  </si>
  <si>
    <t>Pune</t>
  </si>
  <si>
    <t>C05188</t>
  </si>
  <si>
    <t>C05062</t>
  </si>
  <si>
    <t>Uttar Pradesh</t>
  </si>
  <si>
    <t>Lucknow</t>
  </si>
  <si>
    <t>C05111</t>
  </si>
  <si>
    <t>C05021</t>
  </si>
  <si>
    <t>Kolkata</t>
  </si>
  <si>
    <t>C05217</t>
  </si>
  <si>
    <t>C05162</t>
  </si>
  <si>
    <t>Chennai</t>
  </si>
  <si>
    <t>C05066</t>
  </si>
  <si>
    <t>Bhubaneswar</t>
  </si>
  <si>
    <t>C05017</t>
  </si>
  <si>
    <t>Meera Iyer</t>
  </si>
  <si>
    <t>C05002</t>
  </si>
  <si>
    <t>Dibrugarh</t>
  </si>
  <si>
    <t>C05037</t>
  </si>
  <si>
    <t>C05236</t>
  </si>
  <si>
    <t>C05165</t>
  </si>
  <si>
    <t>C05012</t>
  </si>
  <si>
    <t>C05126</t>
  </si>
  <si>
    <t>C05098</t>
  </si>
  <si>
    <t>C05147</t>
  </si>
  <si>
    <t>C05233</t>
  </si>
  <si>
    <t>Diya Sharma</t>
  </si>
  <si>
    <t>C05242</t>
  </si>
  <si>
    <t>C05193</t>
  </si>
  <si>
    <t>Telangana</t>
  </si>
  <si>
    <t>Warangal</t>
  </si>
  <si>
    <t>C05132</t>
  </si>
  <si>
    <t>C05179</t>
  </si>
  <si>
    <t>Surat</t>
  </si>
  <si>
    <t>C05204</t>
  </si>
  <si>
    <t>C05202</t>
  </si>
  <si>
    <t>C05164</t>
  </si>
  <si>
    <t>C05077</t>
  </si>
  <si>
    <t>Delhi</t>
  </si>
  <si>
    <t>Dwarka</t>
  </si>
  <si>
    <t>C05232</t>
  </si>
  <si>
    <t>Hyderabad</t>
  </si>
  <si>
    <t>C05031</t>
  </si>
  <si>
    <t>C05170</t>
  </si>
  <si>
    <t>C05061</t>
  </si>
  <si>
    <t>C05093</t>
  </si>
  <si>
    <t>Noida</t>
  </si>
  <si>
    <t>C05156</t>
  </si>
  <si>
    <t>C05048</t>
  </si>
  <si>
    <t>C05030</t>
  </si>
  <si>
    <t>New Delhi</t>
  </si>
  <si>
    <t>C05129</t>
  </si>
  <si>
    <t>C05097</t>
  </si>
  <si>
    <t>C05092</t>
  </si>
  <si>
    <t>C05096</t>
  </si>
  <si>
    <t>C05131</t>
  </si>
  <si>
    <t>C05191</t>
  </si>
  <si>
    <t>C05138</t>
  </si>
  <si>
    <t>C05078</t>
  </si>
  <si>
    <t>C05187</t>
  </si>
  <si>
    <t>C05184</t>
  </si>
  <si>
    <t>C05125</t>
  </si>
  <si>
    <t>C05148</t>
  </si>
  <si>
    <t>C05074</t>
  </si>
  <si>
    <t>C05013</t>
  </si>
  <si>
    <t>C05237</t>
  </si>
  <si>
    <t>C05135</t>
  </si>
  <si>
    <t>C05137</t>
  </si>
  <si>
    <t>C05036</t>
  </si>
  <si>
    <t>C05059</t>
  </si>
  <si>
    <t>C05065</t>
  </si>
  <si>
    <t>C05245</t>
  </si>
  <si>
    <t>C05035</t>
  </si>
  <si>
    <t>C05219</t>
  </si>
  <si>
    <t>C05006</t>
  </si>
  <si>
    <t>C05034</t>
  </si>
  <si>
    <t>C05173</t>
  </si>
  <si>
    <t>C05203</t>
  </si>
  <si>
    <t>C05069</t>
  </si>
  <si>
    <t>C05091</t>
  </si>
  <si>
    <t>Bengaluru</t>
  </si>
  <si>
    <t>C05043</t>
  </si>
  <si>
    <t>C05229</t>
  </si>
  <si>
    <t>C05052</t>
  </si>
  <si>
    <t>C05115</t>
  </si>
  <si>
    <t>C05157</t>
  </si>
  <si>
    <t>C05102</t>
  </si>
  <si>
    <t>C05042</t>
  </si>
  <si>
    <t>C05117</t>
  </si>
  <si>
    <t>C05123</t>
  </si>
  <si>
    <t>C05073</t>
  </si>
  <si>
    <t>C05199</t>
  </si>
  <si>
    <t>C05114</t>
  </si>
  <si>
    <t>C05216</t>
  </si>
  <si>
    <t>C05063</t>
  </si>
  <si>
    <t>C05241</t>
  </si>
  <si>
    <t>C05220</t>
  </si>
  <si>
    <t>C05055</t>
  </si>
  <si>
    <t>C05058</t>
  </si>
  <si>
    <t>C05047</t>
  </si>
  <si>
    <t>C05171</t>
  </si>
  <si>
    <t>C05195</t>
  </si>
  <si>
    <t>C05154</t>
  </si>
  <si>
    <t>C05103</t>
  </si>
  <si>
    <t>C05153</t>
  </si>
  <si>
    <t>C05150</t>
  </si>
  <si>
    <t>C05011</t>
  </si>
  <si>
    <t>C05026</t>
  </si>
  <si>
    <t>C05028</t>
  </si>
  <si>
    <t>C05088</t>
  </si>
  <si>
    <t>C05192</t>
  </si>
  <si>
    <t>C05151</t>
  </si>
  <si>
    <t>C05149</t>
  </si>
  <si>
    <t>C05127</t>
  </si>
  <si>
    <t>C05130</t>
  </si>
  <si>
    <t>C05155</t>
  </si>
  <si>
    <t>C05247</t>
  </si>
  <si>
    <t>C05134</t>
  </si>
  <si>
    <t>C05221</t>
  </si>
  <si>
    <t>C05200</t>
  </si>
  <si>
    <t>C05009</t>
  </si>
  <si>
    <t>C05014</t>
  </si>
  <si>
    <t>C05178</t>
  </si>
  <si>
    <t>C05227</t>
  </si>
  <si>
    <t>C05049</t>
  </si>
  <si>
    <t>C05196</t>
  </si>
  <si>
    <t>C05027</t>
  </si>
  <si>
    <t>C05100</t>
  </si>
  <si>
    <t>C05141</t>
  </si>
  <si>
    <t>C05222</t>
  </si>
  <si>
    <t>C05166</t>
  </si>
  <si>
    <t>C05084</t>
  </si>
  <si>
    <t>C05015</t>
  </si>
  <si>
    <t>C05064</t>
  </si>
  <si>
    <t>C05160</t>
  </si>
  <si>
    <t>C05081</t>
  </si>
  <si>
    <t>C05223</t>
  </si>
  <si>
    <t>C05008</t>
  </si>
  <si>
    <t>C05107</t>
  </si>
  <si>
    <t>C05004</t>
  </si>
  <si>
    <t>C05094</t>
  </si>
  <si>
    <t>C05121</t>
  </si>
  <si>
    <t>C05005</t>
  </si>
  <si>
    <t>C05210</t>
  </si>
  <si>
    <t>C05146</t>
  </si>
  <si>
    <t>C05116</t>
  </si>
  <si>
    <t>C05051</t>
  </si>
  <si>
    <t>C05025</t>
  </si>
  <si>
    <t>C05244</t>
  </si>
  <si>
    <t>C05041</t>
  </si>
  <si>
    <t>C05168</t>
  </si>
  <si>
    <t>C05076</t>
  </si>
  <si>
    <t>C05106</t>
  </si>
  <si>
    <t>C05230</t>
  </si>
  <si>
    <t>C05020</t>
  </si>
  <si>
    <t>C05054</t>
  </si>
  <si>
    <t>C05194</t>
  </si>
  <si>
    <t>C05046</t>
  </si>
  <si>
    <t>C05038</t>
  </si>
  <si>
    <t>C05083</t>
  </si>
  <si>
    <t>C05087</t>
  </si>
  <si>
    <t>C05174</t>
  </si>
  <si>
    <t>C05003</t>
  </si>
  <si>
    <t>C05235</t>
  </si>
  <si>
    <t>C05085</t>
  </si>
  <si>
    <t>C05108</t>
  </si>
  <si>
    <t>C05183</t>
  </si>
  <si>
    <t>C05238</t>
  </si>
  <si>
    <t>C05142</t>
  </si>
  <si>
    <t>C05248</t>
  </si>
  <si>
    <t>C05060</t>
  </si>
  <si>
    <t>C05143</t>
  </si>
  <si>
    <t>C05249</t>
  </si>
  <si>
    <t>C05120</t>
  </si>
  <si>
    <t>C05109</t>
  </si>
  <si>
    <t>C05095</t>
  </si>
  <si>
    <t>C05133</t>
  </si>
  <si>
    <t>C05246</t>
  </si>
  <si>
    <t>C05209</t>
  </si>
  <si>
    <t>C05044</t>
  </si>
  <si>
    <t>C05090</t>
  </si>
  <si>
    <t>C05198</t>
  </si>
  <si>
    <t>C05113</t>
  </si>
  <si>
    <t>C05175</t>
  </si>
  <si>
    <t>C05197</t>
  </si>
  <si>
    <t>C05024</t>
  </si>
  <si>
    <t>C05022</t>
  </si>
  <si>
    <t>C05032</t>
  </si>
  <si>
    <t>C05105</t>
  </si>
  <si>
    <t>C05189</t>
  </si>
  <si>
    <t>C05019</t>
  </si>
  <si>
    <t>C05040</t>
  </si>
  <si>
    <t>C05023</t>
  </si>
  <si>
    <t>C05243</t>
  </si>
  <si>
    <t>C05010</t>
  </si>
  <si>
    <t>C05101</t>
  </si>
  <si>
    <t>C05205</t>
  </si>
  <si>
    <t>C05140</t>
  </si>
  <si>
    <t>C05158</t>
  </si>
  <si>
    <t>C05224</t>
  </si>
  <si>
    <t>C05053</t>
  </si>
  <si>
    <t>C05128</t>
  </si>
  <si>
    <t>C05169</t>
  </si>
  <si>
    <t>C05018</t>
  </si>
  <si>
    <t>C05124</t>
  </si>
  <si>
    <t>C05056</t>
  </si>
  <si>
    <t>C05057</t>
  </si>
  <si>
    <t>C05228</t>
  </si>
  <si>
    <t>C05177</t>
  </si>
  <si>
    <t>C05167</t>
  </si>
  <si>
    <t>C05072</t>
  </si>
  <si>
    <t>C05231</t>
  </si>
  <si>
    <t>C05206</t>
  </si>
  <si>
    <t>C05226</t>
  </si>
  <si>
    <t>C05250</t>
  </si>
  <si>
    <t>C05136</t>
  </si>
  <si>
    <t>C05212</t>
  </si>
  <si>
    <t>C05001</t>
  </si>
  <si>
    <t>C05139</t>
  </si>
  <si>
    <t>C05089</t>
  </si>
  <si>
    <t>C05050</t>
  </si>
  <si>
    <t>C05112</t>
  </si>
  <si>
    <t>C05080</t>
  </si>
  <si>
    <t>C05163</t>
  </si>
  <si>
    <t>C05029</t>
  </si>
  <si>
    <t>C05068</t>
  </si>
  <si>
    <t>C05186</t>
  </si>
  <si>
    <t>C05086</t>
  </si>
  <si>
    <t>C05075</t>
  </si>
  <si>
    <t>C05176</t>
  </si>
  <si>
    <t>C05185</t>
  </si>
  <si>
    <t>C05144</t>
  </si>
  <si>
    <t>C05033</t>
  </si>
  <si>
    <t>C05045</t>
  </si>
  <si>
    <t>C05159</t>
  </si>
  <si>
    <t>C05122</t>
  </si>
  <si>
    <t>C05007</t>
  </si>
  <si>
    <t>C05181</t>
  </si>
  <si>
    <t>C05016</t>
  </si>
  <si>
    <t>C05214</t>
  </si>
  <si>
    <t>C05161</t>
  </si>
  <si>
    <t>C05070</t>
  </si>
  <si>
    <t>C05240</t>
  </si>
  <si>
    <t>C05215</t>
  </si>
  <si>
    <t>C05104</t>
  </si>
  <si>
    <t>C05190</t>
  </si>
  <si>
    <t>C05099</t>
  </si>
  <si>
    <t>C05172</t>
  </si>
  <si>
    <t>C05118</t>
  </si>
  <si>
    <t>C05208</t>
  </si>
  <si>
    <t>C05234</t>
  </si>
  <si>
    <t>C05211</t>
  </si>
  <si>
    <t>C05145</t>
  </si>
  <si>
    <t>C05182</t>
  </si>
  <si>
    <t>C05082</t>
  </si>
  <si>
    <t>C05201</t>
  </si>
  <si>
    <t>MASTER DATA — LOOKUPS &amp; VALIDATION</t>
  </si>
  <si>
    <t>Supports XLOOKUP, INDEX+MATCH and INDIRECT-driven dependent dropdowns.</t>
  </si>
  <si>
    <t>Supplier ID</t>
  </si>
  <si>
    <t>Validation Lists</t>
  </si>
  <si>
    <t>States_All</t>
  </si>
  <si>
    <t>States_North</t>
  </si>
  <si>
    <t>States_South</t>
  </si>
  <si>
    <t>States_West</t>
  </si>
  <si>
    <t>States_East</t>
  </si>
  <si>
    <t>SUP04</t>
  </si>
  <si>
    <t>MTD</t>
  </si>
  <si>
    <t>QTD</t>
  </si>
  <si>
    <t>SUP05</t>
  </si>
  <si>
    <t>SUP08</t>
  </si>
  <si>
    <t>SUP02</t>
  </si>
  <si>
    <t>SUP07</t>
  </si>
  <si>
    <t>SUP06</t>
  </si>
  <si>
    <t>SUP03</t>
  </si>
  <si>
    <t>Cities_All</t>
  </si>
  <si>
    <t>Cities_Delhi</t>
  </si>
  <si>
    <t>Cities_Haryana</t>
  </si>
  <si>
    <t>Cities_Uttar_Pradesh</t>
  </si>
  <si>
    <t>Cities_Karnataka</t>
  </si>
  <si>
    <t>Cities_Tamil_Nadu</t>
  </si>
  <si>
    <t>Cities_Telangana</t>
  </si>
  <si>
    <t>Cities_Maharashtra</t>
  </si>
  <si>
    <t>Cities_Gujarat</t>
  </si>
  <si>
    <t>Cities_Rajasthan</t>
  </si>
  <si>
    <t>Cities_West_Bengal</t>
  </si>
  <si>
    <t>Cities_Odisha</t>
  </si>
  <si>
    <t>Cities_Assam</t>
  </si>
  <si>
    <t>City Manager</t>
  </si>
  <si>
    <t>A. Mehta</t>
  </si>
  <si>
    <t>R. Sharma</t>
  </si>
  <si>
    <t>P. Iyer</t>
  </si>
  <si>
    <t>S. Rao</t>
  </si>
  <si>
    <t>N. Verma</t>
  </si>
  <si>
    <t>K. Singh</t>
  </si>
  <si>
    <t>FORMULA LAB — FIVE CHAPTERS IN ONE PROJECT</t>
  </si>
  <si>
    <t>Use this sheet to understand why each function exists in the dashboard.</t>
  </si>
  <si>
    <t>Chapter</t>
  </si>
  <si>
    <t>Function</t>
  </si>
  <si>
    <t>Used for</t>
  </si>
  <si>
    <t>Formula pattern</t>
  </si>
  <si>
    <t>Why</t>
  </si>
  <si>
    <t>Failure / caution</t>
  </si>
  <si>
    <t>1</t>
  </si>
  <si>
    <t>INDEX + MATCH (Advanced)</t>
  </si>
  <si>
    <t>Dynamic retrieval after finding the position of a product/city.</t>
  </si>
  <si>
    <t>Separates position from retrieval and avoids hard-coded row numbers.</t>
  </si>
  <si>
    <t>Exact match and aligned ranges matter.</t>
  </si>
  <si>
    <t>2</t>
  </si>
  <si>
    <t>XLOOKUP (Advanced)</t>
  </si>
  <si>
    <t>Return product metadata from the winning product.</t>
  </si>
  <si>
    <t>Modern, readable lookup with explicit error handling.</t>
  </si>
  <si>
    <t>Still needs a sensible unique key.</t>
  </si>
  <si>
    <t>3</t>
  </si>
  <si>
    <t>OFFSET</t>
  </si>
  <si>
    <t>Dynamic moving/resizing range logic for trend/chart sources.</t>
  </si>
  <si>
    <t>The range itself can move or resize.</t>
  </si>
  <si>
    <t>Volatile; avoid indiscriminate use on huge models.</t>
  </si>
  <si>
    <t>4</t>
  </si>
  <si>
    <t>INDIRECT</t>
  </si>
  <si>
    <t>Dependent dropdowns and text-driven references.</t>
  </si>
  <si>
    <t>Turns text into a live Excel reference.</t>
  </si>
  <si>
    <t>Volatile and fragile if names/sheets change.</t>
  </si>
  <si>
    <t>5</t>
  </si>
  <si>
    <t>CHOOSE + MATCH + INDEX</t>
  </si>
  <si>
    <t>One Metric selector drives Sales / Profit / Units.</t>
  </si>
  <si>
    <t>Maps user choice to one of several outputs.</t>
  </si>
  <si>
    <t>Keep option order synchronized.</t>
  </si>
  <si>
    <t>COMBINATION LOGIC</t>
  </si>
  <si>
    <t>INDIRECT + Data Validation</t>
  </si>
  <si>
    <t>Region → State → City dependent dropdowns.</t>
  </si>
  <si>
    <t>XLOOKUP + INDEX/MATCH</t>
  </si>
  <si>
    <t>Retrieve metadata after dynamically identifying a product/city.</t>
  </si>
  <si>
    <t>OFFSET + Chart</t>
  </si>
  <si>
    <t>Dynamic range concept for a moving analysis window.</t>
  </si>
  <si>
    <t>Metric switcher without separate hard-coded report formulas.</t>
  </si>
  <si>
    <t>All five</t>
  </si>
  <si>
    <t>User input → dynamic reference → lookup → metric → KPI → chart.</t>
  </si>
  <si>
    <t>ARCHITECTURE RULE</t>
  </si>
  <si>
    <t>Advanced does not mean automatically better. Use the function because the reference, range, selection or output must change dynamically. For very large models, prefer non-volatile alternatives where practical.</t>
  </si>
  <si>
    <t>PRACTICE — REBUILD THE DYNAMIC DASHBOARD</t>
  </si>
  <si>
    <t>Attempt these tasks using RAW DATA and MASTER DATA before studying the dashboard formulas.</t>
  </si>
  <si>
    <t>#</t>
  </si>
  <si>
    <t>Challenge</t>
  </si>
  <si>
    <t>Task</t>
  </si>
  <si>
    <t>Success condition</t>
  </si>
  <si>
    <t>Controls</t>
  </si>
  <si>
    <t>Create Scenario, Region, State, City, Category, Metric and Period dropdowns.</t>
  </si>
  <si>
    <t>All controls work; child lists react to parent selections.</t>
  </si>
  <si>
    <t>INDEX + MATCH</t>
  </si>
  <si>
    <t>Return manager and region for the selected City.</t>
  </si>
  <si>
    <t>No hard-coded row number.</t>
  </si>
  <si>
    <t>XLOOKUP</t>
  </si>
  <si>
    <t>Return Category, Unit Price and Supplier for the Top Product.</t>
  </si>
  <si>
    <t>Outputs change when Top Product changes.</t>
  </si>
  <si>
    <t>Create a dynamic trend range for a chart.</t>
  </si>
  <si>
    <t>Chart source can move/resize without manual rewiring.</t>
  </si>
  <si>
    <t>Build Region → State → City dependent dropdowns.</t>
  </si>
  <si>
    <t>Selecting North changes State options; selecting Delhi changes City options.</t>
  </si>
  <si>
    <t>6</t>
  </si>
  <si>
    <t>Create one Metric switcher for Sales / Profit / Units.</t>
  </si>
  <si>
    <t>One control changes the KPI value.</t>
  </si>
  <si>
    <t>7</t>
  </si>
  <si>
    <t>Combined dashboard</t>
  </si>
  <si>
    <t>Build KPI cards + product chart + category mix + trend.</t>
  </si>
  <si>
    <t>Dashboard reacts to filters.</t>
  </si>
  <si>
    <t>8</t>
  </si>
  <si>
    <t>Business insight</t>
  </si>
  <si>
    <t>Identify the strongest region for the selected Metric and state one action.</t>
  </si>
  <si>
    <t>Conclusion is supported by the filtered data.</t>
  </si>
  <si>
    <t>9</t>
  </si>
  <si>
    <t>Stress test</t>
  </si>
  <si>
    <t>Try All + specific Region + specific State + specific City combinations.</t>
  </si>
  <si>
    <t>No broken references or stale outputs.</t>
  </si>
  <si>
    <t>10</t>
  </si>
  <si>
    <t>Performance thinking</t>
  </si>
  <si>
    <t>Explain why OFFSET and INDIRECT can become problematic at 100k+ rows.</t>
  </si>
  <si>
    <t>Propose INDEX/XLOOKUP/structured-reference alternatives where appropriate.</t>
  </si>
  <si>
    <t>FINAL CAPSTONE</t>
  </si>
  <si>
    <t>Build a one-page management dashboard where a manager selects Scenario, Region, State, City, Category and Metric, then sees dynamic KPIs, trend, category mix, top product and supporting lookup metadata. Add one written business recommendation based on the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</si>
</sst>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6" formatCode="dd\-mmm\-yyyy"/>
    <numFmt numFmtId="167" formatCode="\₹#,##0.00"/>
    <numFmt numFmtId="168" formatCode="0.0%"/>
  </numFmts>
  <fonts count="13" x14ac:knownFonts="1">
    <font>
      <sz val="11"/>
      <color theme="1"/>
      <name val="Calibri"/>
      <family val="2"/>
      <scheme val="minor"/>
    </font>
    <font>
      <b/>
      <sz val="20"/>
      <color rgb="FFFFFFFF"/>
      <name val="Calibri"/>
    </font>
    <font>
      <i/>
      <sz val="10"/>
      <color rgb="FF6B7280"/>
      <name val="Calibri"/>
    </font>
    <font>
      <b/>
      <sz val="11"/>
      <color rgb="FFFFFFFF"/>
      <name val="Calibri"/>
    </font>
    <font>
      <b/>
      <sz val="14"/>
      <color rgb="FF7C3AED"/>
      <name val="Calibri"/>
    </font>
    <font>
      <b/>
      <sz val="14"/>
      <color rgb="FFFFFFFF"/>
      <name val="Calibri"/>
    </font>
    <font>
      <b/>
      <sz val="11"/>
      <color rgb="FF111827"/>
      <name val="Calibri"/>
    </font>
    <font>
      <b/>
      <sz val="17"/>
      <color rgb="FF111827"/>
      <name val="Calibri"/>
    </font>
    <font>
      <b/>
      <sz val="14"/>
      <color rgb="FF111827"/>
      <name val="Calibri"/>
    </font>
    <font>
      <b/>
      <sz val="12"/>
      <color rgb="FF7C3AED"/>
      <name val="Calibri"/>
    </font>
    <font>
      <b/>
      <sz val="14"/>
      <color rgb="FFEA580C"/>
      <name val="Calibri"/>
    </font>
    <font>
      <b/>
      <sz val="11"/>
      <color rgb="FF7C3AED"/>
      <name val="Calibri"/>
    </font>
    <font>
      <b/>
      <sz val="14"/>
      <color rgb="FFB91C1C"/>
      <name val="Calibri"/>
    </font>
  </fonts>
  <fills count="12">
    <fill>
      <patternFill patternType="none"/>
    </fill>
    <fill>
      <patternFill patternType="gray125"/>
    </fill>
    <fill>
      <patternFill patternType="solid">
        <fgColor rgb="FF172554"/>
      </patternFill>
    </fill>
    <fill>
      <patternFill patternType="solid">
        <fgColor rgb="FF0F766E"/>
      </patternFill>
    </fill>
    <fill>
      <patternFill patternType="solid">
        <fgColor rgb="FF7C3AED"/>
      </patternFill>
    </fill>
    <fill>
      <patternFill patternType="solid">
        <fgColor rgb="FFFFF7ED"/>
      </patternFill>
    </fill>
    <fill>
      <patternFill patternType="solid">
        <fgColor rgb="FFEA580C"/>
      </patternFill>
    </fill>
    <fill>
      <patternFill patternType="solid">
        <fgColor rgb="FFEFF6FF"/>
      </patternFill>
    </fill>
    <fill>
      <patternFill patternType="solid">
        <fgColor rgb="FF2563EB"/>
      </patternFill>
    </fill>
    <fill>
      <patternFill patternType="solid">
        <fgColor rgb="FFF8FAFC"/>
      </patternFill>
    </fill>
    <fill>
      <patternFill patternType="solid">
        <fgColor rgb="FF0B6B4F"/>
      </patternFill>
    </fill>
    <fill>
      <patternFill patternType="solid">
        <fgColor rgb="FFB91C1C"/>
      </patternFill>
    </fill>
  </fills>
  <borders count="2">
    <border>
      <left/>
      <right/>
      <top/>
      <bottom/>
      <diagonal/>
    </border>
    <border>
      <left/>
      <right/>
      <top/>
      <bottom style="thin">
        <color rgb="FFD1D5DB"/>
      </bottom>
      <diagonal/>
    </border>
  </borders>
  <cellStyleXfs count="1">
    <xf numFmtId="0" fontId="0" fillId="0" borderId="0"/>
  </cellStyleXfs>
  <cellXfs count="41">
    <xf numFmtId="0" fontId="0" fillId="0" borderId="0" xfId="0"/>
    <xf numFmtId="0" fontId="3" fillId="10" borderId="1" xfId="0" applyFont="1" applyFill="1" applyBorder="1"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6" fillId="0" borderId="1" xfId="0" applyFont="1" applyBorder="1" applyAlignment="1">
      <alignment vertical="top" wrapText="1"/>
    </xf>
    <xf numFmtId="0" fontId="0" fillId="5" borderId="1" xfId="0" applyFill="1" applyBorder="1" applyAlignment="1">
      <alignment vertical="top" wrapText="1"/>
    </xf>
    <xf numFmtId="166" fontId="0" fillId="7" borderId="1" xfId="0" applyNumberFormat="1" applyFill="1" applyBorder="1" applyAlignment="1">
      <alignment vertical="top" wrapText="1"/>
    </xf>
    <xf numFmtId="0" fontId="3" fillId="8" borderId="1" xfId="0" applyFont="1" applyFill="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9" fillId="0" borderId="1" xfId="0" applyFont="1" applyBorder="1" applyAlignment="1">
      <alignment vertical="top" wrapText="1"/>
    </xf>
    <xf numFmtId="164" fontId="0" fillId="0" borderId="1" xfId="0" applyNumberFormat="1" applyBorder="1" applyAlignment="1">
      <alignment vertical="top" wrapText="1"/>
    </xf>
    <xf numFmtId="0" fontId="3" fillId="3" borderId="0" xfId="0" applyFont="1" applyFill="1" applyAlignment="1">
      <alignment horizontal="center" vertical="center" wrapText="1"/>
    </xf>
    <xf numFmtId="166" fontId="0" fillId="0" borderId="0" xfId="0" applyNumberFormat="1"/>
    <xf numFmtId="167" fontId="0" fillId="0" borderId="0" xfId="0" applyNumberFormat="1"/>
    <xf numFmtId="0" fontId="11" fillId="0" borderId="1" xfId="0" applyFont="1" applyBorder="1" applyAlignment="1">
      <alignment vertical="top" wrapText="1"/>
    </xf>
    <xf numFmtId="0" fontId="12" fillId="0" borderId="1" xfId="0" applyFont="1" applyBorder="1" applyAlignment="1">
      <alignment vertical="top" wrapText="1"/>
    </xf>
    <xf numFmtId="0" fontId="1" fillId="2" borderId="0" xfId="0" applyFont="1" applyFill="1" applyAlignment="1">
      <alignment vertical="top" wrapText="1"/>
    </xf>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5" fillId="4" borderId="1" xfId="0" applyFont="1" applyFill="1" applyBorder="1" applyAlignment="1">
      <alignment vertical="top" wrapText="1"/>
    </xf>
    <xf numFmtId="0" fontId="0" fillId="7" borderId="1" xfId="0" applyFill="1" applyBorder="1" applyAlignment="1">
      <alignment vertical="top" wrapText="1"/>
    </xf>
    <xf numFmtId="0" fontId="5" fillId="6" borderId="1" xfId="0" applyFont="1" applyFill="1" applyBorder="1" applyAlignment="1">
      <alignment vertical="top" wrapText="1"/>
    </xf>
    <xf numFmtId="0" fontId="1" fillId="2" borderId="0" xfId="0" applyFont="1" applyFill="1"/>
    <xf numFmtId="0" fontId="2" fillId="0" borderId="0" xfId="0" applyFont="1"/>
    <xf numFmtId="0" fontId="0" fillId="0" borderId="0" xfId="0" applyAlignment="1">
      <alignment horizontal="center"/>
    </xf>
    <xf numFmtId="0" fontId="3" fillId="8"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0" fillId="0" borderId="0" xfId="0" applyAlignment="1">
      <alignment horizontal="center"/>
    </xf>
    <xf numFmtId="0" fontId="7" fillId="9" borderId="1" xfId="0" applyFont="1" applyFill="1" applyBorder="1" applyAlignment="1">
      <alignment horizontal="center" vertical="center" wrapText="1"/>
    </xf>
    <xf numFmtId="0" fontId="0" fillId="0" borderId="0" xfId="0" applyAlignment="1">
      <alignment horizontal="center" vertical="center"/>
    </xf>
    <xf numFmtId="0" fontId="8" fillId="9" borderId="1" xfId="0" applyFont="1" applyFill="1" applyBorder="1" applyAlignment="1">
      <alignment horizontal="center" vertical="center" wrapText="1"/>
    </xf>
    <xf numFmtId="168" fontId="7" fillId="9" borderId="1" xfId="0" applyNumberFormat="1" applyFont="1" applyFill="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IN"/>
              <a:t>Dynamic Sales Trend</a:t>
            </a:r>
          </a:p>
        </c:rich>
      </c:tx>
      <c:overlay val="0"/>
    </c:title>
    <c:autoTitleDeleted val="0"/>
    <c:plotArea>
      <c:layout/>
      <c:barChart>
        <c:barDir val="col"/>
        <c:grouping val="clustered"/>
        <c:varyColors val="1"/>
        <c:ser>
          <c:idx val="0"/>
          <c:order val="0"/>
          <c:tx>
            <c:strRef>
              <c:f>DASHBOARD!$H$19</c:f>
              <c:strCache>
                <c:ptCount val="1"/>
                <c:pt idx="0">
                  <c:v>Sales</c:v>
                </c:pt>
              </c:strCache>
            </c:strRef>
          </c:tx>
          <c:spPr>
            <a:ln>
              <a:prstDash val="solid"/>
            </a:ln>
          </c:spPr>
          <c:invertIfNegative val="0"/>
          <c:cat>
            <c:strRef>
              <c:f>DASHBOARD!$G$20:$G$27</c:f>
              <c:strCache>
                <c:ptCount val="8"/>
                <c:pt idx="0">
                  <c:v>Jan</c:v>
                </c:pt>
                <c:pt idx="1">
                  <c:v>Feb</c:v>
                </c:pt>
                <c:pt idx="2">
                  <c:v>Mar</c:v>
                </c:pt>
                <c:pt idx="3">
                  <c:v>Apr</c:v>
                </c:pt>
                <c:pt idx="4">
                  <c:v>May</c:v>
                </c:pt>
                <c:pt idx="5">
                  <c:v>Jun</c:v>
                </c:pt>
                <c:pt idx="6">
                  <c:v>Jul</c:v>
                </c:pt>
                <c:pt idx="7">
                  <c:v>Aug</c:v>
                </c:pt>
              </c:strCache>
            </c:strRef>
          </c:cat>
          <c:val>
            <c:numRef>
              <c:f>DASHBOARD!$H$20:$H$27</c:f>
              <c:numCache>
                <c:formatCode>\₹#,##0</c:formatCode>
                <c:ptCount val="8"/>
                <c:pt idx="0">
                  <c:v>30378474</c:v>
                </c:pt>
                <c:pt idx="1">
                  <c:v>22027539</c:v>
                </c:pt>
                <c:pt idx="2">
                  <c:v>24126996</c:v>
                </c:pt>
                <c:pt idx="3">
                  <c:v>24942867</c:v>
                </c:pt>
                <c:pt idx="4">
                  <c:v>21829041</c:v>
                </c:pt>
                <c:pt idx="5">
                  <c:v>25875630</c:v>
                </c:pt>
                <c:pt idx="6">
                  <c:v>24177615</c:v>
                </c:pt>
                <c:pt idx="7">
                  <c:v>22591192</c:v>
                </c:pt>
              </c:numCache>
            </c:numRef>
          </c:val>
          <c:extLst>
            <c:ext xmlns:c16="http://schemas.microsoft.com/office/drawing/2014/chart" uri="{C3380CC4-5D6E-409C-BE32-E72D297353CC}">
              <c16:uniqueId val="{00000000-CB82-4837-98C4-6B4980834C63}"/>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kumimoji="0" lang="en-IN" sz="1000" b="1" i="0" u="none" strike="noStrike" kern="1200" cap="none" spc="0" normalizeH="0" baseline="0" noProof="0">
                <a:ln>
                  <a:noFill/>
                </a:ln>
                <a:solidFill>
                  <a:sysClr val="windowText" lastClr="000000"/>
                </a:solidFill>
                <a:effectLst/>
                <a:uLnTx/>
                <a:uFillTx/>
                <a:latin typeface="Calibri"/>
              </a:rPr>
              <a:t>Product Sales</a:t>
            </a:r>
          </a:p>
        </c:rich>
      </c:tx>
      <c:overlay val="0"/>
    </c:title>
    <c:autoTitleDeleted val="0"/>
    <c:plotArea>
      <c:layout/>
      <c:barChart>
        <c:barDir val="col"/>
        <c:grouping val="clustered"/>
        <c:varyColors val="0"/>
        <c:ser>
          <c:idx val="0"/>
          <c:order val="0"/>
          <c:invertIfNegative val="0"/>
          <c:val>
            <c:numRef>
              <c:f>DASHBOARD!$K$18:$K$33</c:f>
              <c:numCache>
                <c:formatCode>\₹#,##0</c:formatCode>
                <c:ptCount val="16"/>
                <c:pt idx="0">
                  <c:v>47914620</c:v>
                </c:pt>
                <c:pt idx="1">
                  <c:v>15246420</c:v>
                </c:pt>
                <c:pt idx="2">
                  <c:v>25294170</c:v>
                </c:pt>
                <c:pt idx="3">
                  <c:v>11813945</c:v>
                </c:pt>
                <c:pt idx="4">
                  <c:v>1910464</c:v>
                </c:pt>
                <c:pt idx="5">
                  <c:v>3602544</c:v>
                </c:pt>
                <c:pt idx="6">
                  <c:v>763740</c:v>
                </c:pt>
                <c:pt idx="7">
                  <c:v>3141516</c:v>
                </c:pt>
                <c:pt idx="8">
                  <c:v>8244125</c:v>
                </c:pt>
                <c:pt idx="9">
                  <c:v>14592285</c:v>
                </c:pt>
                <c:pt idx="10">
                  <c:v>22123800</c:v>
                </c:pt>
                <c:pt idx="11">
                  <c:v>9107885</c:v>
                </c:pt>
                <c:pt idx="12">
                  <c:v>10771920</c:v>
                </c:pt>
                <c:pt idx="13">
                  <c:v>4655560</c:v>
                </c:pt>
                <c:pt idx="14">
                  <c:v>9655125</c:v>
                </c:pt>
                <c:pt idx="15">
                  <c:v>7111235</c:v>
                </c:pt>
              </c:numCache>
            </c:numRef>
          </c:val>
          <c:extLst>
            <c:ext xmlns:c15="http://schemas.microsoft.com/office/drawing/2012/chart" uri="{02D57815-91ED-43cb-92C2-25804820EDAC}">
              <c15:filteredSeriesTitle>
                <c15:tx>
                  <c:strRef>
                    <c:extLst>
                      <c:ext uri="{02D57815-91ED-43cb-92C2-25804820EDAC}">
                        <c15:formulaRef>
                          <c15:sqref>DASHBOARD!$K$17</c15:sqref>
                        </c15:formulaRef>
                      </c:ext>
                    </c:extLst>
                    <c:strCache>
                      <c:ptCount val="1"/>
                      <c:pt idx="0">
                        <c:v>Sales</c:v>
                      </c:pt>
                    </c:strCache>
                  </c:strRef>
                </c15:tx>
              </c15:filteredSeriesTitle>
            </c:ext>
            <c:ext xmlns:c15="http://schemas.microsoft.com/office/drawing/2012/chart" uri="{02D57815-91ED-43cb-92C2-25804820EDAC}">
              <c15:filteredCategoryTitle>
                <c15:cat>
                  <c:strRef>
                    <c:extLst>
                      <c:ext uri="{02D57815-91ED-43cb-92C2-25804820EDAC}">
                        <c15:formulaRef>
                          <c15:sqref>DASHBOARD!$J$18:$J$33</c15:sqref>
                        </c15:formulaRef>
                      </c:ext>
                    </c:extLst>
                    <c:strCache>
                      <c:ptCount val="16"/>
                      <c:pt idx="0">
                        <c:v>Laptop Pro</c:v>
                      </c:pt>
                      <c:pt idx="1">
                        <c:v>Monitor 27</c:v>
                      </c:pt>
                      <c:pt idx="2">
                        <c:v>Tablet X</c:v>
                      </c:pt>
                      <c:pt idx="3">
                        <c:v>Printer Pro</c:v>
                      </c:pt>
                      <c:pt idx="4">
                        <c:v>Keyboard</c:v>
                      </c:pt>
                      <c:pt idx="5">
                        <c:v>Headset</c:v>
                      </c:pt>
                      <c:pt idx="6">
                        <c:v>Mouse</c:v>
                      </c:pt>
                      <c:pt idx="7">
                        <c:v>Webcam</c:v>
                      </c:pt>
                      <c:pt idx="8">
                        <c:v>Office Chair</c:v>
                      </c:pt>
                      <c:pt idx="9">
                        <c:v>Standing Desk</c:v>
                      </c:pt>
                      <c:pt idx="10">
                        <c:v>Meeting Table</c:v>
                      </c:pt>
                      <c:pt idx="11">
                        <c:v>Filing Cabinet</c:v>
                      </c:pt>
                      <c:pt idx="12">
                        <c:v>Air Purifier</c:v>
                      </c:pt>
                      <c:pt idx="13">
                        <c:v>Coffee Maker</c:v>
                      </c:pt>
                      <c:pt idx="14">
                        <c:v>Microwave</c:v>
                      </c:pt>
                      <c:pt idx="15">
                        <c:v>Vacuum Cleaner</c:v>
                      </c:pt>
                    </c:strCache>
                  </c:strRef>
                </c15:cat>
              </c15:filteredCategoryTitle>
            </c:ext>
            <c:ext xmlns:c16="http://schemas.microsoft.com/office/drawing/2014/chart" uri="{C3380CC4-5D6E-409C-BE32-E72D297353CC}">
              <c16:uniqueId val="{00000000-D29D-402C-9194-952244BFDAFE}"/>
            </c:ext>
          </c:extLst>
        </c:ser>
        <c:dLbls>
          <c:showLegendKey val="0"/>
          <c:showVal val="0"/>
          <c:showCatName val="0"/>
          <c:showSerName val="0"/>
          <c:showPercent val="0"/>
          <c:showBubbleSize val="0"/>
        </c:dLbls>
        <c:gapWidth val="150"/>
        <c:axId val="1575346368"/>
        <c:axId val="1378119344"/>
      </c:barChart>
      <c:catAx>
        <c:axId val="1575346368"/>
        <c:scaling>
          <c:orientation val="minMax"/>
        </c:scaling>
        <c:delete val="0"/>
        <c:axPos val="b"/>
        <c:numFmt formatCode="General" sourceLinked="1"/>
        <c:majorTickMark val="out"/>
        <c:minorTickMark val="none"/>
        <c:tickLblPos val="nextTo"/>
        <c:crossAx val="1378119344"/>
        <c:crosses val="autoZero"/>
        <c:auto val="1"/>
        <c:lblAlgn val="ctr"/>
        <c:lblOffset val="100"/>
        <c:noMultiLvlLbl val="0"/>
      </c:catAx>
      <c:valAx>
        <c:axId val="1378119344"/>
        <c:scaling>
          <c:orientation val="minMax"/>
        </c:scaling>
        <c:delete val="0"/>
        <c:axPos val="l"/>
        <c:majorGridlines/>
        <c:numFmt formatCode="\₹#,##0" sourceLinked="1"/>
        <c:majorTickMark val="out"/>
        <c:minorTickMark val="none"/>
        <c:tickLblPos val="nextTo"/>
        <c:crossAx val="157534636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Sales Mix by Category</a:t>
            </a:r>
          </a:p>
        </c:rich>
      </c:tx>
      <c:overlay val="1"/>
    </c:title>
    <c:autoTitleDeleted val="0"/>
    <c:plotArea>
      <c:layout/>
      <c:doughnutChart>
        <c:varyColors val="1"/>
        <c:ser>
          <c:idx val="0"/>
          <c:order val="0"/>
          <c:tx>
            <c:strRef>
              <c:f>DASHBOARD!$K$41</c:f>
              <c:strCache>
                <c:ptCount val="1"/>
                <c:pt idx="0">
                  <c:v>Sales</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DASHBOARD!$J$42:$J$45</c:f>
              <c:strCache>
                <c:ptCount val="4"/>
                <c:pt idx="0">
                  <c:v>Electronics</c:v>
                </c:pt>
                <c:pt idx="1">
                  <c:v>Accessories</c:v>
                </c:pt>
                <c:pt idx="2">
                  <c:v>Furniture</c:v>
                </c:pt>
                <c:pt idx="3">
                  <c:v>Home</c:v>
                </c:pt>
              </c:strCache>
            </c:strRef>
          </c:cat>
          <c:val>
            <c:numRef>
              <c:f>DASHBOARD!$K$42:$K$45</c:f>
              <c:numCache>
                <c:formatCode>\₹#,##0</c:formatCode>
                <c:ptCount val="4"/>
                <c:pt idx="0">
                  <c:v>100269155</c:v>
                </c:pt>
                <c:pt idx="1">
                  <c:v>9418264</c:v>
                </c:pt>
                <c:pt idx="2">
                  <c:v>54068095</c:v>
                </c:pt>
                <c:pt idx="3">
                  <c:v>32193840</c:v>
                </c:pt>
              </c:numCache>
            </c:numRef>
          </c:val>
          <c:extLst>
            <c:ext xmlns:c16="http://schemas.microsoft.com/office/drawing/2014/chart" uri="{C3380CC4-5D6E-409C-BE32-E72D297353CC}">
              <c16:uniqueId val="{00000000-3833-4BFD-A149-23A4FAFCAB47}"/>
            </c:ext>
          </c:extLst>
        </c:ser>
        <c:dLbls>
          <c:showLegendKey val="1"/>
          <c:showVal val="1"/>
          <c:showCatName val="1"/>
          <c:showSerName val="1"/>
          <c:showPercent val="1"/>
          <c:showBubbleSize val="1"/>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906780</xdr:colOff>
      <xdr:row>22</xdr:row>
      <xdr:rowOff>7620</xdr:rowOff>
    </xdr:from>
    <xdr:ext cx="432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601980</xdr:colOff>
      <xdr:row>27</xdr:row>
      <xdr:rowOff>175260</xdr:rowOff>
    </xdr:from>
    <xdr:ext cx="4320000" cy="25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12</xdr:col>
      <xdr:colOff>266700</xdr:colOff>
      <xdr:row>36</xdr:row>
      <xdr:rowOff>76200</xdr:rowOff>
    </xdr:from>
    <xdr:ext cx="3600000" cy="252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4:P1504">
  <autoFilter ref="A4:P1504" xr:uid="{00000000-0009-0000-0100-000001000000}"/>
  <tableColumns count="16">
    <tableColumn id="1" xr3:uid="{00000000-0010-0000-0000-000001000000}" name="Date"/>
    <tableColumn id="2" xr3:uid="{00000000-0010-0000-0000-000002000000}" name="Scenario"/>
    <tableColumn id="3" xr3:uid="{00000000-0010-0000-0000-000003000000}" name="Region"/>
    <tableColumn id="4" xr3:uid="{00000000-0010-0000-0000-000004000000}" name="State"/>
    <tableColumn id="5" xr3:uid="{00000000-0010-0000-0000-000005000000}" name="City"/>
    <tableColumn id="6" xr3:uid="{00000000-0010-0000-0000-000006000000}" name="Category"/>
    <tableColumn id="7" xr3:uid="{00000000-0010-0000-0000-000007000000}" name="Product"/>
    <tableColumn id="8" xr3:uid="{00000000-0010-0000-0000-000008000000}" name="Salesperson"/>
    <tableColumn id="9" xr3:uid="{00000000-0010-0000-0000-000009000000}" name="Customer ID"/>
    <tableColumn id="10" xr3:uid="{00000000-0010-0000-0000-00000A000000}" name="Units"/>
    <tableColumn id="11" xr3:uid="{00000000-0010-0000-0000-00000B000000}" name="Sales"/>
    <tableColumn id="12" xr3:uid="{00000000-0010-0000-0000-00000C000000}" name="Cost"/>
    <tableColumn id="13" xr3:uid="{00000000-0010-0000-0000-00000D000000}" name="Profit"/>
    <tableColumn id="14" xr3:uid="{00000000-0010-0000-0000-00000E000000}" name="Channel"/>
    <tableColumn id="15" xr3:uid="{00000000-0010-0000-0000-00000F000000}" name="Order Status"/>
    <tableColumn id="16" xr3:uid="{00000000-0010-0000-0000-000010000000}" name="Product Key"/>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Master" displayName="ProductMaster" ref="A4:D20">
  <autoFilter ref="A4:D20" xr:uid="{00000000-0009-0000-0100-000002000000}"/>
  <tableColumns count="4">
    <tableColumn id="1" xr3:uid="{00000000-0010-0000-0100-000001000000}" name="Product"/>
    <tableColumn id="2" xr3:uid="{00000000-0010-0000-0100-000002000000}" name="Category"/>
    <tableColumn id="3" xr3:uid="{00000000-0010-0000-0100-000003000000}" name="Unit Price"/>
    <tableColumn id="4" xr3:uid="{00000000-0010-0000-0100-000004000000}" name="Supplier ID"/>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ityMaster" displayName="CityMaster" ref="A23:D47">
  <autoFilter ref="A23:D47" xr:uid="{00000000-0009-0000-0100-000003000000}"/>
  <tableColumns count="4">
    <tableColumn id="1" xr3:uid="{00000000-0010-0000-0200-000001000000}" name="City"/>
    <tableColumn id="2" xr3:uid="{00000000-0010-0000-0200-000002000000}" name="State"/>
    <tableColumn id="3" xr3:uid="{00000000-0010-0000-0200-000003000000}" name="Region"/>
    <tableColumn id="4" xr3:uid="{00000000-0010-0000-0200-000004000000}" name="City Manager"/>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shboardPractice" displayName="DashboardPractice" ref="A4:D14">
  <autoFilter ref="A4:D14" xr:uid="{00000000-0009-0000-0100-000004000000}"/>
  <tableColumns count="4">
    <tableColumn id="1" xr3:uid="{00000000-0010-0000-0300-000001000000}" name="#"/>
    <tableColumn id="2" xr3:uid="{00000000-0010-0000-0300-000002000000}" name="Challenge"/>
    <tableColumn id="3" xr3:uid="{00000000-0010-0000-0300-000003000000}" name="Task"/>
    <tableColumn id="4" xr3:uid="{00000000-0010-0000-0300-000004000000}" name="Success condit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24"/>
  <sheetViews>
    <sheetView showGridLines="0" workbookViewId="0">
      <pane ySplit="4" topLeftCell="A5" activePane="bottomLeft" state="frozen"/>
      <selection pane="bottomLeft"/>
    </sheetView>
  </sheetViews>
  <sheetFormatPr defaultRowHeight="14.4" x14ac:dyDescent="0.3"/>
  <cols>
    <col min="1" max="1" width="24" customWidth="1"/>
    <col min="2" max="2" width="70" customWidth="1"/>
    <col min="3" max="3" width="55" customWidth="1"/>
  </cols>
  <sheetData>
    <row r="1" spans="1:10" ht="45.6" customHeight="1" x14ac:dyDescent="0.3">
      <c r="A1" s="19" t="s">
        <v>0</v>
      </c>
      <c r="B1" s="20"/>
      <c r="C1" s="20"/>
      <c r="D1" s="20"/>
      <c r="E1" s="20"/>
      <c r="F1" s="20"/>
      <c r="G1" s="20"/>
      <c r="H1" s="20"/>
      <c r="I1" s="20"/>
      <c r="J1" s="20"/>
    </row>
    <row r="2" spans="1:10" x14ac:dyDescent="0.3">
      <c r="A2" s="22" t="s">
        <v>1</v>
      </c>
      <c r="B2" s="20"/>
      <c r="C2" s="20"/>
      <c r="D2" s="20"/>
      <c r="E2" s="20"/>
      <c r="F2" s="20"/>
      <c r="G2" s="20"/>
      <c r="H2" s="20"/>
      <c r="I2" s="20"/>
      <c r="J2" s="20"/>
    </row>
    <row r="4" spans="1:10" x14ac:dyDescent="0.3">
      <c r="A4" s="1" t="s">
        <v>2</v>
      </c>
      <c r="B4" s="1" t="s">
        <v>3</v>
      </c>
      <c r="C4" s="1" t="s">
        <v>4</v>
      </c>
    </row>
    <row r="5" spans="1:10" x14ac:dyDescent="0.3">
      <c r="A5" s="2" t="s">
        <v>5</v>
      </c>
      <c r="B5" s="2" t="s">
        <v>6</v>
      </c>
      <c r="C5" s="2" t="s">
        <v>7</v>
      </c>
    </row>
    <row r="6" spans="1:10" x14ac:dyDescent="0.3">
      <c r="A6" s="2" t="s">
        <v>8</v>
      </c>
      <c r="B6" s="2" t="s">
        <v>9</v>
      </c>
      <c r="C6" s="2" t="s">
        <v>10</v>
      </c>
    </row>
    <row r="7" spans="1:10" x14ac:dyDescent="0.3">
      <c r="A7" s="2" t="s">
        <v>11</v>
      </c>
      <c r="B7" s="2" t="s">
        <v>12</v>
      </c>
      <c r="C7" s="2" t="s">
        <v>13</v>
      </c>
    </row>
    <row r="8" spans="1:10" x14ac:dyDescent="0.3">
      <c r="A8" s="2" t="s">
        <v>14</v>
      </c>
      <c r="B8" s="2" t="s">
        <v>15</v>
      </c>
      <c r="C8" s="2" t="s">
        <v>16</v>
      </c>
    </row>
    <row r="9" spans="1:10" x14ac:dyDescent="0.3">
      <c r="A9" s="2" t="s">
        <v>17</v>
      </c>
      <c r="B9" s="2" t="s">
        <v>18</v>
      </c>
      <c r="C9" s="2" t="s">
        <v>19</v>
      </c>
    </row>
    <row r="13" spans="1:10" ht="18" x14ac:dyDescent="0.3">
      <c r="A13" s="3" t="s">
        <v>20</v>
      </c>
    </row>
    <row r="14" spans="1:10" x14ac:dyDescent="0.3">
      <c r="A14" s="2" t="s">
        <v>21</v>
      </c>
      <c r="B14" s="2" t="s">
        <v>22</v>
      </c>
    </row>
    <row r="15" spans="1:10" x14ac:dyDescent="0.3">
      <c r="A15" s="2" t="s">
        <v>21</v>
      </c>
      <c r="B15" s="2" t="s">
        <v>23</v>
      </c>
    </row>
    <row r="16" spans="1:10" x14ac:dyDescent="0.3">
      <c r="A16" s="2" t="s">
        <v>21</v>
      </c>
      <c r="B16" s="2" t="s">
        <v>24</v>
      </c>
    </row>
    <row r="17" spans="1:7" x14ac:dyDescent="0.3">
      <c r="A17" s="2" t="s">
        <v>21</v>
      </c>
      <c r="B17" s="2" t="s">
        <v>25</v>
      </c>
    </row>
    <row r="18" spans="1:7" x14ac:dyDescent="0.3">
      <c r="A18" s="2" t="s">
        <v>21</v>
      </c>
      <c r="B18" s="2" t="s">
        <v>26</v>
      </c>
    </row>
    <row r="21" spans="1:7" ht="18" x14ac:dyDescent="0.3">
      <c r="A21" s="4" t="s">
        <v>27</v>
      </c>
    </row>
    <row r="22" spans="1:7" x14ac:dyDescent="0.3">
      <c r="A22" s="21" t="s">
        <v>28</v>
      </c>
      <c r="B22" s="20"/>
      <c r="C22" s="20"/>
      <c r="D22" s="20"/>
      <c r="E22" s="20"/>
      <c r="F22" s="20"/>
      <c r="G22" s="20"/>
    </row>
    <row r="23" spans="1:7" x14ac:dyDescent="0.3">
      <c r="A23" s="20"/>
      <c r="B23" s="20"/>
      <c r="C23" s="20"/>
      <c r="D23" s="20"/>
      <c r="E23" s="20"/>
      <c r="F23" s="20"/>
      <c r="G23" s="20"/>
    </row>
    <row r="24" spans="1:7" x14ac:dyDescent="0.3">
      <c r="A24" s="20"/>
      <c r="B24" s="20"/>
      <c r="C24" s="20"/>
      <c r="D24" s="20"/>
      <c r="E24" s="20"/>
      <c r="F24" s="20"/>
      <c r="G24" s="20"/>
    </row>
  </sheetData>
  <mergeCells count="3">
    <mergeCell ref="A1:J1"/>
    <mergeCell ref="A22:G24"/>
    <mergeCell ref="A2:J2"/>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5"/>
  <sheetViews>
    <sheetView showGridLines="0" tabSelected="1" workbookViewId="0">
      <pane ySplit="4" topLeftCell="A5" activePane="bottomLeft" state="frozen"/>
      <selection pane="bottomLeft" activeCell="A14" sqref="A14:B15"/>
    </sheetView>
  </sheetViews>
  <sheetFormatPr defaultRowHeight="14.4" x14ac:dyDescent="0.3"/>
  <cols>
    <col min="1" max="1" width="23" customWidth="1"/>
    <col min="2" max="2" width="18" customWidth="1"/>
    <col min="3" max="3" width="20" customWidth="1"/>
    <col min="4" max="8" width="18" customWidth="1"/>
    <col min="9" max="9" width="20" customWidth="1"/>
    <col min="10" max="10" width="22" customWidth="1"/>
    <col min="11" max="14" width="18" customWidth="1"/>
    <col min="15" max="16" width="14" customWidth="1"/>
  </cols>
  <sheetData>
    <row r="1" spans="1:16" x14ac:dyDescent="0.3">
      <c r="A1" s="19" t="s">
        <v>29</v>
      </c>
      <c r="B1" s="20"/>
      <c r="C1" s="20"/>
      <c r="D1" s="20"/>
      <c r="E1" s="20"/>
      <c r="F1" s="20"/>
      <c r="G1" s="20"/>
      <c r="H1" s="20"/>
      <c r="I1" s="20"/>
      <c r="J1" s="20"/>
      <c r="K1" s="20"/>
      <c r="L1" s="20"/>
      <c r="M1" s="20"/>
      <c r="N1" s="20"/>
      <c r="O1" s="20"/>
      <c r="P1" s="20"/>
    </row>
    <row r="2" spans="1:16" x14ac:dyDescent="0.3">
      <c r="A2" s="22" t="s">
        <v>30</v>
      </c>
      <c r="B2" s="20"/>
      <c r="C2" s="20"/>
      <c r="D2" s="20"/>
      <c r="E2" s="20"/>
      <c r="F2" s="20"/>
      <c r="G2" s="20"/>
      <c r="H2" s="20"/>
      <c r="I2" s="20"/>
      <c r="J2" s="20"/>
      <c r="K2" s="20"/>
      <c r="L2" s="20"/>
      <c r="M2" s="20"/>
      <c r="N2" s="20"/>
      <c r="O2" s="20"/>
      <c r="P2" s="20"/>
    </row>
    <row r="4" spans="1:16" x14ac:dyDescent="0.3">
      <c r="A4" s="23" t="s">
        <v>31</v>
      </c>
      <c r="B4" s="20"/>
      <c r="C4" s="20"/>
      <c r="D4" s="20"/>
      <c r="E4" s="25" t="s">
        <v>32</v>
      </c>
      <c r="F4" s="20"/>
      <c r="G4" s="20"/>
    </row>
    <row r="5" spans="1:16" x14ac:dyDescent="0.3">
      <c r="A5" s="5" t="s">
        <v>33</v>
      </c>
      <c r="B5" s="6" t="s">
        <v>34</v>
      </c>
      <c r="E5" s="2" t="s">
        <v>35</v>
      </c>
      <c r="F5" s="7">
        <v>46023</v>
      </c>
    </row>
    <row r="6" spans="1:16" x14ac:dyDescent="0.3">
      <c r="A6" s="5" t="s">
        <v>36</v>
      </c>
      <c r="B6" s="6" t="s">
        <v>37</v>
      </c>
      <c r="E6" s="2" t="s">
        <v>38</v>
      </c>
      <c r="F6" s="7">
        <v>46265</v>
      </c>
    </row>
    <row r="7" spans="1:16" x14ac:dyDescent="0.3">
      <c r="A7" s="5" t="s">
        <v>39</v>
      </c>
      <c r="B7" s="6" t="s">
        <v>37</v>
      </c>
      <c r="E7" s="2" t="s">
        <v>40</v>
      </c>
      <c r="F7" s="24" t="s">
        <v>41</v>
      </c>
      <c r="G7" s="20"/>
    </row>
    <row r="8" spans="1:16" x14ac:dyDescent="0.3">
      <c r="A8" s="5" t="s">
        <v>42</v>
      </c>
      <c r="B8" s="6" t="s">
        <v>37</v>
      </c>
    </row>
    <row r="9" spans="1:16" x14ac:dyDescent="0.3">
      <c r="A9" s="5" t="s">
        <v>43</v>
      </c>
      <c r="B9" s="6" t="s">
        <v>37</v>
      </c>
    </row>
    <row r="10" spans="1:16" x14ac:dyDescent="0.3">
      <c r="A10" s="5" t="s">
        <v>44</v>
      </c>
      <c r="B10" s="6" t="s">
        <v>45</v>
      </c>
    </row>
    <row r="11" spans="1:16" x14ac:dyDescent="0.3">
      <c r="A11" s="5" t="s">
        <v>46</v>
      </c>
      <c r="B11" s="6" t="s">
        <v>47</v>
      </c>
    </row>
    <row r="13" spans="1:16" s="35" customFormat="1" x14ac:dyDescent="0.3">
      <c r="A13" s="29" t="s">
        <v>48</v>
      </c>
      <c r="B13" s="28"/>
      <c r="C13" s="30" t="s">
        <v>49</v>
      </c>
      <c r="D13" s="28"/>
      <c r="E13" s="31" t="s">
        <v>50</v>
      </c>
      <c r="F13" s="28"/>
      <c r="G13" s="32" t="s">
        <v>51</v>
      </c>
      <c r="H13" s="28"/>
      <c r="I13" s="33" t="s">
        <v>52</v>
      </c>
      <c r="J13" s="28"/>
      <c r="K13" s="34" t="s">
        <v>53</v>
      </c>
      <c r="L13" s="28"/>
      <c r="M13" s="32" t="s">
        <v>54</v>
      </c>
      <c r="N13" s="28"/>
    </row>
    <row r="14" spans="1:16" s="40" customFormat="1" ht="40.799999999999997" customHeight="1" x14ac:dyDescent="0.3">
      <c r="A14" s="36">
        <f>SUMIFS('RAW DATA'!$K$5:$K$1504,'RAW DATA'!$B$5:$B$1504,$B$5,'RAW DATA'!$C$5:$C$1504,IF($B$6="All","&lt;&gt;",$B$6),'RAW DATA'!$D$5:$D$1504,IF($B$7="All","&lt;&gt;",$B$7),'RAW DATA'!$E$5:$E$1504,IF($B$8="All","&lt;&gt;",$B$8),'RAW DATA'!$F$5:$F$1504,IF($B$9="All","&lt;&gt;",$B$9),'RAW DATA'!$A$5:$A$1504,"&gt;="&amp;$F$5,'RAW DATA'!$A$5:$A$1504,"&lt;="&amp;$F$6)</f>
        <v>195949354</v>
      </c>
      <c r="B14" s="37"/>
      <c r="C14" s="36">
        <f>SUMIFS('RAW DATA'!$M$5:$M$1504,'RAW DATA'!$B$5:$B$1504,$B$5,'RAW DATA'!$C$5:$C$1504,IF($B$6="All","&lt;&gt;",$B$6),'RAW DATA'!$D$5:$D$1504,IF($B$7="All","&lt;&gt;",$B$7),'RAW DATA'!$E$5:$E$1504,IF($B$8="All","&lt;&gt;",$B$8),'RAW DATA'!$F$5:$F$1504,IF($B$9="All","&lt;&gt;",$B$9),'RAW DATA'!$A$5:$A$1504,"&gt;="&amp;$F$5,'RAW DATA'!$A$5:$A$1504,"&lt;="&amp;$F$6)</f>
        <v>54555306.919999965</v>
      </c>
      <c r="D14" s="37"/>
      <c r="E14" s="36">
        <f>SUMIFS('RAW DATA'!$J$5:$J$1504,'RAW DATA'!$B$5:$B$1504,$B$5,'RAW DATA'!$C$5:$C$1504,IF($B$6="All","&lt;&gt;",$B$6),'RAW DATA'!$D$5:$D$1504,IF($B$7="All","&lt;&gt;",$B$7),'RAW DATA'!$E$5:$E$1504,IF($B$8="All","&lt;&gt;",$B$8),'RAW DATA'!$F$5:$F$1504,IF($B$9="All","&lt;&gt;",$B$9),'RAW DATA'!$A$5:$A$1504,"&gt;="&amp;$F$5,'RAW DATA'!$A$5:$A$1504,"&lt;="&amp;$F$6)</f>
        <v>10909</v>
      </c>
      <c r="F14" s="37"/>
      <c r="G14" s="36">
        <f>IFERROR(A14/E14,0)</f>
        <v>17962.173801448345</v>
      </c>
      <c r="H14" s="37"/>
      <c r="I14" s="38" t="str">
        <f>INDEX($J$18:$J$33,MATCH(MAX($K$18:$K$33),$K$18:$K$33,0))</f>
        <v>Laptop Pro</v>
      </c>
      <c r="J14" s="37"/>
      <c r="K14" s="39">
        <f>IFERROR(C14/A14,0)</f>
        <v>0.27841534460991368</v>
      </c>
      <c r="L14" s="37"/>
      <c r="M14" s="36">
        <f>CHOOSE(MATCH($B$10,{"Sales","Profit","Units"},0),A14,C14,E14)</f>
        <v>195949354</v>
      </c>
      <c r="N14" s="37"/>
    </row>
    <row r="15" spans="1:16" s="40" customFormat="1" x14ac:dyDescent="0.3">
      <c r="A15" s="37"/>
      <c r="B15" s="37"/>
      <c r="C15" s="37"/>
      <c r="D15" s="37"/>
      <c r="E15" s="37"/>
      <c r="F15" s="37"/>
      <c r="G15" s="37"/>
      <c r="H15" s="37"/>
      <c r="I15" s="37"/>
      <c r="J15" s="37"/>
      <c r="K15" s="37"/>
      <c r="L15" s="37"/>
      <c r="M15" s="37"/>
      <c r="N15" s="37"/>
    </row>
    <row r="17" spans="1:13" x14ac:dyDescent="0.3">
      <c r="J17" s="11" t="s">
        <v>55</v>
      </c>
      <c r="K17" s="11" t="s">
        <v>45</v>
      </c>
      <c r="L17" s="11" t="s">
        <v>56</v>
      </c>
      <c r="M17" s="11" t="s">
        <v>57</v>
      </c>
    </row>
    <row r="18" spans="1:13" ht="46.8" x14ac:dyDescent="0.3">
      <c r="A18" s="12" t="s">
        <v>58</v>
      </c>
      <c r="D18" s="12" t="s">
        <v>59</v>
      </c>
      <c r="G18" s="12" t="s">
        <v>60</v>
      </c>
      <c r="J18" s="2" t="s">
        <v>61</v>
      </c>
      <c r="K18" s="13">
        <f>SUMIFS('RAW DATA'!$K$5:$K$1504,'RAW DATA'!$B$5:$B$1504,$B$5,'RAW DATA'!$C$5:$C$1504,IF($B$6="All","&lt;&gt;",$B$6),'RAW DATA'!$D$5:$D$1504,IF($B$7="All","&lt;&gt;",$B$7),'RAW DATA'!$E$5:$E$1504,IF($B$8="All","&lt;&gt;",$B$8),'RAW DATA'!$F$5:$F$1504,IF($B$9="All","&lt;&gt;",$B$9),'RAW DATA'!$A$5:$A$1504,"&gt;="&amp;$F$5,'RAW DATA'!$A$5:$A$1504,"&lt;="&amp;$F$6,'RAW DATA'!$G$5:$G$1504,J18)</f>
        <v>47914620</v>
      </c>
      <c r="L18" s="13">
        <f>SUMIFS('RAW DATA'!$M$5:$M$1504,'RAW DATA'!$B$5:$B$1504,$B$5,'RAW DATA'!$C$5:$C$1504,IF($B$6="All","&lt;&gt;",$B$6),'RAW DATA'!$D$5:$D$1504,IF($B$7="All","&lt;&gt;",$B$7),'RAW DATA'!$E$5:$E$1504,IF($B$8="All","&lt;&gt;",$B$8),'RAW DATA'!$F$5:$F$1504,IF($B$9="All","&lt;&gt;",$B$9),'RAW DATA'!$A$5:$A$1504,"&gt;="&amp;$F$5,'RAW DATA'!$A$5:$A$1504,"&lt;="&amp;$F$6,'RAW DATA'!$G$5:$G$1504,J18)</f>
        <v>13409244.809999995</v>
      </c>
      <c r="M18" s="2">
        <f>SUMIFS('RAW DATA'!$J$5:$J$1504,'RAW DATA'!$B$5:$B$1504,$B$5,'RAW DATA'!$C$5:$C$1504,IF($B$6="All","&lt;&gt;",$B$6),'RAW DATA'!$D$5:$D$1504,IF($B$7="All","&lt;&gt;",$B$7),'RAW DATA'!$E$5:$E$1504,IF($B$8="All","&lt;&gt;",$B$8),'RAW DATA'!$F$5:$F$1504,IF($B$9="All","&lt;&gt;",$B$9),'RAW DATA'!$A$5:$A$1504,"&gt;="&amp;$F$5,'RAW DATA'!$A$5:$A$1504,"&lt;="&amp;$F$6,'RAW DATA'!$G$5:$G$1504,J18)</f>
        <v>647</v>
      </c>
    </row>
    <row r="19" spans="1:13" x14ac:dyDescent="0.3">
      <c r="A19" s="2" t="s">
        <v>43</v>
      </c>
      <c r="B19" s="2" t="str">
        <f>_xlfn.XLOOKUP(I14,'MASTER DATA'!$A$5:$A$20,'MASTER DATA'!$B$5:$B$20,"Not Found")</f>
        <v>Electronics</v>
      </c>
      <c r="D19" s="2" t="s">
        <v>62</v>
      </c>
      <c r="E19" s="2" t="str">
        <f>IF($B$8="All","—",INDEX('MASTER DATA'!$D$24:$D$47,MATCH($B$8,'MASTER DATA'!$A$24:$A$47,0)))</f>
        <v>—</v>
      </c>
      <c r="G19" s="9" t="s">
        <v>63</v>
      </c>
      <c r="H19" s="9" t="s">
        <v>45</v>
      </c>
      <c r="J19" s="2" t="s">
        <v>64</v>
      </c>
      <c r="K19" s="13">
        <f>SUMIFS('RAW DATA'!$K$5:$K$1504,'RAW DATA'!$B$5:$B$1504,$B$5,'RAW DATA'!$C$5:$C$1504,IF($B$6="All","&lt;&gt;",$B$6),'RAW DATA'!$D$5:$D$1504,IF($B$7="All","&lt;&gt;",$B$7),'RAW DATA'!$E$5:$E$1504,IF($B$8="All","&lt;&gt;",$B$8),'RAW DATA'!$F$5:$F$1504,IF($B$9="All","&lt;&gt;",$B$9),'RAW DATA'!$A$5:$A$1504,"&gt;="&amp;$F$5,'RAW DATA'!$A$5:$A$1504,"&lt;="&amp;$F$6,'RAW DATA'!$G$5:$G$1504,J19)</f>
        <v>15246420</v>
      </c>
      <c r="L19" s="13">
        <f>SUMIFS('RAW DATA'!$M$5:$M$1504,'RAW DATA'!$B$5:$B$1504,$B$5,'RAW DATA'!$C$5:$C$1504,IF($B$6="All","&lt;&gt;",$B$6),'RAW DATA'!$D$5:$D$1504,IF($B$7="All","&lt;&gt;",$B$7),'RAW DATA'!$E$5:$E$1504,IF($B$8="All","&lt;&gt;",$B$8),'RAW DATA'!$F$5:$F$1504,IF($B$9="All","&lt;&gt;",$B$9),'RAW DATA'!$A$5:$A$1504,"&gt;="&amp;$F$5,'RAW DATA'!$A$5:$A$1504,"&lt;="&amp;$F$6,'RAW DATA'!$G$5:$G$1504,J19)</f>
        <v>4289835.0300000012</v>
      </c>
      <c r="M19" s="2">
        <f>SUMIFS('RAW DATA'!$J$5:$J$1504,'RAW DATA'!$B$5:$B$1504,$B$5,'RAW DATA'!$C$5:$C$1504,IF($B$6="All","&lt;&gt;",$B$6),'RAW DATA'!$D$5:$D$1504,IF($B$7="All","&lt;&gt;",$B$7),'RAW DATA'!$E$5:$E$1504,IF($B$8="All","&lt;&gt;",$B$8),'RAW DATA'!$F$5:$F$1504,IF($B$9="All","&lt;&gt;",$B$9),'RAW DATA'!$A$5:$A$1504,"&gt;="&amp;$F$5,'RAW DATA'!$A$5:$A$1504,"&lt;="&amp;$F$6,'RAW DATA'!$G$5:$G$1504,J19)</f>
        <v>764</v>
      </c>
    </row>
    <row r="20" spans="1:13" x14ac:dyDescent="0.3">
      <c r="A20" s="2" t="s">
        <v>65</v>
      </c>
      <c r="B20" s="13">
        <f>_xlfn.XLOOKUP(I14,'MASTER DATA'!$A$5:$A$20,'MASTER DATA'!$C$5:$C$20,0)</f>
        <v>78000</v>
      </c>
      <c r="D20" s="2" t="s">
        <v>36</v>
      </c>
      <c r="E20" s="2" t="str">
        <f>IF($B$8="All","All",INDEX('MASTER DATA'!$C$24:$C$47,MATCH($B$8,'MASTER DATA'!$A$24:$A$47,0)))</f>
        <v>All</v>
      </c>
      <c r="G20" s="2" t="s">
        <v>66</v>
      </c>
      <c r="H20" s="13">
        <f>SUMIFS('RAW DATA'!$K$5:$K$1504,'RAW DATA'!$B$5:$B$1504,$B$5,'RAW DATA'!$C$5:$C$1504,IF($B$6="All","&lt;&gt;",$B$6),'RAW DATA'!$D$5:$D$1504,IF($B$7="All","&lt;&gt;",$B$7),'RAW DATA'!$E$5:$E$1504,IF($B$8="All","&lt;&gt;",$B$8),'RAW DATA'!$F$5:$F$1504,IF($B$9="All","&lt;&gt;",$B$9),'RAW DATA'!$A$5:$A$1504,"&gt;="&amp;$F$5,'RAW DATA'!$A$5:$A$1504,"&lt;="&amp;$F$6,'RAW DATA'!$A$5:$A$1504,"&gt;="&amp;DATE(2026,1,1),'RAW DATA'!$A$5:$A$1504,"&lt;"&amp;EDATE(DATE(2026,1,1),1))</f>
        <v>30378474</v>
      </c>
      <c r="J20" s="2" t="s">
        <v>67</v>
      </c>
      <c r="K20" s="13">
        <f>SUMIFS('RAW DATA'!$K$5:$K$1504,'RAW DATA'!$B$5:$B$1504,$B$5,'RAW DATA'!$C$5:$C$1504,IF($B$6="All","&lt;&gt;",$B$6),'RAW DATA'!$D$5:$D$1504,IF($B$7="All","&lt;&gt;",$B$7),'RAW DATA'!$E$5:$E$1504,IF($B$8="All","&lt;&gt;",$B$8),'RAW DATA'!$F$5:$F$1504,IF($B$9="All","&lt;&gt;",$B$9),'RAW DATA'!$A$5:$A$1504,"&gt;="&amp;$F$5,'RAW DATA'!$A$5:$A$1504,"&lt;="&amp;$F$6,'RAW DATA'!$G$5:$G$1504,J20)</f>
        <v>25294170</v>
      </c>
      <c r="L20" s="13">
        <f>SUMIFS('RAW DATA'!$M$5:$M$1504,'RAW DATA'!$B$5:$B$1504,$B$5,'RAW DATA'!$C$5:$C$1504,IF($B$6="All","&lt;&gt;",$B$6),'RAW DATA'!$D$5:$D$1504,IF($B$7="All","&lt;&gt;",$B$7),'RAW DATA'!$E$5:$E$1504,IF($B$8="All","&lt;&gt;",$B$8),'RAW DATA'!$F$5:$F$1504,IF($B$9="All","&lt;&gt;",$B$9),'RAW DATA'!$A$5:$A$1504,"&gt;="&amp;$F$5,'RAW DATA'!$A$5:$A$1504,"&lt;="&amp;$F$6,'RAW DATA'!$G$5:$G$1504,J20)</f>
        <v>7086714.4299999988</v>
      </c>
      <c r="M20" s="2">
        <f>SUMIFS('RAW DATA'!$J$5:$J$1504,'RAW DATA'!$B$5:$B$1504,$B$5,'RAW DATA'!$C$5:$C$1504,IF($B$6="All","&lt;&gt;",$B$6),'RAW DATA'!$D$5:$D$1504,IF($B$7="All","&lt;&gt;",$B$7),'RAW DATA'!$E$5:$E$1504,IF($B$8="All","&lt;&gt;",$B$8),'RAW DATA'!$F$5:$F$1504,IF($B$9="All","&lt;&gt;",$B$9),'RAW DATA'!$A$5:$A$1504,"&gt;="&amp;$F$5,'RAW DATA'!$A$5:$A$1504,"&lt;="&amp;$F$6,'RAW DATA'!$G$5:$G$1504,J20)</f>
        <v>808</v>
      </c>
    </row>
    <row r="21" spans="1:13" x14ac:dyDescent="0.3">
      <c r="A21" s="2" t="s">
        <v>68</v>
      </c>
      <c r="B21" s="2" t="str">
        <f>_xlfn.XLOOKUP(I14,'MASTER DATA'!$A$5:$A$20,'MASTER DATA'!$D$5:$D$20,"Not Found")</f>
        <v>SUP04</v>
      </c>
      <c r="G21" s="2" t="s">
        <v>69</v>
      </c>
      <c r="H21" s="13">
        <f>SUMIFS('RAW DATA'!$K$5:$K$1504,'RAW DATA'!$B$5:$B$1504,$B$5,'RAW DATA'!$C$5:$C$1504,IF($B$6="All","&lt;&gt;",$B$6),'RAW DATA'!$D$5:$D$1504,IF($B$7="All","&lt;&gt;",$B$7),'RAW DATA'!$E$5:$E$1504,IF($B$8="All","&lt;&gt;",$B$8),'RAW DATA'!$F$5:$F$1504,IF($B$9="All","&lt;&gt;",$B$9),'RAW DATA'!$A$5:$A$1504,"&gt;="&amp;$F$5,'RAW DATA'!$A$5:$A$1504,"&lt;="&amp;$F$6,'RAW DATA'!$A$5:$A$1504,"&gt;="&amp;DATE(2026,2,1),'RAW DATA'!$A$5:$A$1504,"&lt;"&amp;EDATE(DATE(2026,2,1),1))</f>
        <v>22027539</v>
      </c>
      <c r="J21" s="2" t="s">
        <v>70</v>
      </c>
      <c r="K21" s="13">
        <f>SUMIFS('RAW DATA'!$K$5:$K$1504,'RAW DATA'!$B$5:$B$1504,$B$5,'RAW DATA'!$C$5:$C$1504,IF($B$6="All","&lt;&gt;",$B$6),'RAW DATA'!$D$5:$D$1504,IF($B$7="All","&lt;&gt;",$B$7),'RAW DATA'!$E$5:$E$1504,IF($B$8="All","&lt;&gt;",$B$8),'RAW DATA'!$F$5:$F$1504,IF($B$9="All","&lt;&gt;",$B$9),'RAW DATA'!$A$5:$A$1504,"&gt;="&amp;$F$5,'RAW DATA'!$A$5:$A$1504,"&lt;="&amp;$F$6,'RAW DATA'!$G$5:$G$1504,J21)</f>
        <v>11813945</v>
      </c>
      <c r="L21" s="13">
        <f>SUMIFS('RAW DATA'!$M$5:$M$1504,'RAW DATA'!$B$5:$B$1504,$B$5,'RAW DATA'!$C$5:$C$1504,IF($B$6="All","&lt;&gt;",$B$6),'RAW DATA'!$D$5:$D$1504,IF($B$7="All","&lt;&gt;",$B$7),'RAW DATA'!$E$5:$E$1504,IF($B$8="All","&lt;&gt;",$B$8),'RAW DATA'!$F$5:$F$1504,IF($B$9="All","&lt;&gt;",$B$9),'RAW DATA'!$A$5:$A$1504,"&gt;="&amp;$F$5,'RAW DATA'!$A$5:$A$1504,"&lt;="&amp;$F$6,'RAW DATA'!$G$5:$G$1504,J21)</f>
        <v>3357729.05</v>
      </c>
      <c r="M21" s="2">
        <f>SUMIFS('RAW DATA'!$J$5:$J$1504,'RAW DATA'!$B$5:$B$1504,$B$5,'RAW DATA'!$C$5:$C$1504,IF($B$6="All","&lt;&gt;",$B$6),'RAW DATA'!$D$5:$D$1504,IF($B$7="All","&lt;&gt;",$B$7),'RAW DATA'!$E$5:$E$1504,IF($B$8="All","&lt;&gt;",$B$8),'RAW DATA'!$F$5:$F$1504,IF($B$9="All","&lt;&gt;",$B$9),'RAW DATA'!$A$5:$A$1504,"&gt;="&amp;$F$5,'RAW DATA'!$A$5:$A$1504,"&lt;="&amp;$F$6,'RAW DATA'!$G$5:$G$1504,J21)</f>
        <v>799</v>
      </c>
    </row>
    <row r="22" spans="1:13" x14ac:dyDescent="0.3">
      <c r="G22" s="2" t="s">
        <v>71</v>
      </c>
      <c r="H22" s="13">
        <f>SUMIFS('RAW DATA'!$K$5:$K$1504,'RAW DATA'!$B$5:$B$1504,$B$5,'RAW DATA'!$C$5:$C$1504,IF($B$6="All","&lt;&gt;",$B$6),'RAW DATA'!$D$5:$D$1504,IF($B$7="All","&lt;&gt;",$B$7),'RAW DATA'!$E$5:$E$1504,IF($B$8="All","&lt;&gt;",$B$8),'RAW DATA'!$F$5:$F$1504,IF($B$9="All","&lt;&gt;",$B$9),'RAW DATA'!$A$5:$A$1504,"&gt;="&amp;$F$5,'RAW DATA'!$A$5:$A$1504,"&lt;="&amp;$F$6,'RAW DATA'!$A$5:$A$1504,"&gt;="&amp;DATE(2026,3,1),'RAW DATA'!$A$5:$A$1504,"&lt;"&amp;EDATE(DATE(2026,3,1),1))</f>
        <v>24126996</v>
      </c>
      <c r="J22" s="2" t="s">
        <v>72</v>
      </c>
      <c r="K22" s="13">
        <f>SUMIFS('RAW DATA'!$K$5:$K$1504,'RAW DATA'!$B$5:$B$1504,$B$5,'RAW DATA'!$C$5:$C$1504,IF($B$6="All","&lt;&gt;",$B$6),'RAW DATA'!$D$5:$D$1504,IF($B$7="All","&lt;&gt;",$B$7),'RAW DATA'!$E$5:$E$1504,IF($B$8="All","&lt;&gt;",$B$8),'RAW DATA'!$F$5:$F$1504,IF($B$9="All","&lt;&gt;",$B$9),'RAW DATA'!$A$5:$A$1504,"&gt;="&amp;$F$5,'RAW DATA'!$A$5:$A$1504,"&lt;="&amp;$F$6,'RAW DATA'!$G$5:$G$1504,J22)</f>
        <v>1910464</v>
      </c>
      <c r="L22" s="13">
        <f>SUMIFS('RAW DATA'!$M$5:$M$1504,'RAW DATA'!$B$5:$B$1504,$B$5,'RAW DATA'!$C$5:$C$1504,IF($B$6="All","&lt;&gt;",$B$6),'RAW DATA'!$D$5:$D$1504,IF($B$7="All","&lt;&gt;",$B$7),'RAW DATA'!$E$5:$E$1504,IF($B$8="All","&lt;&gt;",$B$8),'RAW DATA'!$F$5:$F$1504,IF($B$9="All","&lt;&gt;",$B$9),'RAW DATA'!$A$5:$A$1504,"&gt;="&amp;$F$5,'RAW DATA'!$A$5:$A$1504,"&lt;="&amp;$F$6,'RAW DATA'!$G$5:$G$1504,J22)</f>
        <v>555392.4</v>
      </c>
      <c r="M22" s="2">
        <f>SUMIFS('RAW DATA'!$J$5:$J$1504,'RAW DATA'!$B$5:$B$1504,$B$5,'RAW DATA'!$C$5:$C$1504,IF($B$6="All","&lt;&gt;",$B$6),'RAW DATA'!$D$5:$D$1504,IF($B$7="All","&lt;&gt;",$B$7),'RAW DATA'!$E$5:$E$1504,IF($B$8="All","&lt;&gt;",$B$8),'RAW DATA'!$F$5:$F$1504,IF($B$9="All","&lt;&gt;",$B$9),'RAW DATA'!$A$5:$A$1504,"&gt;="&amp;$F$5,'RAW DATA'!$A$5:$A$1504,"&lt;="&amp;$F$6,'RAW DATA'!$G$5:$G$1504,J22)</f>
        <v>627</v>
      </c>
    </row>
    <row r="23" spans="1:13" x14ac:dyDescent="0.3">
      <c r="G23" s="2" t="s">
        <v>73</v>
      </c>
      <c r="H23" s="13">
        <f>SUMIFS('RAW DATA'!$K$5:$K$1504,'RAW DATA'!$B$5:$B$1504,$B$5,'RAW DATA'!$C$5:$C$1504,IF($B$6="All","&lt;&gt;",$B$6),'RAW DATA'!$D$5:$D$1504,IF($B$7="All","&lt;&gt;",$B$7),'RAW DATA'!$E$5:$E$1504,IF($B$8="All","&lt;&gt;",$B$8),'RAW DATA'!$F$5:$F$1504,IF($B$9="All","&lt;&gt;",$B$9),'RAW DATA'!$A$5:$A$1504,"&gt;="&amp;$F$5,'RAW DATA'!$A$5:$A$1504,"&lt;="&amp;$F$6,'RAW DATA'!$A$5:$A$1504,"&gt;="&amp;DATE(2026,4,1),'RAW DATA'!$A$5:$A$1504,"&lt;"&amp;EDATE(DATE(2026,4,1),1))</f>
        <v>24942867</v>
      </c>
      <c r="J23" s="2" t="s">
        <v>74</v>
      </c>
      <c r="K23" s="13">
        <f>SUMIFS('RAW DATA'!$K$5:$K$1504,'RAW DATA'!$B$5:$B$1504,$B$5,'RAW DATA'!$C$5:$C$1504,IF($B$6="All","&lt;&gt;",$B$6),'RAW DATA'!$D$5:$D$1504,IF($B$7="All","&lt;&gt;",$B$7),'RAW DATA'!$E$5:$E$1504,IF($B$8="All","&lt;&gt;",$B$8),'RAW DATA'!$F$5:$F$1504,IF($B$9="All","&lt;&gt;",$B$9),'RAW DATA'!$A$5:$A$1504,"&gt;="&amp;$F$5,'RAW DATA'!$A$5:$A$1504,"&lt;="&amp;$F$6,'RAW DATA'!$G$5:$G$1504,J23)</f>
        <v>3602544</v>
      </c>
      <c r="L23" s="13">
        <f>SUMIFS('RAW DATA'!$M$5:$M$1504,'RAW DATA'!$B$5:$B$1504,$B$5,'RAW DATA'!$C$5:$C$1504,IF($B$6="All","&lt;&gt;",$B$6),'RAW DATA'!$D$5:$D$1504,IF($B$7="All","&lt;&gt;",$B$7),'RAW DATA'!$E$5:$E$1504,IF($B$8="All","&lt;&gt;",$B$8),'RAW DATA'!$F$5:$F$1504,IF($B$9="All","&lt;&gt;",$B$9),'RAW DATA'!$A$5:$A$1504,"&gt;="&amp;$F$5,'RAW DATA'!$A$5:$A$1504,"&lt;="&amp;$F$6,'RAW DATA'!$G$5:$G$1504,J23)</f>
        <v>1034301.19</v>
      </c>
      <c r="M23" s="2">
        <f>SUMIFS('RAW DATA'!$J$5:$J$1504,'RAW DATA'!$B$5:$B$1504,$B$5,'RAW DATA'!$C$5:$C$1504,IF($B$6="All","&lt;&gt;",$B$6),'RAW DATA'!$D$5:$D$1504,IF($B$7="All","&lt;&gt;",$B$7),'RAW DATA'!$E$5:$E$1504,IF($B$8="All","&lt;&gt;",$B$8),'RAW DATA'!$F$5:$F$1504,IF($B$9="All","&lt;&gt;",$B$9),'RAW DATA'!$A$5:$A$1504,"&gt;="&amp;$F$5,'RAW DATA'!$A$5:$A$1504,"&lt;="&amp;$F$6,'RAW DATA'!$G$5:$G$1504,J23)</f>
        <v>787</v>
      </c>
    </row>
    <row r="24" spans="1:13" x14ac:dyDescent="0.3">
      <c r="G24" s="2" t="s">
        <v>75</v>
      </c>
      <c r="H24" s="13">
        <f>SUMIFS('RAW DATA'!$K$5:$K$1504,'RAW DATA'!$B$5:$B$1504,$B$5,'RAW DATA'!$C$5:$C$1504,IF($B$6="All","&lt;&gt;",$B$6),'RAW DATA'!$D$5:$D$1504,IF($B$7="All","&lt;&gt;",$B$7),'RAW DATA'!$E$5:$E$1504,IF($B$8="All","&lt;&gt;",$B$8),'RAW DATA'!$F$5:$F$1504,IF($B$9="All","&lt;&gt;",$B$9),'RAW DATA'!$A$5:$A$1504,"&gt;="&amp;$F$5,'RAW DATA'!$A$5:$A$1504,"&lt;="&amp;$F$6,'RAW DATA'!$A$5:$A$1504,"&gt;="&amp;DATE(2026,5,1),'RAW DATA'!$A$5:$A$1504,"&lt;"&amp;EDATE(DATE(2026,5,1),1))</f>
        <v>21829041</v>
      </c>
      <c r="J24" s="2" t="s">
        <v>76</v>
      </c>
      <c r="K24" s="13">
        <f>SUMIFS('RAW DATA'!$K$5:$K$1504,'RAW DATA'!$B$5:$B$1504,$B$5,'RAW DATA'!$C$5:$C$1504,IF($B$6="All","&lt;&gt;",$B$6),'RAW DATA'!$D$5:$D$1504,IF($B$7="All","&lt;&gt;",$B$7),'RAW DATA'!$E$5:$E$1504,IF($B$8="All","&lt;&gt;",$B$8),'RAW DATA'!$F$5:$F$1504,IF($B$9="All","&lt;&gt;",$B$9),'RAW DATA'!$A$5:$A$1504,"&gt;="&amp;$F$5,'RAW DATA'!$A$5:$A$1504,"&lt;="&amp;$F$6,'RAW DATA'!$G$5:$G$1504,J24)</f>
        <v>763740</v>
      </c>
      <c r="L24" s="13">
        <f>SUMIFS('RAW DATA'!$M$5:$M$1504,'RAW DATA'!$B$5:$B$1504,$B$5,'RAW DATA'!$C$5:$C$1504,IF($B$6="All","&lt;&gt;",$B$6),'RAW DATA'!$D$5:$D$1504,IF($B$7="All","&lt;&gt;",$B$7),'RAW DATA'!$E$5:$E$1504,IF($B$8="All","&lt;&gt;",$B$8),'RAW DATA'!$F$5:$F$1504,IF($B$9="All","&lt;&gt;",$B$9),'RAW DATA'!$A$5:$A$1504,"&gt;="&amp;$F$5,'RAW DATA'!$A$5:$A$1504,"&lt;="&amp;$F$6,'RAW DATA'!$G$5:$G$1504,J24)</f>
        <v>224808.69</v>
      </c>
      <c r="M24" s="2">
        <f>SUMIFS('RAW DATA'!$J$5:$J$1504,'RAW DATA'!$B$5:$B$1504,$B$5,'RAW DATA'!$C$5:$C$1504,IF($B$6="All","&lt;&gt;",$B$6),'RAW DATA'!$D$5:$D$1504,IF($B$7="All","&lt;&gt;",$B$7),'RAW DATA'!$E$5:$E$1504,IF($B$8="All","&lt;&gt;",$B$8),'RAW DATA'!$F$5:$F$1504,IF($B$9="All","&lt;&gt;",$B$9),'RAW DATA'!$A$5:$A$1504,"&gt;="&amp;$F$5,'RAW DATA'!$A$5:$A$1504,"&lt;="&amp;$F$6,'RAW DATA'!$G$5:$G$1504,J24)</f>
        <v>445</v>
      </c>
    </row>
    <row r="25" spans="1:13" x14ac:dyDescent="0.3">
      <c r="G25" s="2" t="s">
        <v>77</v>
      </c>
      <c r="H25" s="13">
        <f>SUMIFS('RAW DATA'!$K$5:$K$1504,'RAW DATA'!$B$5:$B$1504,$B$5,'RAW DATA'!$C$5:$C$1504,IF($B$6="All","&lt;&gt;",$B$6),'RAW DATA'!$D$5:$D$1504,IF($B$7="All","&lt;&gt;",$B$7),'RAW DATA'!$E$5:$E$1504,IF($B$8="All","&lt;&gt;",$B$8),'RAW DATA'!$F$5:$F$1504,IF($B$9="All","&lt;&gt;",$B$9),'RAW DATA'!$A$5:$A$1504,"&gt;="&amp;$F$5,'RAW DATA'!$A$5:$A$1504,"&lt;="&amp;$F$6,'RAW DATA'!$A$5:$A$1504,"&gt;="&amp;DATE(2026,6,1),'RAW DATA'!$A$5:$A$1504,"&lt;"&amp;EDATE(DATE(2026,6,1),1))</f>
        <v>25875630</v>
      </c>
      <c r="J25" s="2" t="s">
        <v>78</v>
      </c>
      <c r="K25" s="13">
        <f>SUMIFS('RAW DATA'!$K$5:$K$1504,'RAW DATA'!$B$5:$B$1504,$B$5,'RAW DATA'!$C$5:$C$1504,IF($B$6="All","&lt;&gt;",$B$6),'RAW DATA'!$D$5:$D$1504,IF($B$7="All","&lt;&gt;",$B$7),'RAW DATA'!$E$5:$E$1504,IF($B$8="All","&lt;&gt;",$B$8),'RAW DATA'!$F$5:$F$1504,IF($B$9="All","&lt;&gt;",$B$9),'RAW DATA'!$A$5:$A$1504,"&gt;="&amp;$F$5,'RAW DATA'!$A$5:$A$1504,"&lt;="&amp;$F$6,'RAW DATA'!$G$5:$G$1504,J25)</f>
        <v>3141516</v>
      </c>
      <c r="L25" s="13">
        <f>SUMIFS('RAW DATA'!$M$5:$M$1504,'RAW DATA'!$B$5:$B$1504,$B$5,'RAW DATA'!$C$5:$C$1504,IF($B$6="All","&lt;&gt;",$B$6),'RAW DATA'!$D$5:$D$1504,IF($B$7="All","&lt;&gt;",$B$7),'RAW DATA'!$E$5:$E$1504,IF($B$8="All","&lt;&gt;",$B$8),'RAW DATA'!$F$5:$F$1504,IF($B$9="All","&lt;&gt;",$B$9),'RAW DATA'!$A$5:$A$1504,"&gt;="&amp;$F$5,'RAW DATA'!$A$5:$A$1504,"&lt;="&amp;$F$6,'RAW DATA'!$G$5:$G$1504,J25)</f>
        <v>841245.27000000014</v>
      </c>
      <c r="M25" s="2">
        <f>SUMIFS('RAW DATA'!$J$5:$J$1504,'RAW DATA'!$B$5:$B$1504,$B$5,'RAW DATA'!$C$5:$C$1504,IF($B$6="All","&lt;&gt;",$B$6),'RAW DATA'!$D$5:$D$1504,IF($B$7="All","&lt;&gt;",$B$7),'RAW DATA'!$E$5:$E$1504,IF($B$8="All","&lt;&gt;",$B$8),'RAW DATA'!$F$5:$F$1504,IF($B$9="All","&lt;&gt;",$B$9),'RAW DATA'!$A$5:$A$1504,"&gt;="&amp;$F$5,'RAW DATA'!$A$5:$A$1504,"&lt;="&amp;$F$6,'RAW DATA'!$G$5:$G$1504,J25)</f>
        <v>784</v>
      </c>
    </row>
    <row r="26" spans="1:13" x14ac:dyDescent="0.3">
      <c r="G26" s="2" t="s">
        <v>79</v>
      </c>
      <c r="H26" s="13">
        <f>SUMIFS('RAW DATA'!$K$5:$K$1504,'RAW DATA'!$B$5:$B$1504,$B$5,'RAW DATA'!$C$5:$C$1504,IF($B$6="All","&lt;&gt;",$B$6),'RAW DATA'!$D$5:$D$1504,IF($B$7="All","&lt;&gt;",$B$7),'RAW DATA'!$E$5:$E$1504,IF($B$8="All","&lt;&gt;",$B$8),'RAW DATA'!$F$5:$F$1504,IF($B$9="All","&lt;&gt;",$B$9),'RAW DATA'!$A$5:$A$1504,"&gt;="&amp;$F$5,'RAW DATA'!$A$5:$A$1504,"&lt;="&amp;$F$6,'RAW DATA'!$A$5:$A$1504,"&gt;="&amp;DATE(2026,7,1),'RAW DATA'!$A$5:$A$1504,"&lt;"&amp;EDATE(DATE(2026,7,1),1))</f>
        <v>24177615</v>
      </c>
      <c r="J26" s="2" t="s">
        <v>80</v>
      </c>
      <c r="K26" s="13">
        <f>SUMIFS('RAW DATA'!$K$5:$K$1504,'RAW DATA'!$B$5:$B$1504,$B$5,'RAW DATA'!$C$5:$C$1504,IF($B$6="All","&lt;&gt;",$B$6),'RAW DATA'!$D$5:$D$1504,IF($B$7="All","&lt;&gt;",$B$7),'RAW DATA'!$E$5:$E$1504,IF($B$8="All","&lt;&gt;",$B$8),'RAW DATA'!$F$5:$F$1504,IF($B$9="All","&lt;&gt;",$B$9),'RAW DATA'!$A$5:$A$1504,"&gt;="&amp;$F$5,'RAW DATA'!$A$5:$A$1504,"&lt;="&amp;$F$6,'RAW DATA'!$G$5:$G$1504,J26)</f>
        <v>8244125</v>
      </c>
      <c r="L26" s="13">
        <f>SUMIFS('RAW DATA'!$M$5:$M$1504,'RAW DATA'!$B$5:$B$1504,$B$5,'RAW DATA'!$C$5:$C$1504,IF($B$6="All","&lt;&gt;",$B$6),'RAW DATA'!$D$5:$D$1504,IF($B$7="All","&lt;&gt;",$B$7),'RAW DATA'!$E$5:$E$1504,IF($B$8="All","&lt;&gt;",$B$8),'RAW DATA'!$F$5:$F$1504,IF($B$9="All","&lt;&gt;",$B$9),'RAW DATA'!$A$5:$A$1504,"&gt;="&amp;$F$5,'RAW DATA'!$A$5:$A$1504,"&lt;="&amp;$F$6,'RAW DATA'!$G$5:$G$1504,J26)</f>
        <v>2284381.6800000002</v>
      </c>
      <c r="M26" s="2">
        <f>SUMIFS('RAW DATA'!$J$5:$J$1504,'RAW DATA'!$B$5:$B$1504,$B$5,'RAW DATA'!$C$5:$C$1504,IF($B$6="All","&lt;&gt;",$B$6),'RAW DATA'!$D$5:$D$1504,IF($B$7="All","&lt;&gt;",$B$7),'RAW DATA'!$E$5:$E$1504,IF($B$8="All","&lt;&gt;",$B$8),'RAW DATA'!$F$5:$F$1504,IF($B$9="All","&lt;&gt;",$B$9),'RAW DATA'!$A$5:$A$1504,"&gt;="&amp;$F$5,'RAW DATA'!$A$5:$A$1504,"&lt;="&amp;$F$6,'RAW DATA'!$G$5:$G$1504,J26)</f>
        <v>690</v>
      </c>
    </row>
    <row r="27" spans="1:13" x14ac:dyDescent="0.3">
      <c r="G27" s="2" t="s">
        <v>81</v>
      </c>
      <c r="H27" s="13">
        <f>SUMIFS('RAW DATA'!$K$5:$K$1504,'RAW DATA'!$B$5:$B$1504,$B$5,'RAW DATA'!$C$5:$C$1504,IF($B$6="All","&lt;&gt;",$B$6),'RAW DATA'!$D$5:$D$1504,IF($B$7="All","&lt;&gt;",$B$7),'RAW DATA'!$E$5:$E$1504,IF($B$8="All","&lt;&gt;",$B$8),'RAW DATA'!$F$5:$F$1504,IF($B$9="All","&lt;&gt;",$B$9),'RAW DATA'!$A$5:$A$1504,"&gt;="&amp;$F$5,'RAW DATA'!$A$5:$A$1504,"&lt;="&amp;$F$6,'RAW DATA'!$A$5:$A$1504,"&gt;="&amp;DATE(2026,8,1),'RAW DATA'!$A$5:$A$1504,"&lt;"&amp;EDATE(DATE(2026,8,1),1))</f>
        <v>22591192</v>
      </c>
      <c r="J27" s="2" t="s">
        <v>82</v>
      </c>
      <c r="K27" s="13">
        <f>SUMIFS('RAW DATA'!$K$5:$K$1504,'RAW DATA'!$B$5:$B$1504,$B$5,'RAW DATA'!$C$5:$C$1504,IF($B$6="All","&lt;&gt;",$B$6),'RAW DATA'!$D$5:$D$1504,IF($B$7="All","&lt;&gt;",$B$7),'RAW DATA'!$E$5:$E$1504,IF($B$8="All","&lt;&gt;",$B$8),'RAW DATA'!$F$5:$F$1504,IF($B$9="All","&lt;&gt;",$B$9),'RAW DATA'!$A$5:$A$1504,"&gt;="&amp;$F$5,'RAW DATA'!$A$5:$A$1504,"&lt;="&amp;$F$6,'RAW DATA'!$G$5:$G$1504,J27)</f>
        <v>14592285</v>
      </c>
      <c r="L27" s="13">
        <f>SUMIFS('RAW DATA'!$M$5:$M$1504,'RAW DATA'!$B$5:$B$1504,$B$5,'RAW DATA'!$C$5:$C$1504,IF($B$6="All","&lt;&gt;",$B$6),'RAW DATA'!$D$5:$D$1504,IF($B$7="All","&lt;&gt;",$B$7),'RAW DATA'!$E$5:$E$1504,IF($B$8="All","&lt;&gt;",$B$8),'RAW DATA'!$F$5:$F$1504,IF($B$9="All","&lt;&gt;",$B$9),'RAW DATA'!$A$5:$A$1504,"&gt;="&amp;$F$5,'RAW DATA'!$A$5:$A$1504,"&lt;="&amp;$F$6,'RAW DATA'!$G$5:$G$1504,J27)</f>
        <v>3679411.2600000002</v>
      </c>
      <c r="M27" s="2">
        <f>SUMIFS('RAW DATA'!$J$5:$J$1504,'RAW DATA'!$B$5:$B$1504,$B$5,'RAW DATA'!$C$5:$C$1504,IF($B$6="All","&lt;&gt;",$B$6),'RAW DATA'!$D$5:$D$1504,IF($B$7="All","&lt;&gt;",$B$7),'RAW DATA'!$E$5:$E$1504,IF($B$8="All","&lt;&gt;",$B$8),'RAW DATA'!$F$5:$F$1504,IF($B$9="All","&lt;&gt;",$B$9),'RAW DATA'!$A$5:$A$1504,"&gt;="&amp;$F$5,'RAW DATA'!$A$5:$A$1504,"&lt;="&amp;$F$6,'RAW DATA'!$G$5:$G$1504,J27)</f>
        <v>539</v>
      </c>
    </row>
    <row r="28" spans="1:13" x14ac:dyDescent="0.3">
      <c r="J28" s="2" t="s">
        <v>83</v>
      </c>
      <c r="K28" s="13">
        <f>SUMIFS('RAW DATA'!$K$5:$K$1504,'RAW DATA'!$B$5:$B$1504,$B$5,'RAW DATA'!$C$5:$C$1504,IF($B$6="All","&lt;&gt;",$B$6),'RAW DATA'!$D$5:$D$1504,IF($B$7="All","&lt;&gt;",$B$7),'RAW DATA'!$E$5:$E$1504,IF($B$8="All","&lt;&gt;",$B$8),'RAW DATA'!$F$5:$F$1504,IF($B$9="All","&lt;&gt;",$B$9),'RAW DATA'!$A$5:$A$1504,"&gt;="&amp;$F$5,'RAW DATA'!$A$5:$A$1504,"&lt;="&amp;$F$6,'RAW DATA'!$G$5:$G$1504,J28)</f>
        <v>22123800</v>
      </c>
      <c r="L28" s="13">
        <f>SUMIFS('RAW DATA'!$M$5:$M$1504,'RAW DATA'!$B$5:$B$1504,$B$5,'RAW DATA'!$C$5:$C$1504,IF($B$6="All","&lt;&gt;",$B$6),'RAW DATA'!$D$5:$D$1504,IF($B$7="All","&lt;&gt;",$B$7),'RAW DATA'!$E$5:$E$1504,IF($B$8="All","&lt;&gt;",$B$8),'RAW DATA'!$F$5:$F$1504,IF($B$9="All","&lt;&gt;",$B$9),'RAW DATA'!$A$5:$A$1504,"&gt;="&amp;$F$5,'RAW DATA'!$A$5:$A$1504,"&lt;="&amp;$F$6,'RAW DATA'!$G$5:$G$1504,J28)</f>
        <v>6117911.0199999996</v>
      </c>
      <c r="M28" s="2">
        <f>SUMIFS('RAW DATA'!$J$5:$J$1504,'RAW DATA'!$B$5:$B$1504,$B$5,'RAW DATA'!$C$5:$C$1504,IF($B$6="All","&lt;&gt;",$B$6),'RAW DATA'!$D$5:$D$1504,IF($B$7="All","&lt;&gt;",$B$7),'RAW DATA'!$E$5:$E$1504,IF($B$8="All","&lt;&gt;",$B$8),'RAW DATA'!$F$5:$F$1504,IF($B$9="All","&lt;&gt;",$B$9),'RAW DATA'!$A$5:$A$1504,"&gt;="&amp;$F$5,'RAW DATA'!$A$5:$A$1504,"&lt;="&amp;$F$6,'RAW DATA'!$G$5:$G$1504,J28)</f>
        <v>644</v>
      </c>
    </row>
    <row r="29" spans="1:13" x14ac:dyDescent="0.3">
      <c r="J29" s="2" t="s">
        <v>84</v>
      </c>
      <c r="K29" s="13">
        <f>SUMIFS('RAW DATA'!$K$5:$K$1504,'RAW DATA'!$B$5:$B$1504,$B$5,'RAW DATA'!$C$5:$C$1504,IF($B$6="All","&lt;&gt;",$B$6),'RAW DATA'!$D$5:$D$1504,IF($B$7="All","&lt;&gt;",$B$7),'RAW DATA'!$E$5:$E$1504,IF($B$8="All","&lt;&gt;",$B$8),'RAW DATA'!$F$5:$F$1504,IF($B$9="All","&lt;&gt;",$B$9),'RAW DATA'!$A$5:$A$1504,"&gt;="&amp;$F$5,'RAW DATA'!$A$5:$A$1504,"&lt;="&amp;$F$6,'RAW DATA'!$G$5:$G$1504,J29)</f>
        <v>9107885</v>
      </c>
      <c r="L29" s="13">
        <f>SUMIFS('RAW DATA'!$M$5:$M$1504,'RAW DATA'!$B$5:$B$1504,$B$5,'RAW DATA'!$C$5:$C$1504,IF($B$6="All","&lt;&gt;",$B$6),'RAW DATA'!$D$5:$D$1504,IF($B$7="All","&lt;&gt;",$B$7),'RAW DATA'!$E$5:$E$1504,IF($B$8="All","&lt;&gt;",$B$8),'RAW DATA'!$F$5:$F$1504,IF($B$9="All","&lt;&gt;",$B$9),'RAW DATA'!$A$5:$A$1504,"&gt;="&amp;$F$5,'RAW DATA'!$A$5:$A$1504,"&lt;="&amp;$F$6,'RAW DATA'!$G$5:$G$1504,J29)</f>
        <v>2646367.0500000007</v>
      </c>
      <c r="M29" s="2">
        <f>SUMIFS('RAW DATA'!$J$5:$J$1504,'RAW DATA'!$B$5:$B$1504,$B$5,'RAW DATA'!$C$5:$C$1504,IF($B$6="All","&lt;&gt;",$B$6),'RAW DATA'!$D$5:$D$1504,IF($B$7="All","&lt;&gt;",$B$7),'RAW DATA'!$E$5:$E$1504,IF($B$8="All","&lt;&gt;",$B$8),'RAW DATA'!$F$5:$F$1504,IF($B$9="All","&lt;&gt;",$B$9),'RAW DATA'!$A$5:$A$1504,"&gt;="&amp;$F$5,'RAW DATA'!$A$5:$A$1504,"&lt;="&amp;$F$6,'RAW DATA'!$G$5:$G$1504,J29)</f>
        <v>657</v>
      </c>
    </row>
    <row r="30" spans="1:13" x14ac:dyDescent="0.3">
      <c r="J30" s="2" t="s">
        <v>85</v>
      </c>
      <c r="K30" s="13">
        <f>SUMIFS('RAW DATA'!$K$5:$K$1504,'RAW DATA'!$B$5:$B$1504,$B$5,'RAW DATA'!$C$5:$C$1504,IF($B$6="All","&lt;&gt;",$B$6),'RAW DATA'!$D$5:$D$1504,IF($B$7="All","&lt;&gt;",$B$7),'RAW DATA'!$E$5:$E$1504,IF($B$8="All","&lt;&gt;",$B$8),'RAW DATA'!$F$5:$F$1504,IF($B$9="All","&lt;&gt;",$B$9),'RAW DATA'!$A$5:$A$1504,"&gt;="&amp;$F$5,'RAW DATA'!$A$5:$A$1504,"&lt;="&amp;$F$6,'RAW DATA'!$G$5:$G$1504,J30)</f>
        <v>10771920</v>
      </c>
      <c r="L30" s="13">
        <f>SUMIFS('RAW DATA'!$M$5:$M$1504,'RAW DATA'!$B$5:$B$1504,$B$5,'RAW DATA'!$C$5:$C$1504,IF($B$6="All","&lt;&gt;",$B$6),'RAW DATA'!$D$5:$D$1504,IF($B$7="All","&lt;&gt;",$B$7),'RAW DATA'!$E$5:$E$1504,IF($B$8="All","&lt;&gt;",$B$8),'RAW DATA'!$F$5:$F$1504,IF($B$9="All","&lt;&gt;",$B$9),'RAW DATA'!$A$5:$A$1504,"&gt;="&amp;$F$5,'RAW DATA'!$A$5:$A$1504,"&lt;="&amp;$F$6,'RAW DATA'!$G$5:$G$1504,J30)</f>
        <v>3011457.120000001</v>
      </c>
      <c r="M30" s="2">
        <f>SUMIFS('RAW DATA'!$J$5:$J$1504,'RAW DATA'!$B$5:$B$1504,$B$5,'RAW DATA'!$C$5:$C$1504,IF($B$6="All","&lt;&gt;",$B$6),'RAW DATA'!$D$5:$D$1504,IF($B$7="All","&lt;&gt;",$B$7),'RAW DATA'!$E$5:$E$1504,IF($B$8="All","&lt;&gt;",$B$8),'RAW DATA'!$F$5:$F$1504,IF($B$9="All","&lt;&gt;",$B$9),'RAW DATA'!$A$5:$A$1504,"&gt;="&amp;$F$5,'RAW DATA'!$A$5:$A$1504,"&lt;="&amp;$F$6,'RAW DATA'!$G$5:$G$1504,J30)</f>
        <v>628</v>
      </c>
    </row>
    <row r="31" spans="1:13" x14ac:dyDescent="0.3">
      <c r="J31" s="2" t="s">
        <v>86</v>
      </c>
      <c r="K31" s="13">
        <f>SUMIFS('RAW DATA'!$K$5:$K$1504,'RAW DATA'!$B$5:$B$1504,$B$5,'RAW DATA'!$C$5:$C$1504,IF($B$6="All","&lt;&gt;",$B$6),'RAW DATA'!$D$5:$D$1504,IF($B$7="All","&lt;&gt;",$B$7),'RAW DATA'!$E$5:$E$1504,IF($B$8="All","&lt;&gt;",$B$8),'RAW DATA'!$F$5:$F$1504,IF($B$9="All","&lt;&gt;",$B$9),'RAW DATA'!$A$5:$A$1504,"&gt;="&amp;$F$5,'RAW DATA'!$A$5:$A$1504,"&lt;="&amp;$F$6,'RAW DATA'!$G$5:$G$1504,J31)</f>
        <v>4655560</v>
      </c>
      <c r="L31" s="13">
        <f>SUMIFS('RAW DATA'!$M$5:$M$1504,'RAW DATA'!$B$5:$B$1504,$B$5,'RAW DATA'!$C$5:$C$1504,IF($B$6="All","&lt;&gt;",$B$6),'RAW DATA'!$D$5:$D$1504,IF($B$7="All","&lt;&gt;",$B$7),'RAW DATA'!$E$5:$E$1504,IF($B$8="All","&lt;&gt;",$B$8),'RAW DATA'!$F$5:$F$1504,IF($B$9="All","&lt;&gt;",$B$9),'RAW DATA'!$A$5:$A$1504,"&gt;="&amp;$F$5,'RAW DATA'!$A$5:$A$1504,"&lt;="&amp;$F$6,'RAW DATA'!$G$5:$G$1504,J31)</f>
        <v>1325301.4799999997</v>
      </c>
      <c r="M31" s="2">
        <f>SUMIFS('RAW DATA'!$J$5:$J$1504,'RAW DATA'!$B$5:$B$1504,$B$5,'RAW DATA'!$C$5:$C$1504,IF($B$6="All","&lt;&gt;",$B$6),'RAW DATA'!$D$5:$D$1504,IF($B$7="All","&lt;&gt;",$B$7),'RAW DATA'!$E$5:$E$1504,IF($B$8="All","&lt;&gt;",$B$8),'RAW DATA'!$F$5:$F$1504,IF($B$9="All","&lt;&gt;",$B$9),'RAW DATA'!$A$5:$A$1504,"&gt;="&amp;$F$5,'RAW DATA'!$A$5:$A$1504,"&lt;="&amp;$F$6,'RAW DATA'!$G$5:$G$1504,J31)</f>
        <v>756</v>
      </c>
    </row>
    <row r="32" spans="1:13" x14ac:dyDescent="0.3">
      <c r="J32" s="2" t="s">
        <v>87</v>
      </c>
      <c r="K32" s="13">
        <f>SUMIFS('RAW DATA'!$K$5:$K$1504,'RAW DATA'!$B$5:$B$1504,$B$5,'RAW DATA'!$C$5:$C$1504,IF($B$6="All","&lt;&gt;",$B$6),'RAW DATA'!$D$5:$D$1504,IF($B$7="All","&lt;&gt;",$B$7),'RAW DATA'!$E$5:$E$1504,IF($B$8="All","&lt;&gt;",$B$8),'RAW DATA'!$F$5:$F$1504,IF($B$9="All","&lt;&gt;",$B$9),'RAW DATA'!$A$5:$A$1504,"&gt;="&amp;$F$5,'RAW DATA'!$A$5:$A$1504,"&lt;="&amp;$F$6,'RAW DATA'!$G$5:$G$1504,J32)</f>
        <v>9655125</v>
      </c>
      <c r="L32" s="13">
        <f>SUMIFS('RAW DATA'!$M$5:$M$1504,'RAW DATA'!$B$5:$B$1504,$B$5,'RAW DATA'!$C$5:$C$1504,IF($B$6="All","&lt;&gt;",$B$6),'RAW DATA'!$D$5:$D$1504,IF($B$7="All","&lt;&gt;",$B$7),'RAW DATA'!$E$5:$E$1504,IF($B$8="All","&lt;&gt;",$B$8),'RAW DATA'!$F$5:$F$1504,IF($B$9="All","&lt;&gt;",$B$9),'RAW DATA'!$A$5:$A$1504,"&gt;="&amp;$F$5,'RAW DATA'!$A$5:$A$1504,"&lt;="&amp;$F$6,'RAW DATA'!$G$5:$G$1504,J32)</f>
        <v>2673626.7900000005</v>
      </c>
      <c r="M32" s="2">
        <f>SUMIFS('RAW DATA'!$J$5:$J$1504,'RAW DATA'!$B$5:$B$1504,$B$5,'RAW DATA'!$C$5:$C$1504,IF($B$6="All","&lt;&gt;",$B$6),'RAW DATA'!$D$5:$D$1504,IF($B$7="All","&lt;&gt;",$B$7),'RAW DATA'!$E$5:$E$1504,IF($B$8="All","&lt;&gt;",$B$8),'RAW DATA'!$F$5:$F$1504,IF($B$9="All","&lt;&gt;",$B$9),'RAW DATA'!$A$5:$A$1504,"&gt;="&amp;$F$5,'RAW DATA'!$A$5:$A$1504,"&lt;="&amp;$F$6,'RAW DATA'!$G$5:$G$1504,J32)</f>
        <v>819</v>
      </c>
    </row>
    <row r="33" spans="10:13" x14ac:dyDescent="0.3">
      <c r="J33" s="2" t="s">
        <v>88</v>
      </c>
      <c r="K33" s="13">
        <f>SUMIFS('RAW DATA'!$K$5:$K$1504,'RAW DATA'!$B$5:$B$1504,$B$5,'RAW DATA'!$C$5:$C$1504,IF($B$6="All","&lt;&gt;",$B$6),'RAW DATA'!$D$5:$D$1504,IF($B$7="All","&lt;&gt;",$B$7),'RAW DATA'!$E$5:$E$1504,IF($B$8="All","&lt;&gt;",$B$8),'RAW DATA'!$F$5:$F$1504,IF($B$9="All","&lt;&gt;",$B$9),'RAW DATA'!$A$5:$A$1504,"&gt;="&amp;$F$5,'RAW DATA'!$A$5:$A$1504,"&lt;="&amp;$F$6,'RAW DATA'!$G$5:$G$1504,J33)</f>
        <v>7111235</v>
      </c>
      <c r="L33" s="13">
        <f>SUMIFS('RAW DATA'!$M$5:$M$1504,'RAW DATA'!$B$5:$B$1504,$B$5,'RAW DATA'!$C$5:$C$1504,IF($B$6="All","&lt;&gt;",$B$6),'RAW DATA'!$D$5:$D$1504,IF($B$7="All","&lt;&gt;",$B$7),'RAW DATA'!$E$5:$E$1504,IF($B$8="All","&lt;&gt;",$B$8),'RAW DATA'!$F$5:$F$1504,IF($B$9="All","&lt;&gt;",$B$9),'RAW DATA'!$A$5:$A$1504,"&gt;="&amp;$F$5,'RAW DATA'!$A$5:$A$1504,"&lt;="&amp;$F$6,'RAW DATA'!$G$5:$G$1504,J33)</f>
        <v>2017579.6500000004</v>
      </c>
      <c r="M33" s="2">
        <f>SUMIFS('RAW DATA'!$J$5:$J$1504,'RAW DATA'!$B$5:$B$1504,$B$5,'RAW DATA'!$C$5:$C$1504,IF($B$6="All","&lt;&gt;",$B$6),'RAW DATA'!$D$5:$D$1504,IF($B$7="All","&lt;&gt;",$B$7),'RAW DATA'!$E$5:$E$1504,IF($B$8="All","&lt;&gt;",$B$8),'RAW DATA'!$F$5:$F$1504,IF($B$9="All","&lt;&gt;",$B$9),'RAW DATA'!$A$5:$A$1504,"&gt;="&amp;$F$5,'RAW DATA'!$A$5:$A$1504,"&lt;="&amp;$F$6,'RAW DATA'!$G$5:$G$1504,J33)</f>
        <v>515</v>
      </c>
    </row>
    <row r="35" spans="10:13" ht="31.2" x14ac:dyDescent="0.3">
      <c r="J35" s="12" t="s">
        <v>89</v>
      </c>
    </row>
    <row r="36" spans="10:13" x14ac:dyDescent="0.3">
      <c r="J36" s="2" t="s">
        <v>90</v>
      </c>
      <c r="K36" s="2" t="s">
        <v>5</v>
      </c>
    </row>
    <row r="37" spans="10:13" x14ac:dyDescent="0.3">
      <c r="J37" s="2" t="s">
        <v>91</v>
      </c>
      <c r="K37" s="2" cm="1">
        <f t="array" aca="1" ref="K37" ca="1">INDIRECT("'"&amp;K36&amp;"'!A5")</f>
        <v>46146</v>
      </c>
    </row>
    <row r="38" spans="10:13" ht="57.6" x14ac:dyDescent="0.3">
      <c r="J38" s="2" t="s">
        <v>92</v>
      </c>
      <c r="K38" s="2" t="s">
        <v>93</v>
      </c>
    </row>
    <row r="41" spans="10:13" x14ac:dyDescent="0.3">
      <c r="J41" s="8" t="s">
        <v>43</v>
      </c>
      <c r="K41" s="8" t="s">
        <v>45</v>
      </c>
      <c r="L41" s="8" t="s">
        <v>56</v>
      </c>
    </row>
    <row r="42" spans="10:13" x14ac:dyDescent="0.3">
      <c r="J42" s="2" t="s">
        <v>94</v>
      </c>
      <c r="K42" s="13">
        <f>SUMIFS('RAW DATA'!$K$5:$K$1504,'RAW DATA'!$B$5:$B$1504,$B$5,'RAW DATA'!$C$5:$C$1504,IF($B$6="All","&lt;&gt;",$B$6),'RAW DATA'!$D$5:$D$1504,IF($B$7="All","&lt;&gt;",$B$7),'RAW DATA'!$E$5:$E$1504,IF($B$8="All","&lt;&gt;",$B$8),'RAW DATA'!$F$5:$F$1504,IF($B$9="All","&lt;&gt;",$B$9),'RAW DATA'!$A$5:$A$1504,"&gt;="&amp;$F$5,'RAW DATA'!$A$5:$A$1504,"&lt;="&amp;$F$6,'RAW DATA'!$F$5:$F$1504,J42)</f>
        <v>100269155</v>
      </c>
      <c r="L42" s="13">
        <f>SUMIFS('RAW DATA'!$M$5:$M$1504,'RAW DATA'!$B$5:$B$1504,$B$5,'RAW DATA'!$C$5:$C$1504,IF($B$6="All","&lt;&gt;",$B$6),'RAW DATA'!$D$5:$D$1504,IF($B$7="All","&lt;&gt;",$B$7),'RAW DATA'!$E$5:$E$1504,IF($B$8="All","&lt;&gt;",$B$8),'RAW DATA'!$F$5:$F$1504,IF($B$9="All","&lt;&gt;",$B$9),'RAW DATA'!$A$5:$A$1504,"&gt;="&amp;$F$5,'RAW DATA'!$A$5:$A$1504,"&lt;="&amp;$F$6,'RAW DATA'!$F$5:$F$1504,J42)</f>
        <v>28143523.32</v>
      </c>
    </row>
    <row r="43" spans="10:13" x14ac:dyDescent="0.3">
      <c r="J43" s="2" t="s">
        <v>95</v>
      </c>
      <c r="K43" s="13">
        <f>SUMIFS('RAW DATA'!$K$5:$K$1504,'RAW DATA'!$B$5:$B$1504,$B$5,'RAW DATA'!$C$5:$C$1504,IF($B$6="All","&lt;&gt;",$B$6),'RAW DATA'!$D$5:$D$1504,IF($B$7="All","&lt;&gt;",$B$7),'RAW DATA'!$E$5:$E$1504,IF($B$8="All","&lt;&gt;",$B$8),'RAW DATA'!$F$5:$F$1504,IF($B$9="All","&lt;&gt;",$B$9),'RAW DATA'!$A$5:$A$1504,"&gt;="&amp;$F$5,'RAW DATA'!$A$5:$A$1504,"&lt;="&amp;$F$6,'RAW DATA'!$F$5:$F$1504,J43)</f>
        <v>9418264</v>
      </c>
      <c r="L43" s="13">
        <f>SUMIFS('RAW DATA'!$M$5:$M$1504,'RAW DATA'!$B$5:$B$1504,$B$5,'RAW DATA'!$C$5:$C$1504,IF($B$6="All","&lt;&gt;",$B$6),'RAW DATA'!$D$5:$D$1504,IF($B$7="All","&lt;&gt;",$B$7),'RAW DATA'!$E$5:$E$1504,IF($B$8="All","&lt;&gt;",$B$8),'RAW DATA'!$F$5:$F$1504,IF($B$9="All","&lt;&gt;",$B$9),'RAW DATA'!$A$5:$A$1504,"&gt;="&amp;$F$5,'RAW DATA'!$A$5:$A$1504,"&lt;="&amp;$F$6,'RAW DATA'!$F$5:$F$1504,J43)</f>
        <v>2655747.5500000003</v>
      </c>
    </row>
    <row r="44" spans="10:13" x14ac:dyDescent="0.3">
      <c r="J44" s="2" t="s">
        <v>96</v>
      </c>
      <c r="K44" s="13">
        <f>SUMIFS('RAW DATA'!$K$5:$K$1504,'RAW DATA'!$B$5:$B$1504,$B$5,'RAW DATA'!$C$5:$C$1504,IF($B$6="All","&lt;&gt;",$B$6),'RAW DATA'!$D$5:$D$1504,IF($B$7="All","&lt;&gt;",$B$7),'RAW DATA'!$E$5:$E$1504,IF($B$8="All","&lt;&gt;",$B$8),'RAW DATA'!$F$5:$F$1504,IF($B$9="All","&lt;&gt;",$B$9),'RAW DATA'!$A$5:$A$1504,"&gt;="&amp;$F$5,'RAW DATA'!$A$5:$A$1504,"&lt;="&amp;$F$6,'RAW DATA'!$F$5:$F$1504,J44)</f>
        <v>54068095</v>
      </c>
      <c r="L44" s="13">
        <f>SUMIFS('RAW DATA'!$M$5:$M$1504,'RAW DATA'!$B$5:$B$1504,$B$5,'RAW DATA'!$C$5:$C$1504,IF($B$6="All","&lt;&gt;",$B$6),'RAW DATA'!$D$5:$D$1504,IF($B$7="All","&lt;&gt;",$B$7),'RAW DATA'!$E$5:$E$1504,IF($B$8="All","&lt;&gt;",$B$8),'RAW DATA'!$F$5:$F$1504,IF($B$9="All","&lt;&gt;",$B$9),'RAW DATA'!$A$5:$A$1504,"&gt;="&amp;$F$5,'RAW DATA'!$A$5:$A$1504,"&lt;="&amp;$F$6,'RAW DATA'!$F$5:$F$1504,J44)</f>
        <v>14728071.009999998</v>
      </c>
    </row>
    <row r="45" spans="10:13" x14ac:dyDescent="0.3">
      <c r="J45" s="2" t="s">
        <v>97</v>
      </c>
      <c r="K45" s="13">
        <f>SUMIFS('RAW DATA'!$K$5:$K$1504,'RAW DATA'!$B$5:$B$1504,$B$5,'RAW DATA'!$C$5:$C$1504,IF($B$6="All","&lt;&gt;",$B$6),'RAW DATA'!$D$5:$D$1504,IF($B$7="All","&lt;&gt;",$B$7),'RAW DATA'!$E$5:$E$1504,IF($B$8="All","&lt;&gt;",$B$8),'RAW DATA'!$F$5:$F$1504,IF($B$9="All","&lt;&gt;",$B$9),'RAW DATA'!$A$5:$A$1504,"&gt;="&amp;$F$5,'RAW DATA'!$A$5:$A$1504,"&lt;="&amp;$F$6,'RAW DATA'!$F$5:$F$1504,J45)</f>
        <v>32193840</v>
      </c>
      <c r="L45" s="13">
        <f>SUMIFS('RAW DATA'!$M$5:$M$1504,'RAW DATA'!$B$5:$B$1504,$B$5,'RAW DATA'!$C$5:$C$1504,IF($B$6="All","&lt;&gt;",$B$6),'RAW DATA'!$D$5:$D$1504,IF($B$7="All","&lt;&gt;",$B$7),'RAW DATA'!$E$5:$E$1504,IF($B$8="All","&lt;&gt;",$B$8),'RAW DATA'!$F$5:$F$1504,IF($B$9="All","&lt;&gt;",$B$9),'RAW DATA'!$A$5:$A$1504,"&gt;="&amp;$F$5,'RAW DATA'!$A$5:$A$1504,"&lt;="&amp;$F$6,'RAW DATA'!$F$5:$F$1504,J45)</f>
        <v>9027965.0399999935</v>
      </c>
    </row>
  </sheetData>
  <mergeCells count="19">
    <mergeCell ref="M14:N15"/>
    <mergeCell ref="E13:F13"/>
    <mergeCell ref="G13:H13"/>
    <mergeCell ref="M13:N13"/>
    <mergeCell ref="A1:P1"/>
    <mergeCell ref="C14:D15"/>
    <mergeCell ref="E14:F15"/>
    <mergeCell ref="A13:B13"/>
    <mergeCell ref="E4:G4"/>
    <mergeCell ref="C13:D13"/>
    <mergeCell ref="I13:J13"/>
    <mergeCell ref="K13:L13"/>
    <mergeCell ref="A2:P2"/>
    <mergeCell ref="A4:D4"/>
    <mergeCell ref="A14:B15"/>
    <mergeCell ref="G14:H15"/>
    <mergeCell ref="I14:J15"/>
    <mergeCell ref="K14:L15"/>
    <mergeCell ref="F7:G7"/>
  </mergeCells>
  <conditionalFormatting sqref="K18:K33">
    <cfRule type="colorScale" priority="1">
      <colorScale>
        <cfvo type="min"/>
        <cfvo type="percentile" val="50"/>
        <cfvo type="max"/>
        <color rgb="FFFFFFFF"/>
        <color rgb="FFBFDBFE"/>
        <color rgb="FF2563EB"/>
      </colorScale>
    </cfRule>
  </conditionalFormatting>
  <dataValidations disablePrompts="1" count="7">
    <dataValidation type="list" sqref="B5" xr:uid="{00000000-0002-0000-0100-000000000000}">
      <formula1>ScenarioList</formula1>
    </dataValidation>
    <dataValidation type="list" sqref="B6" xr:uid="{00000000-0002-0000-0100-000001000000}">
      <formula1>RegionList</formula1>
    </dataValidation>
    <dataValidation type="list" sqref="B10" xr:uid="{00000000-0002-0000-0100-000002000000}">
      <formula1>MetricList</formula1>
    </dataValidation>
    <dataValidation type="list" sqref="B11" xr:uid="{00000000-0002-0000-0100-000003000000}">
      <formula1>PeriodList</formula1>
    </dataValidation>
    <dataValidation type="list" sqref="B7" xr:uid="{00000000-0002-0000-0100-000004000000}">
      <formula1>INDIRECT("States_"&amp;SUBSTITUTE($B$6," ","_"))</formula1>
    </dataValidation>
    <dataValidation type="list" sqref="B8" xr:uid="{00000000-0002-0000-0100-000005000000}">
      <formula1>INDIRECT("Cities_"&amp;SUBSTITUTE($B$7," ","_"))</formula1>
    </dataValidation>
    <dataValidation type="list" sqref="B9" xr:uid="{00000000-0002-0000-0100-000006000000}">
      <formula1>"All,Electronics,Accessories,Furniture,Home"</formula1>
    </dataValidation>
  </dataValidations>
  <pageMargins left="0.75" right="0.75" top="1" bottom="1" header="0.5" footer="0.5"/>
  <pageSetup fitToHeight="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504"/>
  <sheetViews>
    <sheetView showGridLines="0" workbookViewId="0">
      <pane ySplit="4" topLeftCell="A5" activePane="bottomLeft" state="frozen"/>
      <selection pane="bottomLeft" sqref="A1:P1"/>
    </sheetView>
  </sheetViews>
  <sheetFormatPr defaultRowHeight="14.4" x14ac:dyDescent="0.3"/>
  <cols>
    <col min="1" max="1" width="14" customWidth="1"/>
    <col min="2" max="3" width="12" customWidth="1"/>
    <col min="4" max="6" width="18" customWidth="1"/>
    <col min="7" max="7" width="22" customWidth="1"/>
    <col min="8" max="8" width="20" customWidth="1"/>
    <col min="9" max="9" width="14" customWidth="1"/>
    <col min="10" max="10" width="10" customWidth="1"/>
    <col min="11" max="14" width="16" customWidth="1"/>
    <col min="15" max="15" width="15" customWidth="1"/>
    <col min="16" max="16" width="28" customWidth="1"/>
  </cols>
  <sheetData>
    <row r="1" spans="1:16" ht="25.8" x14ac:dyDescent="0.5">
      <c r="A1" s="26" t="s">
        <v>98</v>
      </c>
      <c r="B1" s="20"/>
      <c r="C1" s="20"/>
      <c r="D1" s="20"/>
      <c r="E1" s="20"/>
      <c r="F1" s="20"/>
      <c r="G1" s="20"/>
      <c r="H1" s="20"/>
      <c r="I1" s="20"/>
      <c r="J1" s="20"/>
      <c r="K1" s="20"/>
      <c r="L1" s="20"/>
      <c r="M1" s="20"/>
      <c r="N1" s="20"/>
      <c r="O1" s="20"/>
      <c r="P1" s="20"/>
    </row>
    <row r="2" spans="1:16" x14ac:dyDescent="0.3">
      <c r="A2" s="27" t="s">
        <v>99</v>
      </c>
      <c r="B2" s="20"/>
      <c r="C2" s="20"/>
      <c r="D2" s="20"/>
      <c r="E2" s="20"/>
      <c r="F2" s="20"/>
      <c r="G2" s="20"/>
      <c r="H2" s="20"/>
      <c r="I2" s="20"/>
      <c r="J2" s="20"/>
      <c r="K2" s="20"/>
      <c r="L2" s="20"/>
      <c r="M2" s="20"/>
      <c r="N2" s="20"/>
      <c r="O2" s="20"/>
      <c r="P2" s="20"/>
    </row>
    <row r="4" spans="1:16" x14ac:dyDescent="0.3">
      <c r="A4" s="14" t="s">
        <v>100</v>
      </c>
      <c r="B4" s="14" t="s">
        <v>33</v>
      </c>
      <c r="C4" s="14" t="s">
        <v>36</v>
      </c>
      <c r="D4" s="14" t="s">
        <v>39</v>
      </c>
      <c r="E4" s="14" t="s">
        <v>42</v>
      </c>
      <c r="F4" s="14" t="s">
        <v>43</v>
      </c>
      <c r="G4" s="14" t="s">
        <v>55</v>
      </c>
      <c r="H4" s="14" t="s">
        <v>101</v>
      </c>
      <c r="I4" s="14" t="s">
        <v>102</v>
      </c>
      <c r="J4" s="14" t="s">
        <v>57</v>
      </c>
      <c r="K4" s="14" t="s">
        <v>45</v>
      </c>
      <c r="L4" s="14" t="s">
        <v>103</v>
      </c>
      <c r="M4" s="14" t="s">
        <v>56</v>
      </c>
      <c r="N4" s="14" t="s">
        <v>104</v>
      </c>
      <c r="O4" s="14" t="s">
        <v>105</v>
      </c>
      <c r="P4" s="14" t="s">
        <v>106</v>
      </c>
    </row>
    <row r="5" spans="1:16" x14ac:dyDescent="0.3">
      <c r="A5" s="15">
        <v>46146</v>
      </c>
      <c r="B5" t="s">
        <v>34</v>
      </c>
      <c r="C5" t="s">
        <v>107</v>
      </c>
      <c r="D5" t="s">
        <v>108</v>
      </c>
      <c r="E5" t="s">
        <v>109</v>
      </c>
      <c r="F5" t="s">
        <v>95</v>
      </c>
      <c r="G5" t="s">
        <v>78</v>
      </c>
      <c r="H5" t="s">
        <v>110</v>
      </c>
      <c r="I5" t="s">
        <v>111</v>
      </c>
      <c r="J5">
        <v>9</v>
      </c>
      <c r="K5" s="16">
        <v>37800</v>
      </c>
      <c r="L5" s="16">
        <v>30593.8</v>
      </c>
      <c r="M5" s="16">
        <v>7206.2</v>
      </c>
      <c r="N5" t="s">
        <v>112</v>
      </c>
      <c r="O5" t="s">
        <v>113</v>
      </c>
      <c r="P5" t="str">
        <f t="shared" ref="P5:P68" si="0">E5&amp;"|"&amp;G5</f>
        <v>Udaipur|Webcam</v>
      </c>
    </row>
    <row r="6" spans="1:16" x14ac:dyDescent="0.3">
      <c r="A6" s="15">
        <v>46044</v>
      </c>
      <c r="B6" t="s">
        <v>114</v>
      </c>
      <c r="C6" t="s">
        <v>107</v>
      </c>
      <c r="D6" t="s">
        <v>115</v>
      </c>
      <c r="E6" t="s">
        <v>116</v>
      </c>
      <c r="F6" t="s">
        <v>94</v>
      </c>
      <c r="G6" t="s">
        <v>64</v>
      </c>
      <c r="H6" t="s">
        <v>117</v>
      </c>
      <c r="I6" t="s">
        <v>118</v>
      </c>
      <c r="J6">
        <v>6</v>
      </c>
      <c r="K6" s="16">
        <v>119700</v>
      </c>
      <c r="L6" s="16">
        <v>87454.92</v>
      </c>
      <c r="M6" s="16">
        <v>32245.08</v>
      </c>
      <c r="N6" t="s">
        <v>112</v>
      </c>
      <c r="O6" t="s">
        <v>119</v>
      </c>
      <c r="P6" t="str">
        <f t="shared" si="0"/>
        <v>Ahmedabad|Monitor 27</v>
      </c>
    </row>
    <row r="7" spans="1:16" x14ac:dyDescent="0.3">
      <c r="A7" s="15">
        <v>46264</v>
      </c>
      <c r="B7" t="s">
        <v>120</v>
      </c>
      <c r="C7" t="s">
        <v>121</v>
      </c>
      <c r="D7" t="s">
        <v>122</v>
      </c>
      <c r="E7" t="s">
        <v>123</v>
      </c>
      <c r="F7" t="s">
        <v>97</v>
      </c>
      <c r="G7" t="s">
        <v>85</v>
      </c>
      <c r="H7" t="s">
        <v>117</v>
      </c>
      <c r="I7" t="s">
        <v>124</v>
      </c>
      <c r="J7">
        <v>11</v>
      </c>
      <c r="K7" s="16">
        <v>198000</v>
      </c>
      <c r="L7" s="16">
        <v>139555.53</v>
      </c>
      <c r="M7" s="16">
        <v>58444.47</v>
      </c>
      <c r="N7" t="s">
        <v>125</v>
      </c>
      <c r="O7" t="s">
        <v>113</v>
      </c>
      <c r="P7" t="str">
        <f t="shared" si="0"/>
        <v>Durgapur|Air Purifier</v>
      </c>
    </row>
    <row r="8" spans="1:16" x14ac:dyDescent="0.3">
      <c r="A8" s="15">
        <v>46155</v>
      </c>
      <c r="B8" t="s">
        <v>34</v>
      </c>
      <c r="C8" t="s">
        <v>126</v>
      </c>
      <c r="D8" t="s">
        <v>127</v>
      </c>
      <c r="E8" t="s">
        <v>128</v>
      </c>
      <c r="F8" t="s">
        <v>94</v>
      </c>
      <c r="G8" t="s">
        <v>61</v>
      </c>
      <c r="H8" t="s">
        <v>129</v>
      </c>
      <c r="I8" t="s">
        <v>130</v>
      </c>
      <c r="J8">
        <v>8</v>
      </c>
      <c r="K8" s="16">
        <v>574080</v>
      </c>
      <c r="L8" s="16">
        <v>410710.08</v>
      </c>
      <c r="M8" s="16">
        <v>163369.92000000001</v>
      </c>
      <c r="N8" t="s">
        <v>131</v>
      </c>
      <c r="O8" t="s">
        <v>119</v>
      </c>
      <c r="P8" t="str">
        <f t="shared" si="0"/>
        <v>Gurugram|Laptop Pro</v>
      </c>
    </row>
    <row r="9" spans="1:16" x14ac:dyDescent="0.3">
      <c r="A9" s="15">
        <v>46216</v>
      </c>
      <c r="B9" t="s">
        <v>34</v>
      </c>
      <c r="C9" t="s">
        <v>107</v>
      </c>
      <c r="D9" t="s">
        <v>108</v>
      </c>
      <c r="E9" t="s">
        <v>132</v>
      </c>
      <c r="F9" t="s">
        <v>97</v>
      </c>
      <c r="G9" t="s">
        <v>86</v>
      </c>
      <c r="H9" t="s">
        <v>133</v>
      </c>
      <c r="I9" t="s">
        <v>134</v>
      </c>
      <c r="J9">
        <v>4</v>
      </c>
      <c r="K9" s="16">
        <v>24700</v>
      </c>
      <c r="L9" s="16">
        <v>18150.169999999998</v>
      </c>
      <c r="M9" s="16">
        <v>6549.83</v>
      </c>
      <c r="N9" t="s">
        <v>131</v>
      </c>
      <c r="O9" t="s">
        <v>119</v>
      </c>
      <c r="P9" t="str">
        <f t="shared" si="0"/>
        <v>Jaipur|Coffee Maker</v>
      </c>
    </row>
    <row r="10" spans="1:16" x14ac:dyDescent="0.3">
      <c r="A10" s="15">
        <v>46071</v>
      </c>
      <c r="B10" t="s">
        <v>34</v>
      </c>
      <c r="C10" t="s">
        <v>126</v>
      </c>
      <c r="D10" t="s">
        <v>127</v>
      </c>
      <c r="E10" t="s">
        <v>128</v>
      </c>
      <c r="F10" t="s">
        <v>94</v>
      </c>
      <c r="G10" t="s">
        <v>64</v>
      </c>
      <c r="H10" t="s">
        <v>135</v>
      </c>
      <c r="I10" t="s">
        <v>136</v>
      </c>
      <c r="J10">
        <v>19</v>
      </c>
      <c r="K10" s="16">
        <v>379050</v>
      </c>
      <c r="L10" s="16">
        <v>309954.99</v>
      </c>
      <c r="M10" s="16">
        <v>69095.009999999995</v>
      </c>
      <c r="N10" t="s">
        <v>112</v>
      </c>
      <c r="O10" t="s">
        <v>113</v>
      </c>
      <c r="P10" t="str">
        <f t="shared" si="0"/>
        <v>Gurugram|Monitor 27</v>
      </c>
    </row>
    <row r="11" spans="1:16" x14ac:dyDescent="0.3">
      <c r="A11" s="15">
        <v>46096</v>
      </c>
      <c r="B11" t="s">
        <v>34</v>
      </c>
      <c r="C11" t="s">
        <v>121</v>
      </c>
      <c r="D11" t="s">
        <v>137</v>
      </c>
      <c r="E11" t="s">
        <v>138</v>
      </c>
      <c r="F11" t="s">
        <v>97</v>
      </c>
      <c r="G11" t="s">
        <v>86</v>
      </c>
      <c r="H11" t="s">
        <v>139</v>
      </c>
      <c r="I11" t="s">
        <v>140</v>
      </c>
      <c r="J11">
        <v>10</v>
      </c>
      <c r="K11" s="16">
        <v>61750</v>
      </c>
      <c r="L11" s="16">
        <v>42780.36</v>
      </c>
      <c r="M11" s="16">
        <v>18969.64</v>
      </c>
      <c r="N11" t="s">
        <v>141</v>
      </c>
      <c r="O11" t="s">
        <v>142</v>
      </c>
      <c r="P11" t="str">
        <f t="shared" si="0"/>
        <v>Cuttack|Coffee Maker</v>
      </c>
    </row>
    <row r="12" spans="1:16" x14ac:dyDescent="0.3">
      <c r="A12" s="15">
        <v>46121</v>
      </c>
      <c r="B12" t="s">
        <v>34</v>
      </c>
      <c r="C12" t="s">
        <v>126</v>
      </c>
      <c r="D12" t="s">
        <v>127</v>
      </c>
      <c r="E12" t="s">
        <v>143</v>
      </c>
      <c r="F12" t="s">
        <v>94</v>
      </c>
      <c r="G12" t="s">
        <v>70</v>
      </c>
      <c r="H12" t="s">
        <v>133</v>
      </c>
      <c r="I12" t="s">
        <v>144</v>
      </c>
      <c r="J12">
        <v>15</v>
      </c>
      <c r="K12" s="16">
        <v>232500</v>
      </c>
      <c r="L12" s="16">
        <v>172336.81</v>
      </c>
      <c r="M12" s="16">
        <v>60163.19</v>
      </c>
      <c r="N12" t="s">
        <v>131</v>
      </c>
      <c r="O12" t="s">
        <v>113</v>
      </c>
      <c r="P12" t="str">
        <f t="shared" si="0"/>
        <v>Faridabad|Printer Pro</v>
      </c>
    </row>
    <row r="13" spans="1:16" x14ac:dyDescent="0.3">
      <c r="A13" s="15">
        <v>46186</v>
      </c>
      <c r="B13" t="s">
        <v>120</v>
      </c>
      <c r="C13" t="s">
        <v>107</v>
      </c>
      <c r="D13" t="s">
        <v>108</v>
      </c>
      <c r="E13" t="s">
        <v>132</v>
      </c>
      <c r="F13" t="s">
        <v>94</v>
      </c>
      <c r="G13" t="s">
        <v>61</v>
      </c>
      <c r="H13" t="s">
        <v>110</v>
      </c>
      <c r="I13" t="s">
        <v>145</v>
      </c>
      <c r="J13">
        <v>19</v>
      </c>
      <c r="K13" s="16">
        <v>1482000</v>
      </c>
      <c r="L13" s="16">
        <v>1193724.45</v>
      </c>
      <c r="M13" s="16">
        <v>288275.55</v>
      </c>
      <c r="N13" t="s">
        <v>141</v>
      </c>
      <c r="O13" t="s">
        <v>142</v>
      </c>
      <c r="P13" t="str">
        <f t="shared" si="0"/>
        <v>Jaipur|Laptop Pro</v>
      </c>
    </row>
    <row r="14" spans="1:16" x14ac:dyDescent="0.3">
      <c r="A14" s="15">
        <v>46052</v>
      </c>
      <c r="B14" t="s">
        <v>34</v>
      </c>
      <c r="C14" t="s">
        <v>121</v>
      </c>
      <c r="D14" t="s">
        <v>146</v>
      </c>
      <c r="E14" t="s">
        <v>147</v>
      </c>
      <c r="F14" t="s">
        <v>96</v>
      </c>
      <c r="G14" t="s">
        <v>82</v>
      </c>
      <c r="H14" t="s">
        <v>139</v>
      </c>
      <c r="I14" t="s">
        <v>148</v>
      </c>
      <c r="J14">
        <v>20</v>
      </c>
      <c r="K14" s="16">
        <v>541500</v>
      </c>
      <c r="L14" s="16">
        <v>398137.5</v>
      </c>
      <c r="M14" s="16">
        <v>143362.5</v>
      </c>
      <c r="N14" t="s">
        <v>125</v>
      </c>
      <c r="O14" t="s">
        <v>119</v>
      </c>
      <c r="P14" t="str">
        <f t="shared" si="0"/>
        <v>Guwahati|Standing Desk</v>
      </c>
    </row>
    <row r="15" spans="1:16" x14ac:dyDescent="0.3">
      <c r="A15" s="15">
        <v>46131</v>
      </c>
      <c r="B15" t="s">
        <v>34</v>
      </c>
      <c r="C15" t="s">
        <v>107</v>
      </c>
      <c r="D15" t="s">
        <v>149</v>
      </c>
      <c r="E15" t="s">
        <v>150</v>
      </c>
      <c r="F15" t="s">
        <v>96</v>
      </c>
      <c r="G15" t="s">
        <v>80</v>
      </c>
      <c r="H15" t="s">
        <v>129</v>
      </c>
      <c r="I15" t="s">
        <v>151</v>
      </c>
      <c r="J15">
        <v>7</v>
      </c>
      <c r="K15" s="16">
        <v>87500</v>
      </c>
      <c r="L15" s="16">
        <v>71246.92</v>
      </c>
      <c r="M15" s="16">
        <v>16253.08</v>
      </c>
      <c r="N15" t="s">
        <v>125</v>
      </c>
      <c r="O15" t="s">
        <v>113</v>
      </c>
      <c r="P15" t="str">
        <f t="shared" si="0"/>
        <v>Mumbai|Office Chair</v>
      </c>
    </row>
    <row r="16" spans="1:16" x14ac:dyDescent="0.3">
      <c r="A16" s="15">
        <v>46157</v>
      </c>
      <c r="B16" t="s">
        <v>34</v>
      </c>
      <c r="C16" t="s">
        <v>152</v>
      </c>
      <c r="D16" t="s">
        <v>153</v>
      </c>
      <c r="E16" t="s">
        <v>154</v>
      </c>
      <c r="F16" t="s">
        <v>95</v>
      </c>
      <c r="G16" t="s">
        <v>74</v>
      </c>
      <c r="H16" t="s">
        <v>110</v>
      </c>
      <c r="I16" t="s">
        <v>155</v>
      </c>
      <c r="J16">
        <v>19</v>
      </c>
      <c r="K16" s="16">
        <v>88464</v>
      </c>
      <c r="L16" s="16">
        <v>61311.360000000001</v>
      </c>
      <c r="M16" s="16">
        <v>27152.639999999999</v>
      </c>
      <c r="N16" t="s">
        <v>141</v>
      </c>
      <c r="O16" t="s">
        <v>142</v>
      </c>
      <c r="P16" t="str">
        <f t="shared" si="0"/>
        <v>Coimbatore|Headset</v>
      </c>
    </row>
    <row r="17" spans="1:16" x14ac:dyDescent="0.3">
      <c r="A17" s="15">
        <v>46052</v>
      </c>
      <c r="B17" t="s">
        <v>120</v>
      </c>
      <c r="C17" t="s">
        <v>121</v>
      </c>
      <c r="D17" t="s">
        <v>146</v>
      </c>
      <c r="E17" t="s">
        <v>147</v>
      </c>
      <c r="F17" t="s">
        <v>96</v>
      </c>
      <c r="G17" t="s">
        <v>80</v>
      </c>
      <c r="H17" t="s">
        <v>135</v>
      </c>
      <c r="I17" t="s">
        <v>145</v>
      </c>
      <c r="J17">
        <v>7</v>
      </c>
      <c r="K17" s="16">
        <v>87500</v>
      </c>
      <c r="L17" s="16">
        <v>55282.39</v>
      </c>
      <c r="M17" s="16">
        <v>32217.61</v>
      </c>
      <c r="N17" t="s">
        <v>112</v>
      </c>
      <c r="O17" t="s">
        <v>113</v>
      </c>
      <c r="P17" t="str">
        <f t="shared" si="0"/>
        <v>Guwahati|Office Chair</v>
      </c>
    </row>
    <row r="18" spans="1:16" x14ac:dyDescent="0.3">
      <c r="A18" s="15">
        <v>46085</v>
      </c>
      <c r="B18" t="s">
        <v>34</v>
      </c>
      <c r="C18" t="s">
        <v>126</v>
      </c>
      <c r="D18" t="s">
        <v>127</v>
      </c>
      <c r="E18" t="s">
        <v>128</v>
      </c>
      <c r="F18" t="s">
        <v>94</v>
      </c>
      <c r="G18" t="s">
        <v>70</v>
      </c>
      <c r="H18" t="s">
        <v>135</v>
      </c>
      <c r="I18" t="s">
        <v>111</v>
      </c>
      <c r="J18">
        <v>6</v>
      </c>
      <c r="K18" s="16">
        <v>90210</v>
      </c>
      <c r="L18" s="16">
        <v>59810.01</v>
      </c>
      <c r="M18" s="16">
        <v>30399.99</v>
      </c>
      <c r="N18" t="s">
        <v>125</v>
      </c>
      <c r="O18" t="s">
        <v>113</v>
      </c>
      <c r="P18" t="str">
        <f t="shared" si="0"/>
        <v>Gurugram|Printer Pro</v>
      </c>
    </row>
    <row r="19" spans="1:16" x14ac:dyDescent="0.3">
      <c r="A19" s="15">
        <v>46031</v>
      </c>
      <c r="B19" t="s">
        <v>34</v>
      </c>
      <c r="C19" t="s">
        <v>152</v>
      </c>
      <c r="D19" t="s">
        <v>156</v>
      </c>
      <c r="E19" t="s">
        <v>157</v>
      </c>
      <c r="F19" t="s">
        <v>96</v>
      </c>
      <c r="G19" t="s">
        <v>83</v>
      </c>
      <c r="H19" t="s">
        <v>110</v>
      </c>
      <c r="I19" t="s">
        <v>158</v>
      </c>
      <c r="J19">
        <v>18</v>
      </c>
      <c r="K19" s="16">
        <v>648000</v>
      </c>
      <c r="L19" s="16">
        <v>512270.52</v>
      </c>
      <c r="M19" s="16">
        <v>135729.48000000001</v>
      </c>
      <c r="N19" t="s">
        <v>141</v>
      </c>
      <c r="O19" t="s">
        <v>119</v>
      </c>
      <c r="P19" t="str">
        <f t="shared" si="0"/>
        <v>Mysuru|Meeting Table</v>
      </c>
    </row>
    <row r="20" spans="1:16" x14ac:dyDescent="0.3">
      <c r="A20" s="15">
        <v>46127</v>
      </c>
      <c r="B20" t="s">
        <v>34</v>
      </c>
      <c r="C20" t="s">
        <v>107</v>
      </c>
      <c r="D20" t="s">
        <v>149</v>
      </c>
      <c r="E20" t="s">
        <v>159</v>
      </c>
      <c r="F20" t="s">
        <v>95</v>
      </c>
      <c r="G20" t="s">
        <v>72</v>
      </c>
      <c r="H20" t="s">
        <v>139</v>
      </c>
      <c r="I20" t="s">
        <v>160</v>
      </c>
      <c r="J20">
        <v>13</v>
      </c>
      <c r="K20" s="16">
        <v>41600</v>
      </c>
      <c r="L20" s="16">
        <v>28049.200000000001</v>
      </c>
      <c r="M20" s="16">
        <v>13550.8</v>
      </c>
      <c r="N20" t="s">
        <v>125</v>
      </c>
      <c r="O20" t="s">
        <v>113</v>
      </c>
      <c r="P20" t="str">
        <f t="shared" si="0"/>
        <v>Pune|Keyboard</v>
      </c>
    </row>
    <row r="21" spans="1:16" x14ac:dyDescent="0.3">
      <c r="A21" s="15">
        <v>46188</v>
      </c>
      <c r="B21" t="s">
        <v>34</v>
      </c>
      <c r="C21" t="s">
        <v>152</v>
      </c>
      <c r="D21" t="s">
        <v>153</v>
      </c>
      <c r="E21" t="s">
        <v>154</v>
      </c>
      <c r="F21" t="s">
        <v>97</v>
      </c>
      <c r="G21" t="s">
        <v>86</v>
      </c>
      <c r="H21" t="s">
        <v>139</v>
      </c>
      <c r="I21" t="s">
        <v>161</v>
      </c>
      <c r="J21">
        <v>1</v>
      </c>
      <c r="K21" s="16">
        <v>6305</v>
      </c>
      <c r="L21" s="16">
        <v>5063.3599999999997</v>
      </c>
      <c r="M21" s="16">
        <v>1241.6400000000001</v>
      </c>
      <c r="N21" t="s">
        <v>125</v>
      </c>
      <c r="O21" t="s">
        <v>142</v>
      </c>
      <c r="P21" t="str">
        <f t="shared" si="0"/>
        <v>Coimbatore|Coffee Maker</v>
      </c>
    </row>
    <row r="22" spans="1:16" x14ac:dyDescent="0.3">
      <c r="A22" s="15">
        <v>46051</v>
      </c>
      <c r="B22" t="s">
        <v>34</v>
      </c>
      <c r="C22" t="s">
        <v>126</v>
      </c>
      <c r="D22" t="s">
        <v>162</v>
      </c>
      <c r="E22" t="s">
        <v>163</v>
      </c>
      <c r="F22" t="s">
        <v>94</v>
      </c>
      <c r="G22" t="s">
        <v>64</v>
      </c>
      <c r="H22" t="s">
        <v>139</v>
      </c>
      <c r="I22" t="s">
        <v>164</v>
      </c>
      <c r="J22">
        <v>19</v>
      </c>
      <c r="K22" s="16">
        <v>351120</v>
      </c>
      <c r="L22" s="16">
        <v>246980.29</v>
      </c>
      <c r="M22" s="16">
        <v>104139.71</v>
      </c>
      <c r="N22" t="s">
        <v>141</v>
      </c>
      <c r="O22" t="s">
        <v>113</v>
      </c>
      <c r="P22" t="str">
        <f t="shared" si="0"/>
        <v>Lucknow|Monitor 27</v>
      </c>
    </row>
    <row r="23" spans="1:16" x14ac:dyDescent="0.3">
      <c r="A23" s="15">
        <v>46034</v>
      </c>
      <c r="B23" t="s">
        <v>34</v>
      </c>
      <c r="C23" t="s">
        <v>126</v>
      </c>
      <c r="D23" t="s">
        <v>127</v>
      </c>
      <c r="E23" t="s">
        <v>128</v>
      </c>
      <c r="F23" t="s">
        <v>95</v>
      </c>
      <c r="G23" t="s">
        <v>76</v>
      </c>
      <c r="H23" t="s">
        <v>135</v>
      </c>
      <c r="I23" t="s">
        <v>165</v>
      </c>
      <c r="J23">
        <v>11</v>
      </c>
      <c r="K23" s="16">
        <v>19206</v>
      </c>
      <c r="L23" s="16">
        <v>12470.94</v>
      </c>
      <c r="M23" s="16">
        <v>6735.06</v>
      </c>
      <c r="N23" t="s">
        <v>112</v>
      </c>
      <c r="O23" t="s">
        <v>113</v>
      </c>
      <c r="P23" t="str">
        <f t="shared" si="0"/>
        <v>Gurugram|Mouse</v>
      </c>
    </row>
    <row r="24" spans="1:16" x14ac:dyDescent="0.3">
      <c r="A24" s="15">
        <v>46116</v>
      </c>
      <c r="B24" t="s">
        <v>114</v>
      </c>
      <c r="C24" t="s">
        <v>121</v>
      </c>
      <c r="D24" t="s">
        <v>122</v>
      </c>
      <c r="E24" t="s">
        <v>166</v>
      </c>
      <c r="F24" t="s">
        <v>96</v>
      </c>
      <c r="G24" t="s">
        <v>82</v>
      </c>
      <c r="H24" t="s">
        <v>129</v>
      </c>
      <c r="I24" t="s">
        <v>167</v>
      </c>
      <c r="J24">
        <v>7</v>
      </c>
      <c r="K24" s="16">
        <v>193515</v>
      </c>
      <c r="L24" s="16">
        <v>133690</v>
      </c>
      <c r="M24" s="16">
        <v>59825</v>
      </c>
      <c r="N24" t="s">
        <v>131</v>
      </c>
      <c r="O24" t="s">
        <v>119</v>
      </c>
      <c r="P24" t="str">
        <f t="shared" si="0"/>
        <v>Kolkata|Standing Desk</v>
      </c>
    </row>
    <row r="25" spans="1:16" x14ac:dyDescent="0.3">
      <c r="A25" s="15">
        <v>46188</v>
      </c>
      <c r="B25" t="s">
        <v>34</v>
      </c>
      <c r="C25" t="s">
        <v>152</v>
      </c>
      <c r="D25" t="s">
        <v>153</v>
      </c>
      <c r="E25" t="s">
        <v>154</v>
      </c>
      <c r="F25" t="s">
        <v>96</v>
      </c>
      <c r="G25" t="s">
        <v>84</v>
      </c>
      <c r="H25" t="s">
        <v>129</v>
      </c>
      <c r="I25" t="s">
        <v>168</v>
      </c>
      <c r="J25">
        <v>13</v>
      </c>
      <c r="K25" s="16">
        <v>179075</v>
      </c>
      <c r="L25" s="16">
        <v>114901.16</v>
      </c>
      <c r="M25" s="16">
        <v>64173.84</v>
      </c>
      <c r="N25" t="s">
        <v>141</v>
      </c>
      <c r="O25" t="s">
        <v>113</v>
      </c>
      <c r="P25" t="str">
        <f t="shared" si="0"/>
        <v>Coimbatore|Filing Cabinet</v>
      </c>
    </row>
    <row r="26" spans="1:16" x14ac:dyDescent="0.3">
      <c r="A26" s="15">
        <v>46108</v>
      </c>
      <c r="B26" t="s">
        <v>34</v>
      </c>
      <c r="C26" t="s">
        <v>152</v>
      </c>
      <c r="D26" t="s">
        <v>153</v>
      </c>
      <c r="E26" t="s">
        <v>169</v>
      </c>
      <c r="F26" t="s">
        <v>97</v>
      </c>
      <c r="G26" t="s">
        <v>86</v>
      </c>
      <c r="H26" t="s">
        <v>139</v>
      </c>
      <c r="I26" t="s">
        <v>170</v>
      </c>
      <c r="J26">
        <v>18</v>
      </c>
      <c r="K26" s="16">
        <v>107640</v>
      </c>
      <c r="L26" s="16">
        <v>72361.820000000007</v>
      </c>
      <c r="M26" s="16">
        <v>35278.18</v>
      </c>
      <c r="N26" t="s">
        <v>141</v>
      </c>
      <c r="O26" t="s">
        <v>113</v>
      </c>
      <c r="P26" t="str">
        <f t="shared" si="0"/>
        <v>Chennai|Coffee Maker</v>
      </c>
    </row>
    <row r="27" spans="1:16" x14ac:dyDescent="0.3">
      <c r="A27" s="15">
        <v>46126</v>
      </c>
      <c r="B27" t="s">
        <v>34</v>
      </c>
      <c r="C27" t="s">
        <v>126</v>
      </c>
      <c r="D27" t="s">
        <v>127</v>
      </c>
      <c r="E27" t="s">
        <v>128</v>
      </c>
      <c r="F27" t="s">
        <v>94</v>
      </c>
      <c r="G27" t="s">
        <v>64</v>
      </c>
      <c r="H27" t="s">
        <v>110</v>
      </c>
      <c r="I27" t="s">
        <v>168</v>
      </c>
      <c r="J27">
        <v>11</v>
      </c>
      <c r="K27" s="16">
        <v>231000</v>
      </c>
      <c r="L27" s="16">
        <v>182803.34</v>
      </c>
      <c r="M27" s="16">
        <v>48196.66</v>
      </c>
      <c r="N27" t="s">
        <v>125</v>
      </c>
      <c r="O27" t="s">
        <v>142</v>
      </c>
      <c r="P27" t="str">
        <f t="shared" si="0"/>
        <v>Gurugram|Monitor 27</v>
      </c>
    </row>
    <row r="28" spans="1:16" x14ac:dyDescent="0.3">
      <c r="A28" s="15">
        <v>46143</v>
      </c>
      <c r="B28" t="s">
        <v>34</v>
      </c>
      <c r="C28" t="s">
        <v>121</v>
      </c>
      <c r="D28" t="s">
        <v>137</v>
      </c>
      <c r="E28" t="s">
        <v>171</v>
      </c>
      <c r="F28" t="s">
        <v>95</v>
      </c>
      <c r="G28" t="s">
        <v>72</v>
      </c>
      <c r="H28" t="s">
        <v>133</v>
      </c>
      <c r="I28" t="s">
        <v>172</v>
      </c>
      <c r="J28">
        <v>15</v>
      </c>
      <c r="K28" s="16">
        <v>46560</v>
      </c>
      <c r="L28" s="16">
        <v>35695.800000000003</v>
      </c>
      <c r="M28" s="16">
        <v>10864.2</v>
      </c>
      <c r="N28" t="s">
        <v>125</v>
      </c>
      <c r="O28" t="s">
        <v>142</v>
      </c>
      <c r="P28" t="str">
        <f t="shared" si="0"/>
        <v>Bhubaneswar|Keyboard</v>
      </c>
    </row>
    <row r="29" spans="1:16" x14ac:dyDescent="0.3">
      <c r="A29" s="15">
        <v>46101</v>
      </c>
      <c r="B29" t="s">
        <v>114</v>
      </c>
      <c r="C29" t="s">
        <v>152</v>
      </c>
      <c r="D29" t="s">
        <v>156</v>
      </c>
      <c r="E29" t="s">
        <v>157</v>
      </c>
      <c r="F29" t="s">
        <v>96</v>
      </c>
      <c r="G29" t="s">
        <v>84</v>
      </c>
      <c r="H29" t="s">
        <v>173</v>
      </c>
      <c r="I29" t="s">
        <v>174</v>
      </c>
      <c r="J29">
        <v>14</v>
      </c>
      <c r="K29" s="16">
        <v>203000</v>
      </c>
      <c r="L29" s="16">
        <v>152613.74</v>
      </c>
      <c r="M29" s="16">
        <v>50386.26</v>
      </c>
      <c r="N29" t="s">
        <v>131</v>
      </c>
      <c r="O29" t="s">
        <v>142</v>
      </c>
      <c r="P29" t="str">
        <f t="shared" si="0"/>
        <v>Mysuru|Filing Cabinet</v>
      </c>
    </row>
    <row r="30" spans="1:16" x14ac:dyDescent="0.3">
      <c r="A30" s="15">
        <v>46171</v>
      </c>
      <c r="B30" t="s">
        <v>34</v>
      </c>
      <c r="C30" t="s">
        <v>121</v>
      </c>
      <c r="D30" t="s">
        <v>146</v>
      </c>
      <c r="E30" t="s">
        <v>175</v>
      </c>
      <c r="F30" t="s">
        <v>94</v>
      </c>
      <c r="G30" t="s">
        <v>64</v>
      </c>
      <c r="H30" t="s">
        <v>129</v>
      </c>
      <c r="I30" t="s">
        <v>176</v>
      </c>
      <c r="J30">
        <v>10</v>
      </c>
      <c r="K30" s="16">
        <v>203700</v>
      </c>
      <c r="L30" s="16">
        <v>137153.93</v>
      </c>
      <c r="M30" s="16">
        <v>66546.070000000007</v>
      </c>
      <c r="N30" t="s">
        <v>125</v>
      </c>
      <c r="O30" t="s">
        <v>113</v>
      </c>
      <c r="P30" t="str">
        <f t="shared" si="0"/>
        <v>Dibrugarh|Monitor 27</v>
      </c>
    </row>
    <row r="31" spans="1:16" x14ac:dyDescent="0.3">
      <c r="A31" s="15">
        <v>46048</v>
      </c>
      <c r="B31" t="s">
        <v>34</v>
      </c>
      <c r="C31" t="s">
        <v>152</v>
      </c>
      <c r="D31" t="s">
        <v>153</v>
      </c>
      <c r="E31" t="s">
        <v>169</v>
      </c>
      <c r="F31" t="s">
        <v>95</v>
      </c>
      <c r="G31" t="s">
        <v>76</v>
      </c>
      <c r="H31" t="s">
        <v>135</v>
      </c>
      <c r="I31" t="s">
        <v>177</v>
      </c>
      <c r="J31">
        <v>10</v>
      </c>
      <c r="K31" s="16">
        <v>17100</v>
      </c>
      <c r="L31" s="16">
        <v>13940.07</v>
      </c>
      <c r="M31" s="16">
        <v>3159.93</v>
      </c>
      <c r="N31" t="s">
        <v>125</v>
      </c>
      <c r="O31" t="s">
        <v>113</v>
      </c>
      <c r="P31" t="str">
        <f t="shared" si="0"/>
        <v>Chennai|Mouse</v>
      </c>
    </row>
    <row r="32" spans="1:16" x14ac:dyDescent="0.3">
      <c r="A32" s="15">
        <v>46117</v>
      </c>
      <c r="B32" t="s">
        <v>34</v>
      </c>
      <c r="C32" t="s">
        <v>121</v>
      </c>
      <c r="D32" t="s">
        <v>122</v>
      </c>
      <c r="E32" t="s">
        <v>166</v>
      </c>
      <c r="F32" t="s">
        <v>94</v>
      </c>
      <c r="G32" t="s">
        <v>64</v>
      </c>
      <c r="H32" t="s">
        <v>139</v>
      </c>
      <c r="I32" t="s">
        <v>178</v>
      </c>
      <c r="J32">
        <v>11</v>
      </c>
      <c r="K32" s="16">
        <v>203280</v>
      </c>
      <c r="L32" s="16">
        <v>136019.46</v>
      </c>
      <c r="M32" s="16">
        <v>67260.539999999994</v>
      </c>
      <c r="N32" t="s">
        <v>112</v>
      </c>
      <c r="O32" t="s">
        <v>113</v>
      </c>
      <c r="P32" t="str">
        <f t="shared" si="0"/>
        <v>Kolkata|Monitor 27</v>
      </c>
    </row>
    <row r="33" spans="1:16" x14ac:dyDescent="0.3">
      <c r="A33" s="15">
        <v>46103</v>
      </c>
      <c r="B33" t="s">
        <v>34</v>
      </c>
      <c r="C33" t="s">
        <v>107</v>
      </c>
      <c r="D33" t="s">
        <v>149</v>
      </c>
      <c r="E33" t="s">
        <v>159</v>
      </c>
      <c r="F33" t="s">
        <v>94</v>
      </c>
      <c r="G33" t="s">
        <v>67</v>
      </c>
      <c r="H33" t="s">
        <v>129</v>
      </c>
      <c r="I33" t="s">
        <v>179</v>
      </c>
      <c r="J33">
        <v>2</v>
      </c>
      <c r="K33" s="16">
        <v>66000</v>
      </c>
      <c r="L33" s="16">
        <v>50628.34</v>
      </c>
      <c r="M33" s="16">
        <v>15371.66</v>
      </c>
      <c r="N33" t="s">
        <v>112</v>
      </c>
      <c r="O33" t="s">
        <v>113</v>
      </c>
      <c r="P33" t="str">
        <f t="shared" si="0"/>
        <v>Pune|Tablet X</v>
      </c>
    </row>
    <row r="34" spans="1:16" x14ac:dyDescent="0.3">
      <c r="A34" s="15">
        <v>46137</v>
      </c>
      <c r="B34" t="s">
        <v>34</v>
      </c>
      <c r="C34" t="s">
        <v>152</v>
      </c>
      <c r="D34" t="s">
        <v>153</v>
      </c>
      <c r="E34" t="s">
        <v>154</v>
      </c>
      <c r="F34" t="s">
        <v>96</v>
      </c>
      <c r="G34" t="s">
        <v>84</v>
      </c>
      <c r="H34" t="s">
        <v>133</v>
      </c>
      <c r="I34" t="s">
        <v>180</v>
      </c>
      <c r="J34">
        <v>12</v>
      </c>
      <c r="K34" s="16">
        <v>160080</v>
      </c>
      <c r="L34" s="16">
        <v>103058.98</v>
      </c>
      <c r="M34" s="16">
        <v>57021.02</v>
      </c>
      <c r="N34" t="s">
        <v>125</v>
      </c>
      <c r="O34" t="s">
        <v>142</v>
      </c>
      <c r="P34" t="str">
        <f t="shared" si="0"/>
        <v>Coimbatore|Filing Cabinet</v>
      </c>
    </row>
    <row r="35" spans="1:16" x14ac:dyDescent="0.3">
      <c r="A35" s="15">
        <v>46136</v>
      </c>
      <c r="B35" t="s">
        <v>114</v>
      </c>
      <c r="C35" t="s">
        <v>121</v>
      </c>
      <c r="D35" t="s">
        <v>137</v>
      </c>
      <c r="E35" t="s">
        <v>171</v>
      </c>
      <c r="F35" t="s">
        <v>96</v>
      </c>
      <c r="G35" t="s">
        <v>80</v>
      </c>
      <c r="H35" t="s">
        <v>117</v>
      </c>
      <c r="I35" t="s">
        <v>176</v>
      </c>
      <c r="J35">
        <v>4</v>
      </c>
      <c r="K35" s="16">
        <v>50000</v>
      </c>
      <c r="L35" s="16">
        <v>35904.85</v>
      </c>
      <c r="M35" s="16">
        <v>14095.15</v>
      </c>
      <c r="N35" t="s">
        <v>141</v>
      </c>
      <c r="O35" t="s">
        <v>119</v>
      </c>
      <c r="P35" t="str">
        <f t="shared" si="0"/>
        <v>Bhubaneswar|Office Chair</v>
      </c>
    </row>
    <row r="36" spans="1:16" x14ac:dyDescent="0.3">
      <c r="A36" s="15">
        <v>46163</v>
      </c>
      <c r="B36" t="s">
        <v>114</v>
      </c>
      <c r="C36" t="s">
        <v>121</v>
      </c>
      <c r="D36" t="s">
        <v>137</v>
      </c>
      <c r="E36" t="s">
        <v>171</v>
      </c>
      <c r="F36" t="s">
        <v>97</v>
      </c>
      <c r="G36" t="s">
        <v>88</v>
      </c>
      <c r="H36" t="s">
        <v>173</v>
      </c>
      <c r="I36" t="s">
        <v>181</v>
      </c>
      <c r="J36">
        <v>18</v>
      </c>
      <c r="K36" s="16">
        <v>253170</v>
      </c>
      <c r="L36" s="16">
        <v>175506.89</v>
      </c>
      <c r="M36" s="16">
        <v>77663.11</v>
      </c>
      <c r="N36" t="s">
        <v>141</v>
      </c>
      <c r="O36" t="s">
        <v>119</v>
      </c>
      <c r="P36" t="str">
        <f t="shared" si="0"/>
        <v>Bhubaneswar|Vacuum Cleaner</v>
      </c>
    </row>
    <row r="37" spans="1:16" x14ac:dyDescent="0.3">
      <c r="A37" s="15">
        <v>46187</v>
      </c>
      <c r="B37" t="s">
        <v>120</v>
      </c>
      <c r="C37" t="s">
        <v>121</v>
      </c>
      <c r="D37" t="s">
        <v>146</v>
      </c>
      <c r="E37" t="s">
        <v>175</v>
      </c>
      <c r="F37" t="s">
        <v>95</v>
      </c>
      <c r="G37" t="s">
        <v>72</v>
      </c>
      <c r="H37" t="s">
        <v>133</v>
      </c>
      <c r="I37" t="s">
        <v>182</v>
      </c>
      <c r="J37">
        <v>5</v>
      </c>
      <c r="K37" s="16">
        <v>16000</v>
      </c>
      <c r="L37" s="16">
        <v>12503.34</v>
      </c>
      <c r="M37" s="16">
        <v>3496.66</v>
      </c>
      <c r="N37" t="s">
        <v>131</v>
      </c>
      <c r="O37" t="s">
        <v>113</v>
      </c>
      <c r="P37" t="str">
        <f t="shared" si="0"/>
        <v>Dibrugarh|Keyboard</v>
      </c>
    </row>
    <row r="38" spans="1:16" x14ac:dyDescent="0.3">
      <c r="A38" s="15">
        <v>46033</v>
      </c>
      <c r="B38" t="s">
        <v>34</v>
      </c>
      <c r="C38" t="s">
        <v>152</v>
      </c>
      <c r="D38" t="s">
        <v>153</v>
      </c>
      <c r="E38" t="s">
        <v>169</v>
      </c>
      <c r="F38" t="s">
        <v>97</v>
      </c>
      <c r="G38" t="s">
        <v>86</v>
      </c>
      <c r="H38" t="s">
        <v>129</v>
      </c>
      <c r="I38" t="s">
        <v>183</v>
      </c>
      <c r="J38">
        <v>18</v>
      </c>
      <c r="K38" s="16">
        <v>102960</v>
      </c>
      <c r="L38" s="16">
        <v>74552.44</v>
      </c>
      <c r="M38" s="16">
        <v>28407.56</v>
      </c>
      <c r="N38" t="s">
        <v>125</v>
      </c>
      <c r="O38" t="s">
        <v>142</v>
      </c>
      <c r="P38" t="str">
        <f t="shared" si="0"/>
        <v>Chennai|Coffee Maker</v>
      </c>
    </row>
    <row r="39" spans="1:16" x14ac:dyDescent="0.3">
      <c r="A39" s="15">
        <v>46264</v>
      </c>
      <c r="B39" t="s">
        <v>34</v>
      </c>
      <c r="C39" t="s">
        <v>121</v>
      </c>
      <c r="D39" t="s">
        <v>137</v>
      </c>
      <c r="E39" t="s">
        <v>171</v>
      </c>
      <c r="F39" t="s">
        <v>97</v>
      </c>
      <c r="G39" t="s">
        <v>87</v>
      </c>
      <c r="H39" t="s">
        <v>184</v>
      </c>
      <c r="I39" t="s">
        <v>185</v>
      </c>
      <c r="J39">
        <v>2</v>
      </c>
      <c r="K39" s="16">
        <v>25000</v>
      </c>
      <c r="L39" s="16">
        <v>19583.28</v>
      </c>
      <c r="M39" s="16">
        <v>5416.72</v>
      </c>
      <c r="N39" t="s">
        <v>112</v>
      </c>
      <c r="O39" t="s">
        <v>119</v>
      </c>
      <c r="P39" t="str">
        <f t="shared" si="0"/>
        <v>Bhubaneswar|Microwave</v>
      </c>
    </row>
    <row r="40" spans="1:16" x14ac:dyDescent="0.3">
      <c r="A40" s="15">
        <v>46112</v>
      </c>
      <c r="B40" t="s">
        <v>34</v>
      </c>
      <c r="C40" t="s">
        <v>107</v>
      </c>
      <c r="D40" t="s">
        <v>108</v>
      </c>
      <c r="E40" t="s">
        <v>109</v>
      </c>
      <c r="F40" t="s">
        <v>97</v>
      </c>
      <c r="G40" t="s">
        <v>85</v>
      </c>
      <c r="H40" t="s">
        <v>135</v>
      </c>
      <c r="I40" t="s">
        <v>186</v>
      </c>
      <c r="J40">
        <v>15</v>
      </c>
      <c r="K40" s="16">
        <v>256500</v>
      </c>
      <c r="L40" s="16">
        <v>188961.96</v>
      </c>
      <c r="M40" s="16">
        <v>67538.039999999994</v>
      </c>
      <c r="N40" t="s">
        <v>141</v>
      </c>
      <c r="O40" t="s">
        <v>113</v>
      </c>
      <c r="P40" t="str">
        <f t="shared" si="0"/>
        <v>Udaipur|Air Purifier</v>
      </c>
    </row>
    <row r="41" spans="1:16" x14ac:dyDescent="0.3">
      <c r="A41" s="15">
        <v>46024</v>
      </c>
      <c r="B41" t="s">
        <v>114</v>
      </c>
      <c r="C41" t="s">
        <v>152</v>
      </c>
      <c r="D41" t="s">
        <v>187</v>
      </c>
      <c r="E41" t="s">
        <v>188</v>
      </c>
      <c r="F41" t="s">
        <v>95</v>
      </c>
      <c r="G41" t="s">
        <v>72</v>
      </c>
      <c r="H41" t="s">
        <v>117</v>
      </c>
      <c r="I41" t="s">
        <v>189</v>
      </c>
      <c r="J41">
        <v>4</v>
      </c>
      <c r="K41" s="16">
        <v>12800</v>
      </c>
      <c r="L41" s="16">
        <v>10379.209999999999</v>
      </c>
      <c r="M41" s="16">
        <v>2420.79</v>
      </c>
      <c r="N41" t="s">
        <v>131</v>
      </c>
      <c r="O41" t="s">
        <v>119</v>
      </c>
      <c r="P41" t="str">
        <f t="shared" si="0"/>
        <v>Warangal|Keyboard</v>
      </c>
    </row>
    <row r="42" spans="1:16" x14ac:dyDescent="0.3">
      <c r="A42" s="15">
        <v>46079</v>
      </c>
      <c r="B42" t="s">
        <v>114</v>
      </c>
      <c r="C42" t="s">
        <v>107</v>
      </c>
      <c r="D42" t="s">
        <v>149</v>
      </c>
      <c r="E42" t="s">
        <v>150</v>
      </c>
      <c r="F42" t="s">
        <v>96</v>
      </c>
      <c r="G42" t="s">
        <v>82</v>
      </c>
      <c r="H42" t="s">
        <v>184</v>
      </c>
      <c r="I42" t="s">
        <v>190</v>
      </c>
      <c r="J42">
        <v>9</v>
      </c>
      <c r="K42" s="16">
        <v>235980</v>
      </c>
      <c r="L42" s="16">
        <v>146715.35</v>
      </c>
      <c r="M42" s="16">
        <v>89264.65</v>
      </c>
      <c r="N42" t="s">
        <v>125</v>
      </c>
      <c r="O42" t="s">
        <v>113</v>
      </c>
      <c r="P42" t="str">
        <f t="shared" si="0"/>
        <v>Mumbai|Standing Desk</v>
      </c>
    </row>
    <row r="43" spans="1:16" x14ac:dyDescent="0.3">
      <c r="A43" s="15">
        <v>46211</v>
      </c>
      <c r="B43" t="s">
        <v>34</v>
      </c>
      <c r="C43" t="s">
        <v>107</v>
      </c>
      <c r="D43" t="s">
        <v>115</v>
      </c>
      <c r="E43" t="s">
        <v>191</v>
      </c>
      <c r="F43" t="s">
        <v>96</v>
      </c>
      <c r="G43" t="s">
        <v>80</v>
      </c>
      <c r="H43" t="s">
        <v>117</v>
      </c>
      <c r="I43" t="s">
        <v>192</v>
      </c>
      <c r="J43">
        <v>17</v>
      </c>
      <c r="K43" s="16">
        <v>212500</v>
      </c>
      <c r="L43" s="16">
        <v>158867.82999999999</v>
      </c>
      <c r="M43" s="16">
        <v>53632.17</v>
      </c>
      <c r="N43" t="s">
        <v>112</v>
      </c>
      <c r="O43" t="s">
        <v>113</v>
      </c>
      <c r="P43" t="str">
        <f t="shared" si="0"/>
        <v>Surat|Office Chair</v>
      </c>
    </row>
    <row r="44" spans="1:16" x14ac:dyDescent="0.3">
      <c r="A44" s="15">
        <v>46220</v>
      </c>
      <c r="B44" t="s">
        <v>34</v>
      </c>
      <c r="C44" t="s">
        <v>107</v>
      </c>
      <c r="D44" t="s">
        <v>115</v>
      </c>
      <c r="E44" t="s">
        <v>116</v>
      </c>
      <c r="F44" t="s">
        <v>94</v>
      </c>
      <c r="G44" t="s">
        <v>64</v>
      </c>
      <c r="H44" t="s">
        <v>135</v>
      </c>
      <c r="I44" t="s">
        <v>193</v>
      </c>
      <c r="J44">
        <v>2</v>
      </c>
      <c r="K44" s="16">
        <v>38640</v>
      </c>
      <c r="L44" s="16">
        <v>28474.86</v>
      </c>
      <c r="M44" s="16">
        <v>10165.14</v>
      </c>
      <c r="N44" t="s">
        <v>125</v>
      </c>
      <c r="O44" t="s">
        <v>113</v>
      </c>
      <c r="P44" t="str">
        <f t="shared" si="0"/>
        <v>Ahmedabad|Monitor 27</v>
      </c>
    </row>
    <row r="45" spans="1:16" x14ac:dyDescent="0.3">
      <c r="A45" s="15">
        <v>46253</v>
      </c>
      <c r="B45" t="s">
        <v>34</v>
      </c>
      <c r="C45" t="s">
        <v>107</v>
      </c>
      <c r="D45" t="s">
        <v>108</v>
      </c>
      <c r="E45" t="s">
        <v>132</v>
      </c>
      <c r="F45" t="s">
        <v>96</v>
      </c>
      <c r="G45" t="s">
        <v>83</v>
      </c>
      <c r="H45" t="s">
        <v>173</v>
      </c>
      <c r="I45" t="s">
        <v>182</v>
      </c>
      <c r="J45">
        <v>16</v>
      </c>
      <c r="K45" s="16">
        <v>576000</v>
      </c>
      <c r="L45" s="16">
        <v>362434.38</v>
      </c>
      <c r="M45" s="16">
        <v>213565.62</v>
      </c>
      <c r="N45" t="s">
        <v>141</v>
      </c>
      <c r="O45" t="s">
        <v>113</v>
      </c>
      <c r="P45" t="str">
        <f t="shared" si="0"/>
        <v>Jaipur|Meeting Table</v>
      </c>
    </row>
    <row r="46" spans="1:16" x14ac:dyDescent="0.3">
      <c r="A46" s="15">
        <v>46059</v>
      </c>
      <c r="B46" t="s">
        <v>114</v>
      </c>
      <c r="C46" t="s">
        <v>121</v>
      </c>
      <c r="D46" t="s">
        <v>137</v>
      </c>
      <c r="E46" t="s">
        <v>171</v>
      </c>
      <c r="F46" t="s">
        <v>95</v>
      </c>
      <c r="G46" t="s">
        <v>78</v>
      </c>
      <c r="H46" t="s">
        <v>184</v>
      </c>
      <c r="I46" t="s">
        <v>194</v>
      </c>
      <c r="J46">
        <v>11</v>
      </c>
      <c r="K46" s="16">
        <v>46200</v>
      </c>
      <c r="L46" s="16">
        <v>35670.269999999997</v>
      </c>
      <c r="M46" s="16">
        <v>10529.73</v>
      </c>
      <c r="N46" t="s">
        <v>125</v>
      </c>
      <c r="O46" t="s">
        <v>119</v>
      </c>
      <c r="P46" t="str">
        <f t="shared" si="0"/>
        <v>Bhubaneswar|Webcam</v>
      </c>
    </row>
    <row r="47" spans="1:16" x14ac:dyDescent="0.3">
      <c r="A47" s="15">
        <v>46087</v>
      </c>
      <c r="B47" t="s">
        <v>34</v>
      </c>
      <c r="C47" t="s">
        <v>121</v>
      </c>
      <c r="D47" t="s">
        <v>137</v>
      </c>
      <c r="E47" t="s">
        <v>171</v>
      </c>
      <c r="F47" t="s">
        <v>96</v>
      </c>
      <c r="G47" t="s">
        <v>80</v>
      </c>
      <c r="H47" t="s">
        <v>184</v>
      </c>
      <c r="I47" t="s">
        <v>151</v>
      </c>
      <c r="J47">
        <v>10</v>
      </c>
      <c r="K47" s="16">
        <v>115000</v>
      </c>
      <c r="L47" s="16">
        <v>85171.09</v>
      </c>
      <c r="M47" s="16">
        <v>29828.91</v>
      </c>
      <c r="N47" t="s">
        <v>131</v>
      </c>
      <c r="O47" t="s">
        <v>113</v>
      </c>
      <c r="P47" t="str">
        <f t="shared" si="0"/>
        <v>Bhubaneswar|Office Chair</v>
      </c>
    </row>
    <row r="48" spans="1:16" x14ac:dyDescent="0.3">
      <c r="A48" s="15">
        <v>46206</v>
      </c>
      <c r="B48" t="s">
        <v>34</v>
      </c>
      <c r="C48" t="s">
        <v>121</v>
      </c>
      <c r="D48" t="s">
        <v>137</v>
      </c>
      <c r="E48" t="s">
        <v>138</v>
      </c>
      <c r="F48" t="s">
        <v>97</v>
      </c>
      <c r="G48" t="s">
        <v>88</v>
      </c>
      <c r="H48" t="s">
        <v>184</v>
      </c>
      <c r="I48" t="s">
        <v>195</v>
      </c>
      <c r="J48">
        <v>8</v>
      </c>
      <c r="K48" s="16">
        <v>110200</v>
      </c>
      <c r="L48" s="16">
        <v>85170.51</v>
      </c>
      <c r="M48" s="16">
        <v>25029.49</v>
      </c>
      <c r="N48" t="s">
        <v>141</v>
      </c>
      <c r="O48" t="s">
        <v>142</v>
      </c>
      <c r="P48" t="str">
        <f t="shared" si="0"/>
        <v>Cuttack|Vacuum Cleaner</v>
      </c>
    </row>
    <row r="49" spans="1:16" x14ac:dyDescent="0.3">
      <c r="A49" s="15">
        <v>46206</v>
      </c>
      <c r="B49" t="s">
        <v>34</v>
      </c>
      <c r="C49" t="s">
        <v>107</v>
      </c>
      <c r="D49" t="s">
        <v>108</v>
      </c>
      <c r="E49" t="s">
        <v>109</v>
      </c>
      <c r="F49" t="s">
        <v>95</v>
      </c>
      <c r="G49" t="s">
        <v>74</v>
      </c>
      <c r="H49" t="s">
        <v>139</v>
      </c>
      <c r="I49" t="s">
        <v>164</v>
      </c>
      <c r="J49">
        <v>7</v>
      </c>
      <c r="K49" s="16">
        <v>31920</v>
      </c>
      <c r="L49" s="16">
        <v>24299.25</v>
      </c>
      <c r="M49" s="16">
        <v>7620.75</v>
      </c>
      <c r="N49" t="s">
        <v>125</v>
      </c>
      <c r="O49" t="s">
        <v>119</v>
      </c>
      <c r="P49" t="str">
        <f t="shared" si="0"/>
        <v>Udaipur|Headset</v>
      </c>
    </row>
    <row r="50" spans="1:16" x14ac:dyDescent="0.3">
      <c r="A50" s="15">
        <v>46157</v>
      </c>
      <c r="B50" t="s">
        <v>114</v>
      </c>
      <c r="C50" t="s">
        <v>126</v>
      </c>
      <c r="D50" t="s">
        <v>196</v>
      </c>
      <c r="E50" t="s">
        <v>197</v>
      </c>
      <c r="F50" t="s">
        <v>96</v>
      </c>
      <c r="G50" t="s">
        <v>80</v>
      </c>
      <c r="H50" t="s">
        <v>133</v>
      </c>
      <c r="I50" t="s">
        <v>192</v>
      </c>
      <c r="J50">
        <v>6</v>
      </c>
      <c r="K50" s="16">
        <v>72750</v>
      </c>
      <c r="L50" s="16">
        <v>49138.29</v>
      </c>
      <c r="M50" s="16">
        <v>23611.71</v>
      </c>
      <c r="N50" t="s">
        <v>131</v>
      </c>
      <c r="O50" t="s">
        <v>142</v>
      </c>
      <c r="P50" t="str">
        <f t="shared" si="0"/>
        <v>Dwarka|Office Chair</v>
      </c>
    </row>
    <row r="51" spans="1:16" x14ac:dyDescent="0.3">
      <c r="A51" s="15">
        <v>46155</v>
      </c>
      <c r="B51" t="s">
        <v>34</v>
      </c>
      <c r="C51" t="s">
        <v>107</v>
      </c>
      <c r="D51" t="s">
        <v>108</v>
      </c>
      <c r="E51" t="s">
        <v>109</v>
      </c>
      <c r="F51" t="s">
        <v>96</v>
      </c>
      <c r="G51" t="s">
        <v>84</v>
      </c>
      <c r="H51" t="s">
        <v>173</v>
      </c>
      <c r="I51" t="s">
        <v>198</v>
      </c>
      <c r="J51">
        <v>8</v>
      </c>
      <c r="K51" s="16">
        <v>112520</v>
      </c>
      <c r="L51" s="16">
        <v>84099.44</v>
      </c>
      <c r="M51" s="16">
        <v>28420.560000000001</v>
      </c>
      <c r="N51" t="s">
        <v>125</v>
      </c>
      <c r="O51" t="s">
        <v>119</v>
      </c>
      <c r="P51" t="str">
        <f t="shared" si="0"/>
        <v>Udaipur|Filing Cabinet</v>
      </c>
    </row>
    <row r="52" spans="1:16" x14ac:dyDescent="0.3">
      <c r="A52" s="15">
        <v>46164</v>
      </c>
      <c r="B52" t="s">
        <v>34</v>
      </c>
      <c r="C52" t="s">
        <v>152</v>
      </c>
      <c r="D52" t="s">
        <v>187</v>
      </c>
      <c r="E52" t="s">
        <v>199</v>
      </c>
      <c r="F52" t="s">
        <v>95</v>
      </c>
      <c r="G52" t="s">
        <v>78</v>
      </c>
      <c r="H52" t="s">
        <v>129</v>
      </c>
      <c r="I52" t="s">
        <v>200</v>
      </c>
      <c r="J52">
        <v>10</v>
      </c>
      <c r="K52" s="16">
        <v>42000</v>
      </c>
      <c r="L52" s="16">
        <v>30659.759999999998</v>
      </c>
      <c r="M52" s="16">
        <v>11340.24</v>
      </c>
      <c r="N52" t="s">
        <v>131</v>
      </c>
      <c r="O52" t="s">
        <v>142</v>
      </c>
      <c r="P52" t="str">
        <f t="shared" si="0"/>
        <v>Hyderabad|Webcam</v>
      </c>
    </row>
    <row r="53" spans="1:16" x14ac:dyDescent="0.3">
      <c r="A53" s="15">
        <v>46250</v>
      </c>
      <c r="B53" t="s">
        <v>34</v>
      </c>
      <c r="C53" t="s">
        <v>152</v>
      </c>
      <c r="D53" t="s">
        <v>156</v>
      </c>
      <c r="E53" t="s">
        <v>157</v>
      </c>
      <c r="F53" t="s">
        <v>94</v>
      </c>
      <c r="G53" t="s">
        <v>64</v>
      </c>
      <c r="H53" t="s">
        <v>133</v>
      </c>
      <c r="I53" t="s">
        <v>195</v>
      </c>
      <c r="J53">
        <v>7</v>
      </c>
      <c r="K53" s="16">
        <v>129360</v>
      </c>
      <c r="L53" s="16">
        <v>91528.18</v>
      </c>
      <c r="M53" s="16">
        <v>37831.82</v>
      </c>
      <c r="N53" t="s">
        <v>141</v>
      </c>
      <c r="O53" t="s">
        <v>113</v>
      </c>
      <c r="P53" t="str">
        <f t="shared" si="0"/>
        <v>Mysuru|Monitor 27</v>
      </c>
    </row>
    <row r="54" spans="1:16" x14ac:dyDescent="0.3">
      <c r="A54" s="15">
        <v>46086</v>
      </c>
      <c r="B54" t="s">
        <v>34</v>
      </c>
      <c r="C54" t="s">
        <v>126</v>
      </c>
      <c r="D54" t="s">
        <v>196</v>
      </c>
      <c r="E54" t="s">
        <v>197</v>
      </c>
      <c r="F54" t="s">
        <v>97</v>
      </c>
      <c r="G54" t="s">
        <v>86</v>
      </c>
      <c r="H54" t="s">
        <v>133</v>
      </c>
      <c r="I54" t="s">
        <v>170</v>
      </c>
      <c r="J54">
        <v>17</v>
      </c>
      <c r="K54" s="16">
        <v>110500</v>
      </c>
      <c r="L54" s="16">
        <v>89173.98</v>
      </c>
      <c r="M54" s="16">
        <v>21326.02</v>
      </c>
      <c r="N54" t="s">
        <v>125</v>
      </c>
      <c r="O54" t="s">
        <v>113</v>
      </c>
      <c r="P54" t="str">
        <f t="shared" si="0"/>
        <v>Dwarka|Coffee Maker</v>
      </c>
    </row>
    <row r="55" spans="1:16" x14ac:dyDescent="0.3">
      <c r="A55" s="15">
        <v>46202</v>
      </c>
      <c r="B55" t="s">
        <v>114</v>
      </c>
      <c r="C55" t="s">
        <v>126</v>
      </c>
      <c r="D55" t="s">
        <v>162</v>
      </c>
      <c r="E55" t="s">
        <v>163</v>
      </c>
      <c r="F55" t="s">
        <v>94</v>
      </c>
      <c r="G55" t="s">
        <v>67</v>
      </c>
      <c r="H55" t="s">
        <v>110</v>
      </c>
      <c r="I55" t="s">
        <v>201</v>
      </c>
      <c r="J55">
        <v>10</v>
      </c>
      <c r="K55" s="16">
        <v>320100</v>
      </c>
      <c r="L55" s="16">
        <v>216921.94</v>
      </c>
      <c r="M55" s="16">
        <v>103178.06</v>
      </c>
      <c r="N55" t="s">
        <v>131</v>
      </c>
      <c r="O55" t="s">
        <v>113</v>
      </c>
      <c r="P55" t="str">
        <f t="shared" si="0"/>
        <v>Lucknow|Tablet X</v>
      </c>
    </row>
    <row r="56" spans="1:16" x14ac:dyDescent="0.3">
      <c r="A56" s="15">
        <v>46040</v>
      </c>
      <c r="B56" t="s">
        <v>34</v>
      </c>
      <c r="C56" t="s">
        <v>152</v>
      </c>
      <c r="D56" t="s">
        <v>156</v>
      </c>
      <c r="E56" t="s">
        <v>157</v>
      </c>
      <c r="F56" t="s">
        <v>96</v>
      </c>
      <c r="G56" t="s">
        <v>82</v>
      </c>
      <c r="H56" t="s">
        <v>139</v>
      </c>
      <c r="I56" t="s">
        <v>202</v>
      </c>
      <c r="J56">
        <v>15</v>
      </c>
      <c r="K56" s="16">
        <v>427500</v>
      </c>
      <c r="L56" s="16">
        <v>349777.47</v>
      </c>
      <c r="M56" s="16">
        <v>77722.53</v>
      </c>
      <c r="N56" t="s">
        <v>131</v>
      </c>
      <c r="O56" t="s">
        <v>113</v>
      </c>
      <c r="P56" t="str">
        <f t="shared" si="0"/>
        <v>Mysuru|Standing Desk</v>
      </c>
    </row>
    <row r="57" spans="1:16" x14ac:dyDescent="0.3">
      <c r="A57" s="15">
        <v>46063</v>
      </c>
      <c r="B57" t="s">
        <v>34</v>
      </c>
      <c r="C57" t="s">
        <v>107</v>
      </c>
      <c r="D57" t="s">
        <v>115</v>
      </c>
      <c r="E57" t="s">
        <v>116</v>
      </c>
      <c r="F57" t="s">
        <v>95</v>
      </c>
      <c r="G57" t="s">
        <v>72</v>
      </c>
      <c r="H57" t="s">
        <v>184</v>
      </c>
      <c r="I57" t="s">
        <v>203</v>
      </c>
      <c r="J57">
        <v>8</v>
      </c>
      <c r="K57" s="16">
        <v>24832</v>
      </c>
      <c r="L57" s="16">
        <v>17739.72</v>
      </c>
      <c r="M57" s="16">
        <v>7092.28</v>
      </c>
      <c r="N57" t="s">
        <v>141</v>
      </c>
      <c r="O57" t="s">
        <v>113</v>
      </c>
      <c r="P57" t="str">
        <f t="shared" si="0"/>
        <v>Ahmedabad|Keyboard</v>
      </c>
    </row>
    <row r="58" spans="1:16" x14ac:dyDescent="0.3">
      <c r="A58" s="15">
        <v>46195</v>
      </c>
      <c r="B58" t="s">
        <v>114</v>
      </c>
      <c r="C58" t="s">
        <v>126</v>
      </c>
      <c r="D58" t="s">
        <v>162</v>
      </c>
      <c r="E58" t="s">
        <v>204</v>
      </c>
      <c r="F58" t="s">
        <v>95</v>
      </c>
      <c r="G58" t="s">
        <v>74</v>
      </c>
      <c r="H58" t="s">
        <v>135</v>
      </c>
      <c r="I58" t="s">
        <v>205</v>
      </c>
      <c r="J58">
        <v>19</v>
      </c>
      <c r="K58" s="16">
        <v>91200</v>
      </c>
      <c r="L58" s="16">
        <v>70921.75</v>
      </c>
      <c r="M58" s="16">
        <v>20278.25</v>
      </c>
      <c r="N58" t="s">
        <v>125</v>
      </c>
      <c r="O58" t="s">
        <v>119</v>
      </c>
      <c r="P58" t="str">
        <f t="shared" si="0"/>
        <v>Noida|Headset</v>
      </c>
    </row>
    <row r="59" spans="1:16" x14ac:dyDescent="0.3">
      <c r="A59" s="15">
        <v>46023</v>
      </c>
      <c r="B59" t="s">
        <v>34</v>
      </c>
      <c r="C59" t="s">
        <v>107</v>
      </c>
      <c r="D59" t="s">
        <v>149</v>
      </c>
      <c r="E59" t="s">
        <v>150</v>
      </c>
      <c r="F59" t="s">
        <v>94</v>
      </c>
      <c r="G59" t="s">
        <v>70</v>
      </c>
      <c r="H59" t="s">
        <v>110</v>
      </c>
      <c r="I59" t="s">
        <v>206</v>
      </c>
      <c r="J59">
        <v>14</v>
      </c>
      <c r="K59" s="16">
        <v>206150</v>
      </c>
      <c r="L59" s="16">
        <v>143304.41</v>
      </c>
      <c r="M59" s="16">
        <v>62845.59</v>
      </c>
      <c r="N59" t="s">
        <v>131</v>
      </c>
      <c r="O59" t="s">
        <v>113</v>
      </c>
      <c r="P59" t="str">
        <f t="shared" si="0"/>
        <v>Mumbai|Printer Pro</v>
      </c>
    </row>
    <row r="60" spans="1:16" x14ac:dyDescent="0.3">
      <c r="A60" s="15">
        <v>46211</v>
      </c>
      <c r="B60" t="s">
        <v>114</v>
      </c>
      <c r="C60" t="s">
        <v>152</v>
      </c>
      <c r="D60" t="s">
        <v>187</v>
      </c>
      <c r="E60" t="s">
        <v>188</v>
      </c>
      <c r="F60" t="s">
        <v>96</v>
      </c>
      <c r="G60" t="s">
        <v>84</v>
      </c>
      <c r="H60" t="s">
        <v>139</v>
      </c>
      <c r="I60" t="s">
        <v>207</v>
      </c>
      <c r="J60">
        <v>14</v>
      </c>
      <c r="K60" s="16">
        <v>178640</v>
      </c>
      <c r="L60" s="16">
        <v>137939.38</v>
      </c>
      <c r="M60" s="16">
        <v>40700.620000000003</v>
      </c>
      <c r="N60" t="s">
        <v>141</v>
      </c>
      <c r="O60" t="s">
        <v>142</v>
      </c>
      <c r="P60" t="str">
        <f t="shared" si="0"/>
        <v>Warangal|Filing Cabinet</v>
      </c>
    </row>
    <row r="61" spans="1:16" x14ac:dyDescent="0.3">
      <c r="A61" s="15">
        <v>46098</v>
      </c>
      <c r="B61" t="s">
        <v>34</v>
      </c>
      <c r="C61" t="s">
        <v>126</v>
      </c>
      <c r="D61" t="s">
        <v>196</v>
      </c>
      <c r="E61" t="s">
        <v>208</v>
      </c>
      <c r="F61" t="s">
        <v>94</v>
      </c>
      <c r="G61" t="s">
        <v>61</v>
      </c>
      <c r="H61" t="s">
        <v>184</v>
      </c>
      <c r="I61" t="s">
        <v>209</v>
      </c>
      <c r="J61">
        <v>20</v>
      </c>
      <c r="K61" s="16">
        <v>1560000</v>
      </c>
      <c r="L61" s="16">
        <v>990840.66</v>
      </c>
      <c r="M61" s="16">
        <v>569159.34</v>
      </c>
      <c r="N61" t="s">
        <v>141</v>
      </c>
      <c r="O61" t="s">
        <v>142</v>
      </c>
      <c r="P61" t="str">
        <f t="shared" si="0"/>
        <v>New Delhi|Laptop Pro</v>
      </c>
    </row>
    <row r="62" spans="1:16" x14ac:dyDescent="0.3">
      <c r="A62" s="15">
        <v>46031</v>
      </c>
      <c r="B62" t="s">
        <v>34</v>
      </c>
      <c r="C62" t="s">
        <v>121</v>
      </c>
      <c r="D62" t="s">
        <v>146</v>
      </c>
      <c r="E62" t="s">
        <v>175</v>
      </c>
      <c r="F62" t="s">
        <v>96</v>
      </c>
      <c r="G62" t="s">
        <v>83</v>
      </c>
      <c r="H62" t="s">
        <v>135</v>
      </c>
      <c r="I62" t="s">
        <v>210</v>
      </c>
      <c r="J62">
        <v>5</v>
      </c>
      <c r="K62" s="16">
        <v>171000</v>
      </c>
      <c r="L62" s="16">
        <v>138168.81</v>
      </c>
      <c r="M62" s="16">
        <v>32831.19</v>
      </c>
      <c r="N62" t="s">
        <v>125</v>
      </c>
      <c r="O62" t="s">
        <v>113</v>
      </c>
      <c r="P62" t="str">
        <f t="shared" si="0"/>
        <v>Dibrugarh|Meeting Table</v>
      </c>
    </row>
    <row r="63" spans="1:16" x14ac:dyDescent="0.3">
      <c r="A63" s="15">
        <v>46228</v>
      </c>
      <c r="B63" t="s">
        <v>34</v>
      </c>
      <c r="C63" t="s">
        <v>126</v>
      </c>
      <c r="D63" t="s">
        <v>196</v>
      </c>
      <c r="E63" t="s">
        <v>197</v>
      </c>
      <c r="F63" t="s">
        <v>97</v>
      </c>
      <c r="G63" t="s">
        <v>87</v>
      </c>
      <c r="H63" t="s">
        <v>117</v>
      </c>
      <c r="I63" t="s">
        <v>211</v>
      </c>
      <c r="J63">
        <v>20</v>
      </c>
      <c r="K63" s="16">
        <v>250000</v>
      </c>
      <c r="L63" s="16">
        <v>204134.25</v>
      </c>
      <c r="M63" s="16">
        <v>45865.75</v>
      </c>
      <c r="N63" t="s">
        <v>141</v>
      </c>
      <c r="O63" t="s">
        <v>119</v>
      </c>
      <c r="P63" t="str">
        <f t="shared" si="0"/>
        <v>Dwarka|Microwave</v>
      </c>
    </row>
    <row r="64" spans="1:16" x14ac:dyDescent="0.3">
      <c r="A64" s="15">
        <v>46167</v>
      </c>
      <c r="B64" t="s">
        <v>120</v>
      </c>
      <c r="C64" t="s">
        <v>126</v>
      </c>
      <c r="D64" t="s">
        <v>162</v>
      </c>
      <c r="E64" t="s">
        <v>204</v>
      </c>
      <c r="F64" t="s">
        <v>96</v>
      </c>
      <c r="G64" t="s">
        <v>80</v>
      </c>
      <c r="H64" t="s">
        <v>139</v>
      </c>
      <c r="I64" t="s">
        <v>212</v>
      </c>
      <c r="J64">
        <v>8</v>
      </c>
      <c r="K64" s="16">
        <v>97000</v>
      </c>
      <c r="L64" s="16">
        <v>77044.55</v>
      </c>
      <c r="M64" s="16">
        <v>19955.45</v>
      </c>
      <c r="N64" t="s">
        <v>112</v>
      </c>
      <c r="O64" t="s">
        <v>113</v>
      </c>
      <c r="P64" t="str">
        <f t="shared" si="0"/>
        <v>Noida|Office Chair</v>
      </c>
    </row>
    <row r="65" spans="1:16" x14ac:dyDescent="0.3">
      <c r="A65" s="15">
        <v>46100</v>
      </c>
      <c r="B65" t="s">
        <v>120</v>
      </c>
      <c r="C65" t="s">
        <v>121</v>
      </c>
      <c r="D65" t="s">
        <v>146</v>
      </c>
      <c r="E65" t="s">
        <v>147</v>
      </c>
      <c r="F65" t="s">
        <v>95</v>
      </c>
      <c r="G65" t="s">
        <v>78</v>
      </c>
      <c r="H65" t="s">
        <v>129</v>
      </c>
      <c r="I65" t="s">
        <v>213</v>
      </c>
      <c r="J65">
        <v>16</v>
      </c>
      <c r="K65" s="16">
        <v>59136</v>
      </c>
      <c r="L65" s="16">
        <v>40053.269999999997</v>
      </c>
      <c r="M65" s="16">
        <v>19082.73</v>
      </c>
      <c r="N65" t="s">
        <v>125</v>
      </c>
      <c r="O65" t="s">
        <v>113</v>
      </c>
      <c r="P65" t="str">
        <f t="shared" si="0"/>
        <v>Guwahati|Webcam</v>
      </c>
    </row>
    <row r="66" spans="1:16" x14ac:dyDescent="0.3">
      <c r="A66" s="15">
        <v>46252</v>
      </c>
      <c r="B66" t="s">
        <v>34</v>
      </c>
      <c r="C66" t="s">
        <v>126</v>
      </c>
      <c r="D66" t="s">
        <v>196</v>
      </c>
      <c r="E66" t="s">
        <v>197</v>
      </c>
      <c r="F66" t="s">
        <v>95</v>
      </c>
      <c r="G66" t="s">
        <v>72</v>
      </c>
      <c r="H66" t="s">
        <v>139</v>
      </c>
      <c r="I66" t="s">
        <v>214</v>
      </c>
      <c r="J66">
        <v>5</v>
      </c>
      <c r="K66" s="16">
        <v>15520</v>
      </c>
      <c r="L66" s="16">
        <v>10466.370000000001</v>
      </c>
      <c r="M66" s="16">
        <v>5053.63</v>
      </c>
      <c r="N66" t="s">
        <v>112</v>
      </c>
      <c r="O66" t="s">
        <v>113</v>
      </c>
      <c r="P66" t="str">
        <f t="shared" si="0"/>
        <v>Dwarka|Keyboard</v>
      </c>
    </row>
    <row r="67" spans="1:16" x14ac:dyDescent="0.3">
      <c r="A67" s="15">
        <v>46252</v>
      </c>
      <c r="B67" t="s">
        <v>34</v>
      </c>
      <c r="C67" t="s">
        <v>107</v>
      </c>
      <c r="D67" t="s">
        <v>149</v>
      </c>
      <c r="E67" t="s">
        <v>150</v>
      </c>
      <c r="F67" t="s">
        <v>94</v>
      </c>
      <c r="G67" t="s">
        <v>64</v>
      </c>
      <c r="H67" t="s">
        <v>173</v>
      </c>
      <c r="I67" t="s">
        <v>215</v>
      </c>
      <c r="J67">
        <v>9</v>
      </c>
      <c r="K67" s="16">
        <v>183330</v>
      </c>
      <c r="L67" s="16">
        <v>134995.60999999999</v>
      </c>
      <c r="M67" s="16">
        <v>48334.39</v>
      </c>
      <c r="N67" t="s">
        <v>131</v>
      </c>
      <c r="O67" t="s">
        <v>142</v>
      </c>
      <c r="P67" t="str">
        <f t="shared" si="0"/>
        <v>Mumbai|Monitor 27</v>
      </c>
    </row>
    <row r="68" spans="1:16" x14ac:dyDescent="0.3">
      <c r="A68" s="15">
        <v>46220</v>
      </c>
      <c r="B68" t="s">
        <v>34</v>
      </c>
      <c r="C68" t="s">
        <v>126</v>
      </c>
      <c r="D68" t="s">
        <v>127</v>
      </c>
      <c r="E68" t="s">
        <v>128</v>
      </c>
      <c r="F68" t="s">
        <v>94</v>
      </c>
      <c r="G68" t="s">
        <v>61</v>
      </c>
      <c r="H68" t="s">
        <v>184</v>
      </c>
      <c r="I68" t="s">
        <v>216</v>
      </c>
      <c r="J68">
        <v>9</v>
      </c>
      <c r="K68" s="16">
        <v>617760</v>
      </c>
      <c r="L68" s="16">
        <v>448183.65</v>
      </c>
      <c r="M68" s="16">
        <v>169576.35</v>
      </c>
      <c r="N68" t="s">
        <v>141</v>
      </c>
      <c r="O68" t="s">
        <v>113</v>
      </c>
      <c r="P68" t="str">
        <f t="shared" si="0"/>
        <v>Gurugram|Laptop Pro</v>
      </c>
    </row>
    <row r="69" spans="1:16" x14ac:dyDescent="0.3">
      <c r="A69" s="15">
        <v>46100</v>
      </c>
      <c r="B69" t="s">
        <v>114</v>
      </c>
      <c r="C69" t="s">
        <v>152</v>
      </c>
      <c r="D69" t="s">
        <v>187</v>
      </c>
      <c r="E69" t="s">
        <v>199</v>
      </c>
      <c r="F69" t="s">
        <v>94</v>
      </c>
      <c r="G69" t="s">
        <v>67</v>
      </c>
      <c r="H69" t="s">
        <v>117</v>
      </c>
      <c r="I69" t="s">
        <v>217</v>
      </c>
      <c r="J69">
        <v>10</v>
      </c>
      <c r="K69" s="16">
        <v>320100</v>
      </c>
      <c r="L69" s="16">
        <v>213007.05</v>
      </c>
      <c r="M69" s="16">
        <v>107092.95</v>
      </c>
      <c r="N69" t="s">
        <v>125</v>
      </c>
      <c r="O69" t="s">
        <v>113</v>
      </c>
      <c r="P69" t="str">
        <f t="shared" ref="P69:P132" si="1">E69&amp;"|"&amp;G69</f>
        <v>Hyderabad|Tablet X</v>
      </c>
    </row>
    <row r="70" spans="1:16" x14ac:dyDescent="0.3">
      <c r="A70" s="15">
        <v>46212</v>
      </c>
      <c r="B70" t="s">
        <v>34</v>
      </c>
      <c r="C70" t="s">
        <v>126</v>
      </c>
      <c r="D70" t="s">
        <v>162</v>
      </c>
      <c r="E70" t="s">
        <v>204</v>
      </c>
      <c r="F70" t="s">
        <v>94</v>
      </c>
      <c r="G70" t="s">
        <v>67</v>
      </c>
      <c r="H70" t="s">
        <v>173</v>
      </c>
      <c r="I70" t="s">
        <v>218</v>
      </c>
      <c r="J70">
        <v>6</v>
      </c>
      <c r="K70" s="16">
        <v>182160</v>
      </c>
      <c r="L70" s="16">
        <v>137367.65</v>
      </c>
      <c r="M70" s="16">
        <v>44792.35</v>
      </c>
      <c r="N70" t="s">
        <v>112</v>
      </c>
      <c r="O70" t="s">
        <v>113</v>
      </c>
      <c r="P70" t="str">
        <f t="shared" si="1"/>
        <v>Noida|Tablet X</v>
      </c>
    </row>
    <row r="71" spans="1:16" x14ac:dyDescent="0.3">
      <c r="A71" s="15">
        <v>46222</v>
      </c>
      <c r="B71" t="s">
        <v>34</v>
      </c>
      <c r="C71" t="s">
        <v>152</v>
      </c>
      <c r="D71" t="s">
        <v>187</v>
      </c>
      <c r="E71" t="s">
        <v>199</v>
      </c>
      <c r="F71" t="s">
        <v>94</v>
      </c>
      <c r="G71" t="s">
        <v>64</v>
      </c>
      <c r="H71" t="s">
        <v>184</v>
      </c>
      <c r="I71" t="s">
        <v>219</v>
      </c>
      <c r="J71">
        <v>11</v>
      </c>
      <c r="K71" s="16">
        <v>231000</v>
      </c>
      <c r="L71" s="16">
        <v>146850.48000000001</v>
      </c>
      <c r="M71" s="16">
        <v>84149.52</v>
      </c>
      <c r="N71" t="s">
        <v>131</v>
      </c>
      <c r="O71" t="s">
        <v>142</v>
      </c>
      <c r="P71" t="str">
        <f t="shared" si="1"/>
        <v>Hyderabad|Monitor 27</v>
      </c>
    </row>
    <row r="72" spans="1:16" x14ac:dyDescent="0.3">
      <c r="A72" s="15">
        <v>46230</v>
      </c>
      <c r="B72" t="s">
        <v>114</v>
      </c>
      <c r="C72" t="s">
        <v>121</v>
      </c>
      <c r="D72" t="s">
        <v>122</v>
      </c>
      <c r="E72" t="s">
        <v>123</v>
      </c>
      <c r="F72" t="s">
        <v>94</v>
      </c>
      <c r="G72" t="s">
        <v>67</v>
      </c>
      <c r="H72" t="s">
        <v>133</v>
      </c>
      <c r="I72" t="s">
        <v>220</v>
      </c>
      <c r="J72">
        <v>4</v>
      </c>
      <c r="K72" s="16">
        <v>128040</v>
      </c>
      <c r="L72" s="16">
        <v>83551.66</v>
      </c>
      <c r="M72" s="16">
        <v>44488.34</v>
      </c>
      <c r="N72" t="s">
        <v>125</v>
      </c>
      <c r="O72" t="s">
        <v>113</v>
      </c>
      <c r="P72" t="str">
        <f t="shared" si="1"/>
        <v>Durgapur|Tablet X</v>
      </c>
    </row>
    <row r="73" spans="1:16" x14ac:dyDescent="0.3">
      <c r="A73" s="15">
        <v>46090</v>
      </c>
      <c r="B73" t="s">
        <v>34</v>
      </c>
      <c r="C73" t="s">
        <v>107</v>
      </c>
      <c r="D73" t="s">
        <v>149</v>
      </c>
      <c r="E73" t="s">
        <v>150</v>
      </c>
      <c r="F73" t="s">
        <v>96</v>
      </c>
      <c r="G73" t="s">
        <v>83</v>
      </c>
      <c r="H73" t="s">
        <v>135</v>
      </c>
      <c r="I73" t="s">
        <v>221</v>
      </c>
      <c r="J73">
        <v>20</v>
      </c>
      <c r="K73" s="16">
        <v>720000</v>
      </c>
      <c r="L73" s="16">
        <v>536037.29</v>
      </c>
      <c r="M73" s="16">
        <v>183962.71</v>
      </c>
      <c r="N73" t="s">
        <v>141</v>
      </c>
      <c r="O73" t="s">
        <v>113</v>
      </c>
      <c r="P73" t="str">
        <f t="shared" si="1"/>
        <v>Mumbai|Meeting Table</v>
      </c>
    </row>
    <row r="74" spans="1:16" x14ac:dyDescent="0.3">
      <c r="A74" s="15">
        <v>46091</v>
      </c>
      <c r="B74" t="s">
        <v>34</v>
      </c>
      <c r="C74" t="s">
        <v>152</v>
      </c>
      <c r="D74" t="s">
        <v>153</v>
      </c>
      <c r="E74" t="s">
        <v>154</v>
      </c>
      <c r="F74" t="s">
        <v>94</v>
      </c>
      <c r="G74" t="s">
        <v>70</v>
      </c>
      <c r="H74" t="s">
        <v>133</v>
      </c>
      <c r="I74" t="s">
        <v>190</v>
      </c>
      <c r="J74">
        <v>13</v>
      </c>
      <c r="K74" s="16">
        <v>185380</v>
      </c>
      <c r="L74" s="16">
        <v>144328.35</v>
      </c>
      <c r="M74" s="16">
        <v>41051.65</v>
      </c>
      <c r="N74" t="s">
        <v>131</v>
      </c>
      <c r="O74" t="s">
        <v>119</v>
      </c>
      <c r="P74" t="str">
        <f t="shared" si="1"/>
        <v>Coimbatore|Printer Pro</v>
      </c>
    </row>
    <row r="75" spans="1:16" x14ac:dyDescent="0.3">
      <c r="A75" s="15">
        <v>46059</v>
      </c>
      <c r="B75" t="s">
        <v>34</v>
      </c>
      <c r="C75" t="s">
        <v>126</v>
      </c>
      <c r="D75" t="s">
        <v>162</v>
      </c>
      <c r="E75" t="s">
        <v>204</v>
      </c>
      <c r="F75" t="s">
        <v>95</v>
      </c>
      <c r="G75" t="s">
        <v>78</v>
      </c>
      <c r="H75" t="s">
        <v>110</v>
      </c>
      <c r="I75" t="s">
        <v>172</v>
      </c>
      <c r="J75">
        <v>9</v>
      </c>
      <c r="K75" s="16">
        <v>37800</v>
      </c>
      <c r="L75" s="16">
        <v>26248.959999999999</v>
      </c>
      <c r="M75" s="16">
        <v>11551.04</v>
      </c>
      <c r="N75" t="s">
        <v>141</v>
      </c>
      <c r="O75" t="s">
        <v>113</v>
      </c>
      <c r="P75" t="str">
        <f t="shared" si="1"/>
        <v>Noida|Webcam</v>
      </c>
    </row>
    <row r="76" spans="1:16" x14ac:dyDescent="0.3">
      <c r="A76" s="15">
        <v>46079</v>
      </c>
      <c r="B76" t="s">
        <v>114</v>
      </c>
      <c r="C76" t="s">
        <v>121</v>
      </c>
      <c r="D76" t="s">
        <v>137</v>
      </c>
      <c r="E76" t="s">
        <v>171</v>
      </c>
      <c r="F76" t="s">
        <v>96</v>
      </c>
      <c r="G76" t="s">
        <v>84</v>
      </c>
      <c r="H76" t="s">
        <v>139</v>
      </c>
      <c r="I76" t="s">
        <v>222</v>
      </c>
      <c r="J76">
        <v>12</v>
      </c>
      <c r="K76" s="16">
        <v>168780</v>
      </c>
      <c r="L76" s="16">
        <v>105963.69</v>
      </c>
      <c r="M76" s="16">
        <v>62816.31</v>
      </c>
      <c r="N76" t="s">
        <v>141</v>
      </c>
      <c r="O76" t="s">
        <v>113</v>
      </c>
      <c r="P76" t="str">
        <f t="shared" si="1"/>
        <v>Bhubaneswar|Filing Cabinet</v>
      </c>
    </row>
    <row r="77" spans="1:16" x14ac:dyDescent="0.3">
      <c r="A77" s="15">
        <v>46061</v>
      </c>
      <c r="B77" t="s">
        <v>34</v>
      </c>
      <c r="C77" t="s">
        <v>152</v>
      </c>
      <c r="D77" t="s">
        <v>187</v>
      </c>
      <c r="E77" t="s">
        <v>188</v>
      </c>
      <c r="F77" t="s">
        <v>94</v>
      </c>
      <c r="G77" t="s">
        <v>67</v>
      </c>
      <c r="H77" t="s">
        <v>133</v>
      </c>
      <c r="I77" t="s">
        <v>223</v>
      </c>
      <c r="J77">
        <v>2</v>
      </c>
      <c r="K77" s="16">
        <v>58080</v>
      </c>
      <c r="L77" s="16">
        <v>46342.18</v>
      </c>
      <c r="M77" s="16">
        <v>11737.82</v>
      </c>
      <c r="N77" t="s">
        <v>125</v>
      </c>
      <c r="O77" t="s">
        <v>113</v>
      </c>
      <c r="P77" t="str">
        <f t="shared" si="1"/>
        <v>Warangal|Tablet X</v>
      </c>
    </row>
    <row r="78" spans="1:16" x14ac:dyDescent="0.3">
      <c r="A78" s="15">
        <v>46048</v>
      </c>
      <c r="B78" t="s">
        <v>114</v>
      </c>
      <c r="C78" t="s">
        <v>107</v>
      </c>
      <c r="D78" t="s">
        <v>115</v>
      </c>
      <c r="E78" t="s">
        <v>191</v>
      </c>
      <c r="F78" t="s">
        <v>94</v>
      </c>
      <c r="G78" t="s">
        <v>70</v>
      </c>
      <c r="H78" t="s">
        <v>110</v>
      </c>
      <c r="I78" t="s">
        <v>224</v>
      </c>
      <c r="J78">
        <v>7</v>
      </c>
      <c r="K78" s="16">
        <v>103075</v>
      </c>
      <c r="L78" s="16">
        <v>82132.039999999994</v>
      </c>
      <c r="M78" s="16">
        <v>20942.96</v>
      </c>
      <c r="N78" t="s">
        <v>141</v>
      </c>
      <c r="O78" t="s">
        <v>142</v>
      </c>
      <c r="P78" t="str">
        <f t="shared" si="1"/>
        <v>Surat|Printer Pro</v>
      </c>
    </row>
    <row r="79" spans="1:16" x14ac:dyDescent="0.3">
      <c r="A79" s="15">
        <v>46045</v>
      </c>
      <c r="B79" t="s">
        <v>34</v>
      </c>
      <c r="C79" t="s">
        <v>121</v>
      </c>
      <c r="D79" t="s">
        <v>137</v>
      </c>
      <c r="E79" t="s">
        <v>171</v>
      </c>
      <c r="F79" t="s">
        <v>94</v>
      </c>
      <c r="G79" t="s">
        <v>70</v>
      </c>
      <c r="H79" t="s">
        <v>133</v>
      </c>
      <c r="I79" t="s">
        <v>225</v>
      </c>
      <c r="J79">
        <v>17</v>
      </c>
      <c r="K79" s="16">
        <v>255595</v>
      </c>
      <c r="L79" s="16">
        <v>190931.87</v>
      </c>
      <c r="M79" s="16">
        <v>64663.13</v>
      </c>
      <c r="N79" t="s">
        <v>131</v>
      </c>
      <c r="O79" t="s">
        <v>113</v>
      </c>
      <c r="P79" t="str">
        <f t="shared" si="1"/>
        <v>Bhubaneswar|Printer Pro</v>
      </c>
    </row>
    <row r="80" spans="1:16" x14ac:dyDescent="0.3">
      <c r="A80" s="15">
        <v>46187</v>
      </c>
      <c r="B80" t="s">
        <v>114</v>
      </c>
      <c r="C80" t="s">
        <v>107</v>
      </c>
      <c r="D80" t="s">
        <v>115</v>
      </c>
      <c r="E80" t="s">
        <v>191</v>
      </c>
      <c r="F80" t="s">
        <v>95</v>
      </c>
      <c r="G80" t="s">
        <v>78</v>
      </c>
      <c r="H80" t="s">
        <v>184</v>
      </c>
      <c r="I80" t="s">
        <v>226</v>
      </c>
      <c r="J80">
        <v>2</v>
      </c>
      <c r="K80" s="16">
        <v>7728</v>
      </c>
      <c r="L80" s="16">
        <v>5952.43</v>
      </c>
      <c r="M80" s="16">
        <v>1775.57</v>
      </c>
      <c r="N80" t="s">
        <v>112</v>
      </c>
      <c r="O80" t="s">
        <v>142</v>
      </c>
      <c r="P80" t="str">
        <f t="shared" si="1"/>
        <v>Surat|Webcam</v>
      </c>
    </row>
    <row r="81" spans="1:16" x14ac:dyDescent="0.3">
      <c r="A81" s="15">
        <v>46138</v>
      </c>
      <c r="B81" t="s">
        <v>34</v>
      </c>
      <c r="C81" t="s">
        <v>152</v>
      </c>
      <c r="D81" t="s">
        <v>187</v>
      </c>
      <c r="E81" t="s">
        <v>199</v>
      </c>
      <c r="F81" t="s">
        <v>94</v>
      </c>
      <c r="G81" t="s">
        <v>61</v>
      </c>
      <c r="H81" t="s">
        <v>173</v>
      </c>
      <c r="I81" t="s">
        <v>227</v>
      </c>
      <c r="J81">
        <v>6</v>
      </c>
      <c r="K81" s="16">
        <v>444600</v>
      </c>
      <c r="L81" s="16">
        <v>301222.32</v>
      </c>
      <c r="M81" s="16">
        <v>143377.68</v>
      </c>
      <c r="N81" t="s">
        <v>131</v>
      </c>
      <c r="O81" t="s">
        <v>113</v>
      </c>
      <c r="P81" t="str">
        <f t="shared" si="1"/>
        <v>Hyderabad|Laptop Pro</v>
      </c>
    </row>
    <row r="82" spans="1:16" x14ac:dyDescent="0.3">
      <c r="A82" s="15">
        <v>46073</v>
      </c>
      <c r="B82" t="s">
        <v>34</v>
      </c>
      <c r="C82" t="s">
        <v>126</v>
      </c>
      <c r="D82" t="s">
        <v>162</v>
      </c>
      <c r="E82" t="s">
        <v>204</v>
      </c>
      <c r="F82" t="s">
        <v>96</v>
      </c>
      <c r="G82" t="s">
        <v>84</v>
      </c>
      <c r="H82" t="s">
        <v>117</v>
      </c>
      <c r="I82" t="s">
        <v>228</v>
      </c>
      <c r="J82">
        <v>13</v>
      </c>
      <c r="K82" s="16">
        <v>173420</v>
      </c>
      <c r="L82" s="16">
        <v>119801.98</v>
      </c>
      <c r="M82" s="16">
        <v>53618.02</v>
      </c>
      <c r="N82" t="s">
        <v>131</v>
      </c>
      <c r="O82" t="s">
        <v>113</v>
      </c>
      <c r="P82" t="str">
        <f t="shared" si="1"/>
        <v>Noida|Filing Cabinet</v>
      </c>
    </row>
    <row r="83" spans="1:16" x14ac:dyDescent="0.3">
      <c r="A83" s="15">
        <v>46189</v>
      </c>
      <c r="B83" t="s">
        <v>34</v>
      </c>
      <c r="C83" t="s">
        <v>152</v>
      </c>
      <c r="D83" t="s">
        <v>153</v>
      </c>
      <c r="E83" t="s">
        <v>169</v>
      </c>
      <c r="F83" t="s">
        <v>96</v>
      </c>
      <c r="G83" t="s">
        <v>83</v>
      </c>
      <c r="H83" t="s">
        <v>139</v>
      </c>
      <c r="I83" t="s">
        <v>229</v>
      </c>
      <c r="J83">
        <v>10</v>
      </c>
      <c r="K83" s="16">
        <v>316800</v>
      </c>
      <c r="L83" s="16">
        <v>223777.14</v>
      </c>
      <c r="M83" s="16">
        <v>93022.86</v>
      </c>
      <c r="N83" t="s">
        <v>131</v>
      </c>
      <c r="O83" t="s">
        <v>113</v>
      </c>
      <c r="P83" t="str">
        <f t="shared" si="1"/>
        <v>Chennai|Meeting Table</v>
      </c>
    </row>
    <row r="84" spans="1:16" x14ac:dyDescent="0.3">
      <c r="A84" s="15">
        <v>46199</v>
      </c>
      <c r="B84" t="s">
        <v>34</v>
      </c>
      <c r="C84" t="s">
        <v>107</v>
      </c>
      <c r="D84" t="s">
        <v>115</v>
      </c>
      <c r="E84" t="s">
        <v>191</v>
      </c>
      <c r="F84" t="s">
        <v>94</v>
      </c>
      <c r="G84" t="s">
        <v>61</v>
      </c>
      <c r="H84" t="s">
        <v>173</v>
      </c>
      <c r="I84" t="s">
        <v>124</v>
      </c>
      <c r="J84">
        <v>9</v>
      </c>
      <c r="K84" s="16">
        <v>702000</v>
      </c>
      <c r="L84" s="16">
        <v>436231.79</v>
      </c>
      <c r="M84" s="16">
        <v>265768.21000000002</v>
      </c>
      <c r="N84" t="s">
        <v>125</v>
      </c>
      <c r="O84" t="s">
        <v>113</v>
      </c>
      <c r="P84" t="str">
        <f t="shared" si="1"/>
        <v>Surat|Laptop Pro</v>
      </c>
    </row>
    <row r="85" spans="1:16" x14ac:dyDescent="0.3">
      <c r="A85" s="15">
        <v>46044</v>
      </c>
      <c r="B85" t="s">
        <v>34</v>
      </c>
      <c r="C85" t="s">
        <v>121</v>
      </c>
      <c r="D85" t="s">
        <v>122</v>
      </c>
      <c r="E85" t="s">
        <v>123</v>
      </c>
      <c r="F85" t="s">
        <v>94</v>
      </c>
      <c r="G85" t="s">
        <v>67</v>
      </c>
      <c r="H85" t="s">
        <v>133</v>
      </c>
      <c r="I85" t="s">
        <v>230</v>
      </c>
      <c r="J85">
        <v>18</v>
      </c>
      <c r="K85" s="16">
        <v>594000</v>
      </c>
      <c r="L85" s="16">
        <v>465484.39</v>
      </c>
      <c r="M85" s="16">
        <v>128515.61</v>
      </c>
      <c r="N85" t="s">
        <v>131</v>
      </c>
      <c r="O85" t="s">
        <v>142</v>
      </c>
      <c r="P85" t="str">
        <f t="shared" si="1"/>
        <v>Durgapur|Tablet X</v>
      </c>
    </row>
    <row r="86" spans="1:16" x14ac:dyDescent="0.3">
      <c r="A86" s="15">
        <v>46261</v>
      </c>
      <c r="B86" t="s">
        <v>34</v>
      </c>
      <c r="C86" t="s">
        <v>107</v>
      </c>
      <c r="D86" t="s">
        <v>115</v>
      </c>
      <c r="E86" t="s">
        <v>116</v>
      </c>
      <c r="F86" t="s">
        <v>97</v>
      </c>
      <c r="G86" t="s">
        <v>88</v>
      </c>
      <c r="H86" t="s">
        <v>184</v>
      </c>
      <c r="I86" t="s">
        <v>231</v>
      </c>
      <c r="J86">
        <v>2</v>
      </c>
      <c r="K86" s="16">
        <v>26680</v>
      </c>
      <c r="L86" s="16">
        <v>21171.51</v>
      </c>
      <c r="M86" s="16">
        <v>5508.49</v>
      </c>
      <c r="N86" t="s">
        <v>141</v>
      </c>
      <c r="O86" t="s">
        <v>113</v>
      </c>
      <c r="P86" t="str">
        <f t="shared" si="1"/>
        <v>Ahmedabad|Vacuum Cleaner</v>
      </c>
    </row>
    <row r="87" spans="1:16" x14ac:dyDescent="0.3">
      <c r="A87" s="15">
        <v>46098</v>
      </c>
      <c r="B87" t="s">
        <v>34</v>
      </c>
      <c r="C87" t="s">
        <v>152</v>
      </c>
      <c r="D87" t="s">
        <v>153</v>
      </c>
      <c r="E87" t="s">
        <v>169</v>
      </c>
      <c r="F87" t="s">
        <v>95</v>
      </c>
      <c r="G87" t="s">
        <v>72</v>
      </c>
      <c r="H87" t="s">
        <v>117</v>
      </c>
      <c r="I87" t="s">
        <v>232</v>
      </c>
      <c r="J87">
        <v>8</v>
      </c>
      <c r="K87" s="16">
        <v>25600</v>
      </c>
      <c r="L87" s="16">
        <v>16355.56</v>
      </c>
      <c r="M87" s="16">
        <v>9244.44</v>
      </c>
      <c r="N87" t="s">
        <v>131</v>
      </c>
      <c r="O87" t="s">
        <v>113</v>
      </c>
      <c r="P87" t="str">
        <f t="shared" si="1"/>
        <v>Chennai|Keyboard</v>
      </c>
    </row>
    <row r="88" spans="1:16" x14ac:dyDescent="0.3">
      <c r="A88" s="15">
        <v>46137</v>
      </c>
      <c r="B88" t="s">
        <v>34</v>
      </c>
      <c r="C88" t="s">
        <v>121</v>
      </c>
      <c r="D88" t="s">
        <v>122</v>
      </c>
      <c r="E88" t="s">
        <v>123</v>
      </c>
      <c r="F88" t="s">
        <v>95</v>
      </c>
      <c r="G88" t="s">
        <v>78</v>
      </c>
      <c r="H88" t="s">
        <v>184</v>
      </c>
      <c r="I88" t="s">
        <v>233</v>
      </c>
      <c r="J88">
        <v>9</v>
      </c>
      <c r="K88" s="16">
        <v>37800</v>
      </c>
      <c r="L88" s="16">
        <v>28975.31</v>
      </c>
      <c r="M88" s="16">
        <v>8824.69</v>
      </c>
      <c r="N88" t="s">
        <v>112</v>
      </c>
      <c r="O88" t="s">
        <v>113</v>
      </c>
      <c r="P88" t="str">
        <f t="shared" si="1"/>
        <v>Durgapur|Webcam</v>
      </c>
    </row>
    <row r="89" spans="1:16" x14ac:dyDescent="0.3">
      <c r="A89" s="15">
        <v>46044</v>
      </c>
      <c r="B89" t="s">
        <v>34</v>
      </c>
      <c r="C89" t="s">
        <v>121</v>
      </c>
      <c r="D89" t="s">
        <v>122</v>
      </c>
      <c r="E89" t="s">
        <v>166</v>
      </c>
      <c r="F89" t="s">
        <v>96</v>
      </c>
      <c r="G89" t="s">
        <v>83</v>
      </c>
      <c r="H89" t="s">
        <v>139</v>
      </c>
      <c r="I89" t="s">
        <v>234</v>
      </c>
      <c r="J89">
        <v>20</v>
      </c>
      <c r="K89" s="16">
        <v>684000</v>
      </c>
      <c r="L89" s="16">
        <v>540862.49</v>
      </c>
      <c r="M89" s="16">
        <v>143137.51</v>
      </c>
      <c r="N89" t="s">
        <v>131</v>
      </c>
      <c r="O89" t="s">
        <v>113</v>
      </c>
      <c r="P89" t="str">
        <f t="shared" si="1"/>
        <v>Kolkata|Meeting Table</v>
      </c>
    </row>
    <row r="90" spans="1:16" x14ac:dyDescent="0.3">
      <c r="A90" s="15">
        <v>46127</v>
      </c>
      <c r="B90" t="s">
        <v>120</v>
      </c>
      <c r="C90" t="s">
        <v>121</v>
      </c>
      <c r="D90" t="s">
        <v>137</v>
      </c>
      <c r="E90" t="s">
        <v>138</v>
      </c>
      <c r="F90" t="s">
        <v>96</v>
      </c>
      <c r="G90" t="s">
        <v>82</v>
      </c>
      <c r="H90" t="s">
        <v>110</v>
      </c>
      <c r="I90" t="s">
        <v>235</v>
      </c>
      <c r="J90">
        <v>10</v>
      </c>
      <c r="K90" s="16">
        <v>285000</v>
      </c>
      <c r="L90" s="16">
        <v>214792.64</v>
      </c>
      <c r="M90" s="16">
        <v>70207.360000000001</v>
      </c>
      <c r="N90" t="s">
        <v>141</v>
      </c>
      <c r="O90" t="s">
        <v>113</v>
      </c>
      <c r="P90" t="str">
        <f t="shared" si="1"/>
        <v>Cuttack|Standing Desk</v>
      </c>
    </row>
    <row r="91" spans="1:16" x14ac:dyDescent="0.3">
      <c r="A91" s="15">
        <v>46036</v>
      </c>
      <c r="B91" t="s">
        <v>120</v>
      </c>
      <c r="C91" t="s">
        <v>121</v>
      </c>
      <c r="D91" t="s">
        <v>146</v>
      </c>
      <c r="E91" t="s">
        <v>175</v>
      </c>
      <c r="F91" t="s">
        <v>95</v>
      </c>
      <c r="G91" t="s">
        <v>78</v>
      </c>
      <c r="H91" t="s">
        <v>184</v>
      </c>
      <c r="I91" t="s">
        <v>134</v>
      </c>
      <c r="J91">
        <v>7</v>
      </c>
      <c r="K91" s="16">
        <v>27930</v>
      </c>
      <c r="L91" s="16">
        <v>21802.22</v>
      </c>
      <c r="M91" s="16">
        <v>6127.78</v>
      </c>
      <c r="N91" t="s">
        <v>141</v>
      </c>
      <c r="O91" t="s">
        <v>113</v>
      </c>
      <c r="P91" t="str">
        <f t="shared" si="1"/>
        <v>Dibrugarh|Webcam</v>
      </c>
    </row>
    <row r="92" spans="1:16" x14ac:dyDescent="0.3">
      <c r="A92" s="15">
        <v>46198</v>
      </c>
      <c r="B92" t="s">
        <v>34</v>
      </c>
      <c r="C92" t="s">
        <v>126</v>
      </c>
      <c r="D92" t="s">
        <v>162</v>
      </c>
      <c r="E92" t="s">
        <v>163</v>
      </c>
      <c r="F92" t="s">
        <v>94</v>
      </c>
      <c r="G92" t="s">
        <v>70</v>
      </c>
      <c r="H92" t="s">
        <v>129</v>
      </c>
      <c r="I92" t="s">
        <v>236</v>
      </c>
      <c r="J92">
        <v>13</v>
      </c>
      <c r="K92" s="16">
        <v>177320</v>
      </c>
      <c r="L92" s="16">
        <v>113038.23</v>
      </c>
      <c r="M92" s="16">
        <v>64281.77</v>
      </c>
      <c r="N92" t="s">
        <v>112</v>
      </c>
      <c r="O92" t="s">
        <v>113</v>
      </c>
      <c r="P92" t="str">
        <f t="shared" si="1"/>
        <v>Lucknow|Printer Pro</v>
      </c>
    </row>
    <row r="93" spans="1:16" x14ac:dyDescent="0.3">
      <c r="A93" s="15">
        <v>46154</v>
      </c>
      <c r="B93" t="s">
        <v>120</v>
      </c>
      <c r="C93" t="s">
        <v>126</v>
      </c>
      <c r="D93" t="s">
        <v>162</v>
      </c>
      <c r="E93" t="s">
        <v>204</v>
      </c>
      <c r="F93" t="s">
        <v>96</v>
      </c>
      <c r="G93" t="s">
        <v>83</v>
      </c>
      <c r="H93" t="s">
        <v>135</v>
      </c>
      <c r="I93" t="s">
        <v>237</v>
      </c>
      <c r="J93">
        <v>8</v>
      </c>
      <c r="K93" s="16">
        <v>264960</v>
      </c>
      <c r="L93" s="16">
        <v>196330.81</v>
      </c>
      <c r="M93" s="16">
        <v>68629.19</v>
      </c>
      <c r="N93" t="s">
        <v>131</v>
      </c>
      <c r="O93" t="s">
        <v>142</v>
      </c>
      <c r="P93" t="str">
        <f t="shared" si="1"/>
        <v>Noida|Meeting Table</v>
      </c>
    </row>
    <row r="94" spans="1:16" x14ac:dyDescent="0.3">
      <c r="A94" s="15">
        <v>46246</v>
      </c>
      <c r="B94" t="s">
        <v>34</v>
      </c>
      <c r="C94" t="s">
        <v>152</v>
      </c>
      <c r="D94" t="s">
        <v>156</v>
      </c>
      <c r="E94" t="s">
        <v>238</v>
      </c>
      <c r="F94" t="s">
        <v>95</v>
      </c>
      <c r="G94" t="s">
        <v>72</v>
      </c>
      <c r="H94" t="s">
        <v>117</v>
      </c>
      <c r="I94" t="s">
        <v>239</v>
      </c>
      <c r="J94">
        <v>7</v>
      </c>
      <c r="K94" s="16">
        <v>22400</v>
      </c>
      <c r="L94" s="16">
        <v>14311.88</v>
      </c>
      <c r="M94" s="16">
        <v>8088.12</v>
      </c>
      <c r="N94" t="s">
        <v>131</v>
      </c>
      <c r="O94" t="s">
        <v>113</v>
      </c>
      <c r="P94" t="str">
        <f t="shared" si="1"/>
        <v>Bengaluru|Keyboard</v>
      </c>
    </row>
    <row r="95" spans="1:16" x14ac:dyDescent="0.3">
      <c r="A95" s="15">
        <v>46214</v>
      </c>
      <c r="B95" t="s">
        <v>34</v>
      </c>
      <c r="C95" t="s">
        <v>152</v>
      </c>
      <c r="D95" t="s">
        <v>156</v>
      </c>
      <c r="E95" t="s">
        <v>238</v>
      </c>
      <c r="F95" t="s">
        <v>95</v>
      </c>
      <c r="G95" t="s">
        <v>74</v>
      </c>
      <c r="H95" t="s">
        <v>135</v>
      </c>
      <c r="I95" t="s">
        <v>111</v>
      </c>
      <c r="J95">
        <v>2</v>
      </c>
      <c r="K95" s="16">
        <v>9120</v>
      </c>
      <c r="L95" s="16">
        <v>5835.79</v>
      </c>
      <c r="M95" s="16">
        <v>3284.21</v>
      </c>
      <c r="N95" t="s">
        <v>125</v>
      </c>
      <c r="O95" t="s">
        <v>142</v>
      </c>
      <c r="P95" t="str">
        <f t="shared" si="1"/>
        <v>Bengaluru|Headset</v>
      </c>
    </row>
    <row r="96" spans="1:16" x14ac:dyDescent="0.3">
      <c r="A96" s="15">
        <v>46077</v>
      </c>
      <c r="B96" t="s">
        <v>114</v>
      </c>
      <c r="C96" t="s">
        <v>152</v>
      </c>
      <c r="D96" t="s">
        <v>153</v>
      </c>
      <c r="E96" t="s">
        <v>154</v>
      </c>
      <c r="F96" t="s">
        <v>97</v>
      </c>
      <c r="G96" t="s">
        <v>86</v>
      </c>
      <c r="H96" t="s">
        <v>173</v>
      </c>
      <c r="I96" t="s">
        <v>213</v>
      </c>
      <c r="J96">
        <v>11</v>
      </c>
      <c r="K96" s="16">
        <v>69355</v>
      </c>
      <c r="L96" s="16">
        <v>52774.45</v>
      </c>
      <c r="M96" s="16">
        <v>16580.55</v>
      </c>
      <c r="N96" t="s">
        <v>141</v>
      </c>
      <c r="O96" t="s">
        <v>119</v>
      </c>
      <c r="P96" t="str">
        <f t="shared" si="1"/>
        <v>Coimbatore|Coffee Maker</v>
      </c>
    </row>
    <row r="97" spans="1:16" x14ac:dyDescent="0.3">
      <c r="A97" s="15">
        <v>46226</v>
      </c>
      <c r="B97" t="s">
        <v>120</v>
      </c>
      <c r="C97" t="s">
        <v>107</v>
      </c>
      <c r="D97" t="s">
        <v>149</v>
      </c>
      <c r="E97" t="s">
        <v>159</v>
      </c>
      <c r="F97" t="s">
        <v>94</v>
      </c>
      <c r="G97" t="s">
        <v>61</v>
      </c>
      <c r="H97" t="s">
        <v>117</v>
      </c>
      <c r="I97" t="s">
        <v>240</v>
      </c>
      <c r="J97">
        <v>15</v>
      </c>
      <c r="K97" s="16">
        <v>1076400</v>
      </c>
      <c r="L97" s="16">
        <v>785986.82</v>
      </c>
      <c r="M97" s="16">
        <v>290413.18</v>
      </c>
      <c r="N97" t="s">
        <v>131</v>
      </c>
      <c r="O97" t="s">
        <v>119</v>
      </c>
      <c r="P97" t="str">
        <f t="shared" si="1"/>
        <v>Pune|Laptop Pro</v>
      </c>
    </row>
    <row r="98" spans="1:16" x14ac:dyDescent="0.3">
      <c r="A98" s="15">
        <v>46209</v>
      </c>
      <c r="B98" t="s">
        <v>34</v>
      </c>
      <c r="C98" t="s">
        <v>152</v>
      </c>
      <c r="D98" t="s">
        <v>153</v>
      </c>
      <c r="E98" t="s">
        <v>169</v>
      </c>
      <c r="F98" t="s">
        <v>94</v>
      </c>
      <c r="G98" t="s">
        <v>67</v>
      </c>
      <c r="H98" t="s">
        <v>110</v>
      </c>
      <c r="I98" t="s">
        <v>241</v>
      </c>
      <c r="J98">
        <v>7</v>
      </c>
      <c r="K98" s="16">
        <v>224070</v>
      </c>
      <c r="L98" s="16">
        <v>145018.53</v>
      </c>
      <c r="M98" s="16">
        <v>79051.47</v>
      </c>
      <c r="N98" t="s">
        <v>131</v>
      </c>
      <c r="O98" t="s">
        <v>113</v>
      </c>
      <c r="P98" t="str">
        <f t="shared" si="1"/>
        <v>Chennai|Tablet X</v>
      </c>
    </row>
    <row r="99" spans="1:16" x14ac:dyDescent="0.3">
      <c r="A99" s="15">
        <v>46243</v>
      </c>
      <c r="B99" t="s">
        <v>120</v>
      </c>
      <c r="C99" t="s">
        <v>107</v>
      </c>
      <c r="D99" t="s">
        <v>149</v>
      </c>
      <c r="E99" t="s">
        <v>150</v>
      </c>
      <c r="F99" t="s">
        <v>95</v>
      </c>
      <c r="G99" t="s">
        <v>76</v>
      </c>
      <c r="H99" t="s">
        <v>135</v>
      </c>
      <c r="I99" t="s">
        <v>242</v>
      </c>
      <c r="J99">
        <v>17</v>
      </c>
      <c r="K99" s="16">
        <v>26928</v>
      </c>
      <c r="L99" s="16">
        <v>21031.58</v>
      </c>
      <c r="M99" s="16">
        <v>5896.42</v>
      </c>
      <c r="N99" t="s">
        <v>125</v>
      </c>
      <c r="O99" t="s">
        <v>113</v>
      </c>
      <c r="P99" t="str">
        <f t="shared" si="1"/>
        <v>Mumbai|Mouse</v>
      </c>
    </row>
    <row r="100" spans="1:16" x14ac:dyDescent="0.3">
      <c r="A100" s="15">
        <v>46115</v>
      </c>
      <c r="B100" t="s">
        <v>114</v>
      </c>
      <c r="C100" t="s">
        <v>121</v>
      </c>
      <c r="D100" t="s">
        <v>122</v>
      </c>
      <c r="E100" t="s">
        <v>166</v>
      </c>
      <c r="F100" t="s">
        <v>96</v>
      </c>
      <c r="G100" t="s">
        <v>80</v>
      </c>
      <c r="H100" t="s">
        <v>129</v>
      </c>
      <c r="I100" t="s">
        <v>243</v>
      </c>
      <c r="J100">
        <v>7</v>
      </c>
      <c r="K100" s="16">
        <v>87500</v>
      </c>
      <c r="L100" s="16">
        <v>57899.16</v>
      </c>
      <c r="M100" s="16">
        <v>29600.84</v>
      </c>
      <c r="N100" t="s">
        <v>131</v>
      </c>
      <c r="O100" t="s">
        <v>142</v>
      </c>
      <c r="P100" t="str">
        <f t="shared" si="1"/>
        <v>Kolkata|Office Chair</v>
      </c>
    </row>
    <row r="101" spans="1:16" x14ac:dyDescent="0.3">
      <c r="A101" s="15">
        <v>46159</v>
      </c>
      <c r="B101" t="s">
        <v>34</v>
      </c>
      <c r="C101" t="s">
        <v>126</v>
      </c>
      <c r="D101" t="s">
        <v>196</v>
      </c>
      <c r="E101" t="s">
        <v>208</v>
      </c>
      <c r="F101" t="s">
        <v>94</v>
      </c>
      <c r="G101" t="s">
        <v>64</v>
      </c>
      <c r="H101" t="s">
        <v>135</v>
      </c>
      <c r="I101" t="s">
        <v>193</v>
      </c>
      <c r="J101">
        <v>16</v>
      </c>
      <c r="K101" s="16">
        <v>325920</v>
      </c>
      <c r="L101" s="16">
        <v>204869.93</v>
      </c>
      <c r="M101" s="16">
        <v>121050.07</v>
      </c>
      <c r="N101" t="s">
        <v>125</v>
      </c>
      <c r="O101" t="s">
        <v>119</v>
      </c>
      <c r="P101" t="str">
        <f t="shared" si="1"/>
        <v>New Delhi|Monitor 27</v>
      </c>
    </row>
    <row r="102" spans="1:16" x14ac:dyDescent="0.3">
      <c r="A102" s="15">
        <v>46165</v>
      </c>
      <c r="B102" t="s">
        <v>34</v>
      </c>
      <c r="C102" t="s">
        <v>121</v>
      </c>
      <c r="D102" t="s">
        <v>146</v>
      </c>
      <c r="E102" t="s">
        <v>147</v>
      </c>
      <c r="F102" t="s">
        <v>94</v>
      </c>
      <c r="G102" t="s">
        <v>70</v>
      </c>
      <c r="H102" t="s">
        <v>133</v>
      </c>
      <c r="I102" t="s">
        <v>244</v>
      </c>
      <c r="J102">
        <v>11</v>
      </c>
      <c r="K102" s="16">
        <v>150040</v>
      </c>
      <c r="L102" s="16">
        <v>99838.23</v>
      </c>
      <c r="M102" s="16">
        <v>50201.77</v>
      </c>
      <c r="N102" t="s">
        <v>131</v>
      </c>
      <c r="O102" t="s">
        <v>113</v>
      </c>
      <c r="P102" t="str">
        <f t="shared" si="1"/>
        <v>Guwahati|Printer Pro</v>
      </c>
    </row>
    <row r="103" spans="1:16" x14ac:dyDescent="0.3">
      <c r="A103" s="15">
        <v>46061</v>
      </c>
      <c r="B103" t="s">
        <v>34</v>
      </c>
      <c r="C103" t="s">
        <v>126</v>
      </c>
      <c r="D103" t="s">
        <v>127</v>
      </c>
      <c r="E103" t="s">
        <v>143</v>
      </c>
      <c r="F103" t="s">
        <v>94</v>
      </c>
      <c r="G103" t="s">
        <v>64</v>
      </c>
      <c r="H103" t="s">
        <v>173</v>
      </c>
      <c r="I103" t="s">
        <v>245</v>
      </c>
      <c r="J103">
        <v>1</v>
      </c>
      <c r="K103" s="16">
        <v>19320</v>
      </c>
      <c r="L103" s="16">
        <v>14061.36</v>
      </c>
      <c r="M103" s="16">
        <v>5258.64</v>
      </c>
      <c r="N103" t="s">
        <v>131</v>
      </c>
      <c r="O103" t="s">
        <v>119</v>
      </c>
      <c r="P103" t="str">
        <f t="shared" si="1"/>
        <v>Faridabad|Monitor 27</v>
      </c>
    </row>
    <row r="104" spans="1:16" x14ac:dyDescent="0.3">
      <c r="A104" s="15">
        <v>46192</v>
      </c>
      <c r="B104" t="s">
        <v>34</v>
      </c>
      <c r="C104" t="s">
        <v>152</v>
      </c>
      <c r="D104" t="s">
        <v>156</v>
      </c>
      <c r="E104" t="s">
        <v>238</v>
      </c>
      <c r="F104" t="s">
        <v>95</v>
      </c>
      <c r="G104" t="s">
        <v>74</v>
      </c>
      <c r="H104" t="s">
        <v>135</v>
      </c>
      <c r="I104" t="s">
        <v>246</v>
      </c>
      <c r="J104">
        <v>5</v>
      </c>
      <c r="K104" s="16">
        <v>22800</v>
      </c>
      <c r="L104" s="16">
        <v>14623.59</v>
      </c>
      <c r="M104" s="16">
        <v>8176.41</v>
      </c>
      <c r="N104" t="s">
        <v>141</v>
      </c>
      <c r="O104" t="s">
        <v>113</v>
      </c>
      <c r="P104" t="str">
        <f t="shared" si="1"/>
        <v>Bengaluru|Headset</v>
      </c>
    </row>
    <row r="105" spans="1:16" x14ac:dyDescent="0.3">
      <c r="A105" s="15">
        <v>46151</v>
      </c>
      <c r="B105" t="s">
        <v>34</v>
      </c>
      <c r="C105" t="s">
        <v>121</v>
      </c>
      <c r="D105" t="s">
        <v>146</v>
      </c>
      <c r="E105" t="s">
        <v>147</v>
      </c>
      <c r="F105" t="s">
        <v>94</v>
      </c>
      <c r="G105" t="s">
        <v>64</v>
      </c>
      <c r="H105" t="s">
        <v>135</v>
      </c>
      <c r="I105" t="s">
        <v>247</v>
      </c>
      <c r="J105">
        <v>11</v>
      </c>
      <c r="K105" s="16">
        <v>219450</v>
      </c>
      <c r="L105" s="16">
        <v>169888.2</v>
      </c>
      <c r="M105" s="16">
        <v>49561.8</v>
      </c>
      <c r="N105" t="s">
        <v>131</v>
      </c>
      <c r="O105" t="s">
        <v>113</v>
      </c>
      <c r="P105" t="str">
        <f t="shared" si="1"/>
        <v>Guwahati|Monitor 27</v>
      </c>
    </row>
    <row r="106" spans="1:16" x14ac:dyDescent="0.3">
      <c r="A106" s="15">
        <v>46211</v>
      </c>
      <c r="B106" t="s">
        <v>34</v>
      </c>
      <c r="C106" t="s">
        <v>126</v>
      </c>
      <c r="D106" t="s">
        <v>162</v>
      </c>
      <c r="E106" t="s">
        <v>163</v>
      </c>
      <c r="F106" t="s">
        <v>97</v>
      </c>
      <c r="G106" t="s">
        <v>87</v>
      </c>
      <c r="H106" t="s">
        <v>139</v>
      </c>
      <c r="I106" t="s">
        <v>248</v>
      </c>
      <c r="J106">
        <v>9</v>
      </c>
      <c r="K106" s="16">
        <v>112500</v>
      </c>
      <c r="L106" s="16">
        <v>84127.11</v>
      </c>
      <c r="M106" s="16">
        <v>28372.89</v>
      </c>
      <c r="N106" t="s">
        <v>125</v>
      </c>
      <c r="O106" t="s">
        <v>113</v>
      </c>
      <c r="P106" t="str">
        <f t="shared" si="1"/>
        <v>Lucknow|Microwave</v>
      </c>
    </row>
    <row r="107" spans="1:16" x14ac:dyDescent="0.3">
      <c r="A107" s="15">
        <v>46233</v>
      </c>
      <c r="B107" t="s">
        <v>34</v>
      </c>
      <c r="C107" t="s">
        <v>121</v>
      </c>
      <c r="D107" t="s">
        <v>137</v>
      </c>
      <c r="E107" t="s">
        <v>171</v>
      </c>
      <c r="F107" t="s">
        <v>95</v>
      </c>
      <c r="G107" t="s">
        <v>74</v>
      </c>
      <c r="H107" t="s">
        <v>135</v>
      </c>
      <c r="I107" t="s">
        <v>249</v>
      </c>
      <c r="J107">
        <v>11</v>
      </c>
      <c r="K107" s="16">
        <v>46464</v>
      </c>
      <c r="L107" s="16">
        <v>31901.55</v>
      </c>
      <c r="M107" s="16">
        <v>14562.45</v>
      </c>
      <c r="N107" t="s">
        <v>112</v>
      </c>
      <c r="O107" t="s">
        <v>113</v>
      </c>
      <c r="P107" t="str">
        <f t="shared" si="1"/>
        <v>Bhubaneswar|Headset</v>
      </c>
    </row>
    <row r="108" spans="1:16" x14ac:dyDescent="0.3">
      <c r="A108" s="15">
        <v>46245</v>
      </c>
      <c r="B108" t="s">
        <v>114</v>
      </c>
      <c r="C108" t="s">
        <v>126</v>
      </c>
      <c r="D108" t="s">
        <v>127</v>
      </c>
      <c r="E108" t="s">
        <v>143</v>
      </c>
      <c r="F108" t="s">
        <v>96</v>
      </c>
      <c r="G108" t="s">
        <v>80</v>
      </c>
      <c r="H108" t="s">
        <v>173</v>
      </c>
      <c r="I108" t="s">
        <v>134</v>
      </c>
      <c r="J108">
        <v>13</v>
      </c>
      <c r="K108" s="16">
        <v>149500</v>
      </c>
      <c r="L108" s="16">
        <v>117083.86</v>
      </c>
      <c r="M108" s="16">
        <v>32416.14</v>
      </c>
      <c r="N108" t="s">
        <v>125</v>
      </c>
      <c r="O108" t="s">
        <v>119</v>
      </c>
      <c r="P108" t="str">
        <f t="shared" si="1"/>
        <v>Faridabad|Office Chair</v>
      </c>
    </row>
    <row r="109" spans="1:16" x14ac:dyDescent="0.3">
      <c r="A109" s="15">
        <v>46031</v>
      </c>
      <c r="B109" t="s">
        <v>114</v>
      </c>
      <c r="C109" t="s">
        <v>152</v>
      </c>
      <c r="D109" t="s">
        <v>156</v>
      </c>
      <c r="E109" t="s">
        <v>157</v>
      </c>
      <c r="F109" t="s">
        <v>94</v>
      </c>
      <c r="G109" t="s">
        <v>61</v>
      </c>
      <c r="H109" t="s">
        <v>129</v>
      </c>
      <c r="I109" t="s">
        <v>250</v>
      </c>
      <c r="J109">
        <v>5</v>
      </c>
      <c r="K109" s="16">
        <v>370500</v>
      </c>
      <c r="L109" s="16">
        <v>293002.11</v>
      </c>
      <c r="M109" s="16">
        <v>77497.89</v>
      </c>
      <c r="N109" t="s">
        <v>125</v>
      </c>
      <c r="O109" t="s">
        <v>113</v>
      </c>
      <c r="P109" t="str">
        <f t="shared" si="1"/>
        <v>Mysuru|Laptop Pro</v>
      </c>
    </row>
    <row r="110" spans="1:16" x14ac:dyDescent="0.3">
      <c r="A110" s="15">
        <v>46140</v>
      </c>
      <c r="B110" t="s">
        <v>34</v>
      </c>
      <c r="C110" t="s">
        <v>107</v>
      </c>
      <c r="D110" t="s">
        <v>115</v>
      </c>
      <c r="E110" t="s">
        <v>116</v>
      </c>
      <c r="F110" t="s">
        <v>94</v>
      </c>
      <c r="G110" t="s">
        <v>70</v>
      </c>
      <c r="H110" t="s">
        <v>129</v>
      </c>
      <c r="I110" t="s">
        <v>251</v>
      </c>
      <c r="J110">
        <v>16</v>
      </c>
      <c r="K110" s="16">
        <v>248000</v>
      </c>
      <c r="L110" s="16">
        <v>174664.6</v>
      </c>
      <c r="M110" s="16">
        <v>73335.399999999994</v>
      </c>
      <c r="N110" t="s">
        <v>125</v>
      </c>
      <c r="O110" t="s">
        <v>113</v>
      </c>
      <c r="P110" t="str">
        <f t="shared" si="1"/>
        <v>Ahmedabad|Printer Pro</v>
      </c>
    </row>
    <row r="111" spans="1:16" x14ac:dyDescent="0.3">
      <c r="A111" s="15">
        <v>46165</v>
      </c>
      <c r="B111" t="s">
        <v>34</v>
      </c>
      <c r="C111" t="s">
        <v>121</v>
      </c>
      <c r="D111" t="s">
        <v>146</v>
      </c>
      <c r="E111" t="s">
        <v>175</v>
      </c>
      <c r="F111" t="s">
        <v>95</v>
      </c>
      <c r="G111" t="s">
        <v>74</v>
      </c>
      <c r="H111" t="s">
        <v>135</v>
      </c>
      <c r="I111" t="s">
        <v>252</v>
      </c>
      <c r="J111">
        <v>18</v>
      </c>
      <c r="K111" s="16">
        <v>82080</v>
      </c>
      <c r="L111" s="16">
        <v>51224.43</v>
      </c>
      <c r="M111" s="16">
        <v>30855.57</v>
      </c>
      <c r="N111" t="s">
        <v>141</v>
      </c>
      <c r="O111" t="s">
        <v>142</v>
      </c>
      <c r="P111" t="str">
        <f t="shared" si="1"/>
        <v>Dibrugarh|Headset</v>
      </c>
    </row>
    <row r="112" spans="1:16" x14ac:dyDescent="0.3">
      <c r="A112" s="15">
        <v>46226</v>
      </c>
      <c r="B112" t="s">
        <v>34</v>
      </c>
      <c r="C112" t="s">
        <v>121</v>
      </c>
      <c r="D112" t="s">
        <v>137</v>
      </c>
      <c r="E112" t="s">
        <v>138</v>
      </c>
      <c r="F112" t="s">
        <v>97</v>
      </c>
      <c r="G112" t="s">
        <v>86</v>
      </c>
      <c r="H112" t="s">
        <v>173</v>
      </c>
      <c r="I112" t="s">
        <v>205</v>
      </c>
      <c r="J112">
        <v>15</v>
      </c>
      <c r="K112" s="16">
        <v>97500</v>
      </c>
      <c r="L112" s="16">
        <v>69827.3</v>
      </c>
      <c r="M112" s="16">
        <v>27672.7</v>
      </c>
      <c r="N112" t="s">
        <v>112</v>
      </c>
      <c r="O112" t="s">
        <v>113</v>
      </c>
      <c r="P112" t="str">
        <f t="shared" si="1"/>
        <v>Cuttack|Coffee Maker</v>
      </c>
    </row>
    <row r="113" spans="1:16" x14ac:dyDescent="0.3">
      <c r="A113" s="15">
        <v>46165</v>
      </c>
      <c r="B113" t="s">
        <v>34</v>
      </c>
      <c r="C113" t="s">
        <v>126</v>
      </c>
      <c r="D113" t="s">
        <v>162</v>
      </c>
      <c r="E113" t="s">
        <v>204</v>
      </c>
      <c r="F113" t="s">
        <v>96</v>
      </c>
      <c r="G113" t="s">
        <v>83</v>
      </c>
      <c r="H113" t="s">
        <v>135</v>
      </c>
      <c r="I113" t="s">
        <v>253</v>
      </c>
      <c r="J113">
        <v>15</v>
      </c>
      <c r="K113" s="16">
        <v>513000</v>
      </c>
      <c r="L113" s="16">
        <v>395061.8</v>
      </c>
      <c r="M113" s="16">
        <v>117938.2</v>
      </c>
      <c r="N113" t="s">
        <v>141</v>
      </c>
      <c r="O113" t="s">
        <v>113</v>
      </c>
      <c r="P113" t="str">
        <f t="shared" si="1"/>
        <v>Noida|Meeting Table</v>
      </c>
    </row>
    <row r="114" spans="1:16" x14ac:dyDescent="0.3">
      <c r="A114" s="15">
        <v>46222</v>
      </c>
      <c r="B114" t="s">
        <v>34</v>
      </c>
      <c r="C114" t="s">
        <v>152</v>
      </c>
      <c r="D114" t="s">
        <v>187</v>
      </c>
      <c r="E114" t="s">
        <v>199</v>
      </c>
      <c r="F114" t="s">
        <v>96</v>
      </c>
      <c r="G114" t="s">
        <v>82</v>
      </c>
      <c r="H114" t="s">
        <v>117</v>
      </c>
      <c r="I114" t="s">
        <v>206</v>
      </c>
      <c r="J114">
        <v>15</v>
      </c>
      <c r="K114" s="16">
        <v>393300</v>
      </c>
      <c r="L114" s="16">
        <v>278682.62</v>
      </c>
      <c r="M114" s="16">
        <v>114617.38</v>
      </c>
      <c r="N114" t="s">
        <v>112</v>
      </c>
      <c r="O114" t="s">
        <v>119</v>
      </c>
      <c r="P114" t="str">
        <f t="shared" si="1"/>
        <v>Hyderabad|Standing Desk</v>
      </c>
    </row>
    <row r="115" spans="1:16" x14ac:dyDescent="0.3">
      <c r="A115" s="15">
        <v>46190</v>
      </c>
      <c r="B115" t="s">
        <v>34</v>
      </c>
      <c r="C115" t="s">
        <v>152</v>
      </c>
      <c r="D115" t="s">
        <v>153</v>
      </c>
      <c r="E115" t="s">
        <v>154</v>
      </c>
      <c r="F115" t="s">
        <v>94</v>
      </c>
      <c r="G115" t="s">
        <v>67</v>
      </c>
      <c r="H115" t="s">
        <v>184</v>
      </c>
      <c r="I115" t="s">
        <v>254</v>
      </c>
      <c r="J115">
        <v>11</v>
      </c>
      <c r="K115" s="16">
        <v>352110</v>
      </c>
      <c r="L115" s="16">
        <v>260104.59</v>
      </c>
      <c r="M115" s="16">
        <v>92005.41</v>
      </c>
      <c r="N115" t="s">
        <v>141</v>
      </c>
      <c r="O115" t="s">
        <v>113</v>
      </c>
      <c r="P115" t="str">
        <f t="shared" si="1"/>
        <v>Coimbatore|Tablet X</v>
      </c>
    </row>
    <row r="116" spans="1:16" x14ac:dyDescent="0.3">
      <c r="A116" s="15">
        <v>46094</v>
      </c>
      <c r="B116" t="s">
        <v>34</v>
      </c>
      <c r="C116" t="s">
        <v>121</v>
      </c>
      <c r="D116" t="s">
        <v>122</v>
      </c>
      <c r="E116" t="s">
        <v>123</v>
      </c>
      <c r="F116" t="s">
        <v>96</v>
      </c>
      <c r="G116" t="s">
        <v>84</v>
      </c>
      <c r="H116" t="s">
        <v>133</v>
      </c>
      <c r="I116" t="s">
        <v>255</v>
      </c>
      <c r="J116">
        <v>15</v>
      </c>
      <c r="K116" s="16">
        <v>206625</v>
      </c>
      <c r="L116" s="16">
        <v>145068.32</v>
      </c>
      <c r="M116" s="16">
        <v>61556.68</v>
      </c>
      <c r="N116" t="s">
        <v>141</v>
      </c>
      <c r="O116" t="s">
        <v>142</v>
      </c>
      <c r="P116" t="str">
        <f t="shared" si="1"/>
        <v>Durgapur|Filing Cabinet</v>
      </c>
    </row>
    <row r="117" spans="1:16" x14ac:dyDescent="0.3">
      <c r="A117" s="15">
        <v>46207</v>
      </c>
      <c r="B117" t="s">
        <v>114</v>
      </c>
      <c r="C117" t="s">
        <v>121</v>
      </c>
      <c r="D117" t="s">
        <v>122</v>
      </c>
      <c r="E117" t="s">
        <v>166</v>
      </c>
      <c r="F117" t="s">
        <v>96</v>
      </c>
      <c r="G117" t="s">
        <v>82</v>
      </c>
      <c r="H117" t="s">
        <v>117</v>
      </c>
      <c r="I117" t="s">
        <v>167</v>
      </c>
      <c r="J117">
        <v>8</v>
      </c>
      <c r="K117" s="16">
        <v>221160</v>
      </c>
      <c r="L117" s="16">
        <v>176014.44</v>
      </c>
      <c r="M117" s="16">
        <v>45145.56</v>
      </c>
      <c r="N117" t="s">
        <v>131</v>
      </c>
      <c r="O117" t="s">
        <v>113</v>
      </c>
      <c r="P117" t="str">
        <f t="shared" si="1"/>
        <v>Kolkata|Standing Desk</v>
      </c>
    </row>
    <row r="118" spans="1:16" x14ac:dyDescent="0.3">
      <c r="A118" s="15">
        <v>46178</v>
      </c>
      <c r="B118" t="s">
        <v>114</v>
      </c>
      <c r="C118" t="s">
        <v>107</v>
      </c>
      <c r="D118" t="s">
        <v>149</v>
      </c>
      <c r="E118" t="s">
        <v>159</v>
      </c>
      <c r="F118" t="s">
        <v>95</v>
      </c>
      <c r="G118" t="s">
        <v>72</v>
      </c>
      <c r="H118" t="s">
        <v>139</v>
      </c>
      <c r="I118" t="s">
        <v>245</v>
      </c>
      <c r="J118">
        <v>20</v>
      </c>
      <c r="K118" s="16">
        <v>60800</v>
      </c>
      <c r="L118" s="16">
        <v>43555.48</v>
      </c>
      <c r="M118" s="16">
        <v>17244.52</v>
      </c>
      <c r="N118" t="s">
        <v>125</v>
      </c>
      <c r="O118" t="s">
        <v>113</v>
      </c>
      <c r="P118" t="str">
        <f t="shared" si="1"/>
        <v>Pune|Keyboard</v>
      </c>
    </row>
    <row r="119" spans="1:16" x14ac:dyDescent="0.3">
      <c r="A119" s="15">
        <v>46164</v>
      </c>
      <c r="B119" t="s">
        <v>120</v>
      </c>
      <c r="C119" t="s">
        <v>121</v>
      </c>
      <c r="D119" t="s">
        <v>146</v>
      </c>
      <c r="E119" t="s">
        <v>175</v>
      </c>
      <c r="F119" t="s">
        <v>96</v>
      </c>
      <c r="G119" t="s">
        <v>84</v>
      </c>
      <c r="H119" t="s">
        <v>135</v>
      </c>
      <c r="I119" t="s">
        <v>256</v>
      </c>
      <c r="J119">
        <v>19</v>
      </c>
      <c r="K119" s="16">
        <v>275500</v>
      </c>
      <c r="L119" s="16">
        <v>220415.87</v>
      </c>
      <c r="M119" s="16">
        <v>55084.13</v>
      </c>
      <c r="N119" t="s">
        <v>141</v>
      </c>
      <c r="O119" t="s">
        <v>142</v>
      </c>
      <c r="P119" t="str">
        <f t="shared" si="1"/>
        <v>Dibrugarh|Filing Cabinet</v>
      </c>
    </row>
    <row r="120" spans="1:16" x14ac:dyDescent="0.3">
      <c r="A120" s="15">
        <v>46096</v>
      </c>
      <c r="B120" t="s">
        <v>120</v>
      </c>
      <c r="C120" t="s">
        <v>107</v>
      </c>
      <c r="D120" t="s">
        <v>108</v>
      </c>
      <c r="E120" t="s">
        <v>132</v>
      </c>
      <c r="F120" t="s">
        <v>96</v>
      </c>
      <c r="G120" t="s">
        <v>82</v>
      </c>
      <c r="H120" t="s">
        <v>184</v>
      </c>
      <c r="I120" t="s">
        <v>178</v>
      </c>
      <c r="J120">
        <v>4</v>
      </c>
      <c r="K120" s="16">
        <v>114000</v>
      </c>
      <c r="L120" s="16">
        <v>84761.25</v>
      </c>
      <c r="M120" s="16">
        <v>29238.75</v>
      </c>
      <c r="N120" t="s">
        <v>112</v>
      </c>
      <c r="O120" t="s">
        <v>142</v>
      </c>
      <c r="P120" t="str">
        <f t="shared" si="1"/>
        <v>Jaipur|Standing Desk</v>
      </c>
    </row>
    <row r="121" spans="1:16" x14ac:dyDescent="0.3">
      <c r="A121" s="15">
        <v>46027</v>
      </c>
      <c r="B121" t="s">
        <v>34</v>
      </c>
      <c r="C121" t="s">
        <v>107</v>
      </c>
      <c r="D121" t="s">
        <v>149</v>
      </c>
      <c r="E121" t="s">
        <v>150</v>
      </c>
      <c r="F121" t="s">
        <v>96</v>
      </c>
      <c r="G121" t="s">
        <v>83</v>
      </c>
      <c r="H121" t="s">
        <v>135</v>
      </c>
      <c r="I121" t="s">
        <v>257</v>
      </c>
      <c r="J121">
        <v>16</v>
      </c>
      <c r="K121" s="16">
        <v>529920</v>
      </c>
      <c r="L121" s="16">
        <v>364654.44</v>
      </c>
      <c r="M121" s="16">
        <v>165265.56</v>
      </c>
      <c r="N121" t="s">
        <v>141</v>
      </c>
      <c r="O121" t="s">
        <v>113</v>
      </c>
      <c r="P121" t="str">
        <f t="shared" si="1"/>
        <v>Mumbai|Meeting Table</v>
      </c>
    </row>
    <row r="122" spans="1:16" x14ac:dyDescent="0.3">
      <c r="A122" s="15">
        <v>46042</v>
      </c>
      <c r="B122" t="s">
        <v>34</v>
      </c>
      <c r="C122" t="s">
        <v>107</v>
      </c>
      <c r="D122" t="s">
        <v>108</v>
      </c>
      <c r="E122" t="s">
        <v>132</v>
      </c>
      <c r="F122" t="s">
        <v>96</v>
      </c>
      <c r="G122" t="s">
        <v>84</v>
      </c>
      <c r="H122" t="s">
        <v>117</v>
      </c>
      <c r="I122" t="s">
        <v>193</v>
      </c>
      <c r="J122">
        <v>12</v>
      </c>
      <c r="K122" s="16">
        <v>174000</v>
      </c>
      <c r="L122" s="16">
        <v>127574.38</v>
      </c>
      <c r="M122" s="16">
        <v>46425.62</v>
      </c>
      <c r="N122" t="s">
        <v>141</v>
      </c>
      <c r="O122" t="s">
        <v>119</v>
      </c>
      <c r="P122" t="str">
        <f t="shared" si="1"/>
        <v>Jaipur|Filing Cabinet</v>
      </c>
    </row>
    <row r="123" spans="1:16" x14ac:dyDescent="0.3">
      <c r="A123" s="15">
        <v>46059</v>
      </c>
      <c r="B123" t="s">
        <v>34</v>
      </c>
      <c r="C123" t="s">
        <v>126</v>
      </c>
      <c r="D123" t="s">
        <v>127</v>
      </c>
      <c r="E123" t="s">
        <v>143</v>
      </c>
      <c r="F123" t="s">
        <v>97</v>
      </c>
      <c r="G123" t="s">
        <v>86</v>
      </c>
      <c r="H123" t="s">
        <v>135</v>
      </c>
      <c r="I123" t="s">
        <v>258</v>
      </c>
      <c r="J123">
        <v>20</v>
      </c>
      <c r="K123" s="16">
        <v>123500</v>
      </c>
      <c r="L123" s="16">
        <v>80697.14</v>
      </c>
      <c r="M123" s="16">
        <v>42802.86</v>
      </c>
      <c r="N123" t="s">
        <v>112</v>
      </c>
      <c r="O123" t="s">
        <v>113</v>
      </c>
      <c r="P123" t="str">
        <f t="shared" si="1"/>
        <v>Faridabad|Coffee Maker</v>
      </c>
    </row>
    <row r="124" spans="1:16" x14ac:dyDescent="0.3">
      <c r="A124" s="15">
        <v>46033</v>
      </c>
      <c r="B124" t="s">
        <v>34</v>
      </c>
      <c r="C124" t="s">
        <v>152</v>
      </c>
      <c r="D124" t="s">
        <v>187</v>
      </c>
      <c r="E124" t="s">
        <v>188</v>
      </c>
      <c r="F124" t="s">
        <v>97</v>
      </c>
      <c r="G124" t="s">
        <v>86</v>
      </c>
      <c r="H124" t="s">
        <v>139</v>
      </c>
      <c r="I124" t="s">
        <v>249</v>
      </c>
      <c r="J124">
        <v>10</v>
      </c>
      <c r="K124" s="16">
        <v>65000</v>
      </c>
      <c r="L124" s="16">
        <v>49758.44</v>
      </c>
      <c r="M124" s="16">
        <v>15241.56</v>
      </c>
      <c r="N124" t="s">
        <v>131</v>
      </c>
      <c r="O124" t="s">
        <v>113</v>
      </c>
      <c r="P124" t="str">
        <f t="shared" si="1"/>
        <v>Warangal|Coffee Maker</v>
      </c>
    </row>
    <row r="125" spans="1:16" x14ac:dyDescent="0.3">
      <c r="A125" s="15">
        <v>46201</v>
      </c>
      <c r="B125" t="s">
        <v>34</v>
      </c>
      <c r="C125" t="s">
        <v>107</v>
      </c>
      <c r="D125" t="s">
        <v>115</v>
      </c>
      <c r="E125" t="s">
        <v>116</v>
      </c>
      <c r="F125" t="s">
        <v>96</v>
      </c>
      <c r="G125" t="s">
        <v>80</v>
      </c>
      <c r="H125" t="s">
        <v>117</v>
      </c>
      <c r="I125" t="s">
        <v>259</v>
      </c>
      <c r="J125">
        <v>4</v>
      </c>
      <c r="K125" s="16">
        <v>44000</v>
      </c>
      <c r="L125" s="16">
        <v>31425.49</v>
      </c>
      <c r="M125" s="16">
        <v>12574.51</v>
      </c>
      <c r="N125" t="s">
        <v>112</v>
      </c>
      <c r="O125" t="s">
        <v>113</v>
      </c>
      <c r="P125" t="str">
        <f t="shared" si="1"/>
        <v>Ahmedabad|Office Chair</v>
      </c>
    </row>
    <row r="126" spans="1:16" x14ac:dyDescent="0.3">
      <c r="A126" s="15">
        <v>46261</v>
      </c>
      <c r="B126" t="s">
        <v>34</v>
      </c>
      <c r="C126" t="s">
        <v>126</v>
      </c>
      <c r="D126" t="s">
        <v>162</v>
      </c>
      <c r="E126" t="s">
        <v>163</v>
      </c>
      <c r="F126" t="s">
        <v>95</v>
      </c>
      <c r="G126" t="s">
        <v>72</v>
      </c>
      <c r="H126" t="s">
        <v>129</v>
      </c>
      <c r="I126" t="s">
        <v>260</v>
      </c>
      <c r="J126">
        <v>9</v>
      </c>
      <c r="K126" s="16">
        <v>25344</v>
      </c>
      <c r="L126" s="16">
        <v>16844.57</v>
      </c>
      <c r="M126" s="16">
        <v>8499.43</v>
      </c>
      <c r="N126" t="s">
        <v>131</v>
      </c>
      <c r="O126" t="s">
        <v>119</v>
      </c>
      <c r="P126" t="str">
        <f t="shared" si="1"/>
        <v>Lucknow|Keyboard</v>
      </c>
    </row>
    <row r="127" spans="1:16" x14ac:dyDescent="0.3">
      <c r="A127" s="15">
        <v>46056</v>
      </c>
      <c r="B127" t="s">
        <v>114</v>
      </c>
      <c r="C127" t="s">
        <v>152</v>
      </c>
      <c r="D127" t="s">
        <v>153</v>
      </c>
      <c r="E127" t="s">
        <v>169</v>
      </c>
      <c r="F127" t="s">
        <v>97</v>
      </c>
      <c r="G127" t="s">
        <v>85</v>
      </c>
      <c r="H127" t="s">
        <v>139</v>
      </c>
      <c r="I127" t="s">
        <v>261</v>
      </c>
      <c r="J127">
        <v>11</v>
      </c>
      <c r="K127" s="16">
        <v>188100</v>
      </c>
      <c r="L127" s="16">
        <v>142516.03</v>
      </c>
      <c r="M127" s="16">
        <v>45583.97</v>
      </c>
      <c r="N127" t="s">
        <v>125</v>
      </c>
      <c r="O127" t="s">
        <v>119</v>
      </c>
      <c r="P127" t="str">
        <f t="shared" si="1"/>
        <v>Chennai|Air Purifier</v>
      </c>
    </row>
    <row r="128" spans="1:16" x14ac:dyDescent="0.3">
      <c r="A128" s="15">
        <v>46125</v>
      </c>
      <c r="B128" t="s">
        <v>34</v>
      </c>
      <c r="C128" t="s">
        <v>152</v>
      </c>
      <c r="D128" t="s">
        <v>156</v>
      </c>
      <c r="E128" t="s">
        <v>157</v>
      </c>
      <c r="F128" t="s">
        <v>94</v>
      </c>
      <c r="G128" t="s">
        <v>67</v>
      </c>
      <c r="H128" t="s">
        <v>139</v>
      </c>
      <c r="I128" t="s">
        <v>259</v>
      </c>
      <c r="J128">
        <v>19</v>
      </c>
      <c r="K128" s="16">
        <v>551760</v>
      </c>
      <c r="L128" s="16">
        <v>372616.12</v>
      </c>
      <c r="M128" s="16">
        <v>179143.88</v>
      </c>
      <c r="N128" t="s">
        <v>112</v>
      </c>
      <c r="O128" t="s">
        <v>113</v>
      </c>
      <c r="P128" t="str">
        <f t="shared" si="1"/>
        <v>Mysuru|Tablet X</v>
      </c>
    </row>
    <row r="129" spans="1:16" x14ac:dyDescent="0.3">
      <c r="A129" s="15">
        <v>46235</v>
      </c>
      <c r="B129" t="s">
        <v>120</v>
      </c>
      <c r="C129" t="s">
        <v>121</v>
      </c>
      <c r="D129" t="s">
        <v>137</v>
      </c>
      <c r="E129" t="s">
        <v>171</v>
      </c>
      <c r="F129" t="s">
        <v>96</v>
      </c>
      <c r="G129" t="s">
        <v>84</v>
      </c>
      <c r="H129" t="s">
        <v>184</v>
      </c>
      <c r="I129" t="s">
        <v>262</v>
      </c>
      <c r="J129">
        <v>20</v>
      </c>
      <c r="K129" s="16">
        <v>290000</v>
      </c>
      <c r="L129" s="16">
        <v>219202.21</v>
      </c>
      <c r="M129" s="16">
        <v>70797.789999999994</v>
      </c>
      <c r="N129" t="s">
        <v>131</v>
      </c>
      <c r="O129" t="s">
        <v>119</v>
      </c>
      <c r="P129" t="str">
        <f t="shared" si="1"/>
        <v>Bhubaneswar|Filing Cabinet</v>
      </c>
    </row>
    <row r="130" spans="1:16" x14ac:dyDescent="0.3">
      <c r="A130" s="15">
        <v>46262</v>
      </c>
      <c r="B130" t="s">
        <v>34</v>
      </c>
      <c r="C130" t="s">
        <v>121</v>
      </c>
      <c r="D130" t="s">
        <v>137</v>
      </c>
      <c r="E130" t="s">
        <v>171</v>
      </c>
      <c r="F130" t="s">
        <v>95</v>
      </c>
      <c r="G130" t="s">
        <v>76</v>
      </c>
      <c r="H130" t="s">
        <v>184</v>
      </c>
      <c r="I130" t="s">
        <v>234</v>
      </c>
      <c r="J130">
        <v>1</v>
      </c>
      <c r="K130" s="16">
        <v>1584</v>
      </c>
      <c r="L130" s="16">
        <v>984.42</v>
      </c>
      <c r="M130" s="16">
        <v>599.58000000000004</v>
      </c>
      <c r="N130" t="s">
        <v>125</v>
      </c>
      <c r="O130" t="s">
        <v>113</v>
      </c>
      <c r="P130" t="str">
        <f t="shared" si="1"/>
        <v>Bhubaneswar|Mouse</v>
      </c>
    </row>
    <row r="131" spans="1:16" x14ac:dyDescent="0.3">
      <c r="A131" s="15">
        <v>46084</v>
      </c>
      <c r="B131" t="s">
        <v>120</v>
      </c>
      <c r="C131" t="s">
        <v>152</v>
      </c>
      <c r="D131" t="s">
        <v>153</v>
      </c>
      <c r="E131" t="s">
        <v>154</v>
      </c>
      <c r="F131" t="s">
        <v>97</v>
      </c>
      <c r="G131" t="s">
        <v>88</v>
      </c>
      <c r="H131" t="s">
        <v>117</v>
      </c>
      <c r="I131" t="s">
        <v>263</v>
      </c>
      <c r="J131">
        <v>7</v>
      </c>
      <c r="K131" s="16">
        <v>89320</v>
      </c>
      <c r="L131" s="16">
        <v>67615.92</v>
      </c>
      <c r="M131" s="16">
        <v>21704.080000000002</v>
      </c>
      <c r="N131" t="s">
        <v>112</v>
      </c>
      <c r="O131" t="s">
        <v>113</v>
      </c>
      <c r="P131" t="str">
        <f t="shared" si="1"/>
        <v>Coimbatore|Vacuum Cleaner</v>
      </c>
    </row>
    <row r="132" spans="1:16" x14ac:dyDescent="0.3">
      <c r="A132" s="15">
        <v>46139</v>
      </c>
      <c r="B132" t="s">
        <v>34</v>
      </c>
      <c r="C132" t="s">
        <v>126</v>
      </c>
      <c r="D132" t="s">
        <v>127</v>
      </c>
      <c r="E132" t="s">
        <v>128</v>
      </c>
      <c r="F132" t="s">
        <v>96</v>
      </c>
      <c r="G132" t="s">
        <v>84</v>
      </c>
      <c r="H132" t="s">
        <v>139</v>
      </c>
      <c r="I132" t="s">
        <v>264</v>
      </c>
      <c r="J132">
        <v>2</v>
      </c>
      <c r="K132" s="16">
        <v>26680</v>
      </c>
      <c r="L132" s="16">
        <v>21584.7</v>
      </c>
      <c r="M132" s="16">
        <v>5095.3</v>
      </c>
      <c r="N132" t="s">
        <v>112</v>
      </c>
      <c r="O132" t="s">
        <v>113</v>
      </c>
      <c r="P132" t="str">
        <f t="shared" si="1"/>
        <v>Gurugram|Filing Cabinet</v>
      </c>
    </row>
    <row r="133" spans="1:16" x14ac:dyDescent="0.3">
      <c r="A133" s="15">
        <v>46131</v>
      </c>
      <c r="B133" t="s">
        <v>114</v>
      </c>
      <c r="C133" t="s">
        <v>152</v>
      </c>
      <c r="D133" t="s">
        <v>156</v>
      </c>
      <c r="E133" t="s">
        <v>157</v>
      </c>
      <c r="F133" t="s">
        <v>96</v>
      </c>
      <c r="G133" t="s">
        <v>82</v>
      </c>
      <c r="H133" t="s">
        <v>129</v>
      </c>
      <c r="I133" t="s">
        <v>263</v>
      </c>
      <c r="J133">
        <v>11</v>
      </c>
      <c r="K133" s="16">
        <v>288420</v>
      </c>
      <c r="L133" s="16">
        <v>182665.44</v>
      </c>
      <c r="M133" s="16">
        <v>105754.56</v>
      </c>
      <c r="N133" t="s">
        <v>112</v>
      </c>
      <c r="O133" t="s">
        <v>113</v>
      </c>
      <c r="P133" t="str">
        <f t="shared" ref="P133:P196" si="2">E133&amp;"|"&amp;G133</f>
        <v>Mysuru|Standing Desk</v>
      </c>
    </row>
    <row r="134" spans="1:16" x14ac:dyDescent="0.3">
      <c r="A134" s="15">
        <v>46077</v>
      </c>
      <c r="B134" t="s">
        <v>34</v>
      </c>
      <c r="C134" t="s">
        <v>126</v>
      </c>
      <c r="D134" t="s">
        <v>196</v>
      </c>
      <c r="E134" t="s">
        <v>208</v>
      </c>
      <c r="F134" t="s">
        <v>95</v>
      </c>
      <c r="G134" t="s">
        <v>78</v>
      </c>
      <c r="H134" t="s">
        <v>139</v>
      </c>
      <c r="I134" t="s">
        <v>226</v>
      </c>
      <c r="J134">
        <v>12</v>
      </c>
      <c r="K134" s="16">
        <v>48888</v>
      </c>
      <c r="L134" s="16">
        <v>35261.94</v>
      </c>
      <c r="M134" s="16">
        <v>13626.06</v>
      </c>
      <c r="N134" t="s">
        <v>125</v>
      </c>
      <c r="O134" t="s">
        <v>113</v>
      </c>
      <c r="P134" t="str">
        <f t="shared" si="2"/>
        <v>New Delhi|Webcam</v>
      </c>
    </row>
    <row r="135" spans="1:16" x14ac:dyDescent="0.3">
      <c r="A135" s="15">
        <v>46119</v>
      </c>
      <c r="B135" t="s">
        <v>34</v>
      </c>
      <c r="C135" t="s">
        <v>126</v>
      </c>
      <c r="D135" t="s">
        <v>127</v>
      </c>
      <c r="E135" t="s">
        <v>143</v>
      </c>
      <c r="F135" t="s">
        <v>96</v>
      </c>
      <c r="G135" t="s">
        <v>83</v>
      </c>
      <c r="H135" t="s">
        <v>139</v>
      </c>
      <c r="I135" t="s">
        <v>265</v>
      </c>
      <c r="J135">
        <v>16</v>
      </c>
      <c r="K135" s="16">
        <v>547200</v>
      </c>
      <c r="L135" s="16">
        <v>370182.75</v>
      </c>
      <c r="M135" s="16">
        <v>177017.25</v>
      </c>
      <c r="N135" t="s">
        <v>125</v>
      </c>
      <c r="O135" t="s">
        <v>113</v>
      </c>
      <c r="P135" t="str">
        <f t="shared" si="2"/>
        <v>Faridabad|Meeting Table</v>
      </c>
    </row>
    <row r="136" spans="1:16" x14ac:dyDescent="0.3">
      <c r="A136" s="15">
        <v>46244</v>
      </c>
      <c r="B136" t="s">
        <v>34</v>
      </c>
      <c r="C136" t="s">
        <v>126</v>
      </c>
      <c r="D136" t="s">
        <v>162</v>
      </c>
      <c r="E136" t="s">
        <v>204</v>
      </c>
      <c r="F136" t="s">
        <v>97</v>
      </c>
      <c r="G136" t="s">
        <v>86</v>
      </c>
      <c r="H136" t="s">
        <v>133</v>
      </c>
      <c r="I136" t="s">
        <v>213</v>
      </c>
      <c r="J136">
        <v>5</v>
      </c>
      <c r="K136" s="16">
        <v>30875</v>
      </c>
      <c r="L136" s="16">
        <v>20534.86</v>
      </c>
      <c r="M136" s="16">
        <v>10340.14</v>
      </c>
      <c r="N136" t="s">
        <v>141</v>
      </c>
      <c r="O136" t="s">
        <v>119</v>
      </c>
      <c r="P136" t="str">
        <f t="shared" si="2"/>
        <v>Noida|Coffee Maker</v>
      </c>
    </row>
    <row r="137" spans="1:16" x14ac:dyDescent="0.3">
      <c r="A137" s="15">
        <v>46087</v>
      </c>
      <c r="B137" t="s">
        <v>34</v>
      </c>
      <c r="C137" t="s">
        <v>121</v>
      </c>
      <c r="D137" t="s">
        <v>146</v>
      </c>
      <c r="E137" t="s">
        <v>175</v>
      </c>
      <c r="F137" t="s">
        <v>94</v>
      </c>
      <c r="G137" t="s">
        <v>64</v>
      </c>
      <c r="H137" t="s">
        <v>133</v>
      </c>
      <c r="I137" t="s">
        <v>164</v>
      </c>
      <c r="J137">
        <v>7</v>
      </c>
      <c r="K137" s="16">
        <v>142590</v>
      </c>
      <c r="L137" s="16">
        <v>100820.12</v>
      </c>
      <c r="M137" s="16">
        <v>41769.879999999997</v>
      </c>
      <c r="N137" t="s">
        <v>125</v>
      </c>
      <c r="O137" t="s">
        <v>113</v>
      </c>
      <c r="P137" t="str">
        <f t="shared" si="2"/>
        <v>Dibrugarh|Monitor 27</v>
      </c>
    </row>
    <row r="138" spans="1:16" x14ac:dyDescent="0.3">
      <c r="A138" s="15">
        <v>46045</v>
      </c>
      <c r="B138" t="s">
        <v>34</v>
      </c>
      <c r="C138" t="s">
        <v>107</v>
      </c>
      <c r="D138" t="s">
        <v>149</v>
      </c>
      <c r="E138" t="s">
        <v>159</v>
      </c>
      <c r="F138" t="s">
        <v>94</v>
      </c>
      <c r="G138" t="s">
        <v>70</v>
      </c>
      <c r="H138" t="s">
        <v>184</v>
      </c>
      <c r="I138" t="s">
        <v>266</v>
      </c>
      <c r="J138">
        <v>20</v>
      </c>
      <c r="K138" s="16">
        <v>310000</v>
      </c>
      <c r="L138" s="16">
        <v>221256.13</v>
      </c>
      <c r="M138" s="16">
        <v>88743.87</v>
      </c>
      <c r="N138" t="s">
        <v>112</v>
      </c>
      <c r="O138" t="s">
        <v>142</v>
      </c>
      <c r="P138" t="str">
        <f t="shared" si="2"/>
        <v>Pune|Printer Pro</v>
      </c>
    </row>
    <row r="139" spans="1:16" x14ac:dyDescent="0.3">
      <c r="A139" s="15">
        <v>46226</v>
      </c>
      <c r="B139" t="s">
        <v>34</v>
      </c>
      <c r="C139" t="s">
        <v>126</v>
      </c>
      <c r="D139" t="s">
        <v>196</v>
      </c>
      <c r="E139" t="s">
        <v>208</v>
      </c>
      <c r="F139" t="s">
        <v>94</v>
      </c>
      <c r="G139" t="s">
        <v>67</v>
      </c>
      <c r="H139" t="s">
        <v>133</v>
      </c>
      <c r="I139" t="s">
        <v>259</v>
      </c>
      <c r="J139">
        <v>17</v>
      </c>
      <c r="K139" s="16">
        <v>516120</v>
      </c>
      <c r="L139" s="16">
        <v>409304.44</v>
      </c>
      <c r="M139" s="16">
        <v>106815.56</v>
      </c>
      <c r="N139" t="s">
        <v>125</v>
      </c>
      <c r="O139" t="s">
        <v>119</v>
      </c>
      <c r="P139" t="str">
        <f t="shared" si="2"/>
        <v>New Delhi|Tablet X</v>
      </c>
    </row>
    <row r="140" spans="1:16" x14ac:dyDescent="0.3">
      <c r="A140" s="15">
        <v>46072</v>
      </c>
      <c r="B140" t="s">
        <v>34</v>
      </c>
      <c r="C140" t="s">
        <v>126</v>
      </c>
      <c r="D140" t="s">
        <v>127</v>
      </c>
      <c r="E140" t="s">
        <v>143</v>
      </c>
      <c r="F140" t="s">
        <v>96</v>
      </c>
      <c r="G140" t="s">
        <v>82</v>
      </c>
      <c r="H140" t="s">
        <v>110</v>
      </c>
      <c r="I140" t="s">
        <v>267</v>
      </c>
      <c r="J140">
        <v>19</v>
      </c>
      <c r="K140" s="16">
        <v>525255</v>
      </c>
      <c r="L140" s="16">
        <v>417729.94</v>
      </c>
      <c r="M140" s="16">
        <v>107525.06</v>
      </c>
      <c r="N140" t="s">
        <v>125</v>
      </c>
      <c r="O140" t="s">
        <v>119</v>
      </c>
      <c r="P140" t="str">
        <f t="shared" si="2"/>
        <v>Faridabad|Standing Desk</v>
      </c>
    </row>
    <row r="141" spans="1:16" x14ac:dyDescent="0.3">
      <c r="A141" s="15">
        <v>46059</v>
      </c>
      <c r="B141" t="s">
        <v>114</v>
      </c>
      <c r="C141" t="s">
        <v>152</v>
      </c>
      <c r="D141" t="s">
        <v>156</v>
      </c>
      <c r="E141" t="s">
        <v>157</v>
      </c>
      <c r="F141" t="s">
        <v>97</v>
      </c>
      <c r="G141" t="s">
        <v>87</v>
      </c>
      <c r="H141" t="s">
        <v>135</v>
      </c>
      <c r="I141" t="s">
        <v>268</v>
      </c>
      <c r="J141">
        <v>6</v>
      </c>
      <c r="K141" s="16">
        <v>69000</v>
      </c>
      <c r="L141" s="16">
        <v>52310.31</v>
      </c>
      <c r="M141" s="16">
        <v>16689.689999999999</v>
      </c>
      <c r="N141" t="s">
        <v>125</v>
      </c>
      <c r="O141" t="s">
        <v>113</v>
      </c>
      <c r="P141" t="str">
        <f t="shared" si="2"/>
        <v>Mysuru|Microwave</v>
      </c>
    </row>
    <row r="142" spans="1:16" x14ac:dyDescent="0.3">
      <c r="A142" s="15">
        <v>46074</v>
      </c>
      <c r="B142" t="s">
        <v>120</v>
      </c>
      <c r="C142" t="s">
        <v>107</v>
      </c>
      <c r="D142" t="s">
        <v>108</v>
      </c>
      <c r="E142" t="s">
        <v>132</v>
      </c>
      <c r="F142" t="s">
        <v>96</v>
      </c>
      <c r="G142" t="s">
        <v>84</v>
      </c>
      <c r="H142" t="s">
        <v>139</v>
      </c>
      <c r="I142" t="s">
        <v>214</v>
      </c>
      <c r="J142">
        <v>18</v>
      </c>
      <c r="K142" s="16">
        <v>261000</v>
      </c>
      <c r="L142" s="16">
        <v>173930.48</v>
      </c>
      <c r="M142" s="16">
        <v>87069.52</v>
      </c>
      <c r="N142" t="s">
        <v>141</v>
      </c>
      <c r="O142" t="s">
        <v>113</v>
      </c>
      <c r="P142" t="str">
        <f t="shared" si="2"/>
        <v>Jaipur|Filing Cabinet</v>
      </c>
    </row>
    <row r="143" spans="1:16" x14ac:dyDescent="0.3">
      <c r="A143" s="15">
        <v>46102</v>
      </c>
      <c r="B143" t="s">
        <v>34</v>
      </c>
      <c r="C143" t="s">
        <v>126</v>
      </c>
      <c r="D143" t="s">
        <v>127</v>
      </c>
      <c r="E143" t="s">
        <v>128</v>
      </c>
      <c r="F143" t="s">
        <v>94</v>
      </c>
      <c r="G143" t="s">
        <v>67</v>
      </c>
      <c r="H143" t="s">
        <v>110</v>
      </c>
      <c r="I143" t="s">
        <v>265</v>
      </c>
      <c r="J143">
        <v>5</v>
      </c>
      <c r="K143" s="16">
        <v>156750</v>
      </c>
      <c r="L143" s="16">
        <v>106165.03</v>
      </c>
      <c r="M143" s="16">
        <v>50584.97</v>
      </c>
      <c r="N143" t="s">
        <v>131</v>
      </c>
      <c r="O143" t="s">
        <v>113</v>
      </c>
      <c r="P143" t="str">
        <f t="shared" si="2"/>
        <v>Gurugram|Tablet X</v>
      </c>
    </row>
    <row r="144" spans="1:16" x14ac:dyDescent="0.3">
      <c r="A144" s="15">
        <v>46177</v>
      </c>
      <c r="B144" t="s">
        <v>34</v>
      </c>
      <c r="C144" t="s">
        <v>107</v>
      </c>
      <c r="D144" t="s">
        <v>149</v>
      </c>
      <c r="E144" t="s">
        <v>159</v>
      </c>
      <c r="F144" t="s">
        <v>94</v>
      </c>
      <c r="G144" t="s">
        <v>70</v>
      </c>
      <c r="H144" t="s">
        <v>184</v>
      </c>
      <c r="I144" t="s">
        <v>269</v>
      </c>
      <c r="J144">
        <v>9</v>
      </c>
      <c r="K144" s="16">
        <v>139500</v>
      </c>
      <c r="L144" s="16">
        <v>95962.33</v>
      </c>
      <c r="M144" s="16">
        <v>43537.67</v>
      </c>
      <c r="N144" t="s">
        <v>131</v>
      </c>
      <c r="O144" t="s">
        <v>113</v>
      </c>
      <c r="P144" t="str">
        <f t="shared" si="2"/>
        <v>Pune|Printer Pro</v>
      </c>
    </row>
    <row r="145" spans="1:16" x14ac:dyDescent="0.3">
      <c r="A145" s="15">
        <v>46204</v>
      </c>
      <c r="B145" t="s">
        <v>120</v>
      </c>
      <c r="C145" t="s">
        <v>152</v>
      </c>
      <c r="D145" t="s">
        <v>156</v>
      </c>
      <c r="E145" t="s">
        <v>238</v>
      </c>
      <c r="F145" t="s">
        <v>96</v>
      </c>
      <c r="G145" t="s">
        <v>84</v>
      </c>
      <c r="H145" t="s">
        <v>133</v>
      </c>
      <c r="I145" t="s">
        <v>182</v>
      </c>
      <c r="J145">
        <v>6</v>
      </c>
      <c r="K145" s="16">
        <v>87000</v>
      </c>
      <c r="L145" s="16">
        <v>55787.66</v>
      </c>
      <c r="M145" s="16">
        <v>31212.34</v>
      </c>
      <c r="N145" t="s">
        <v>141</v>
      </c>
      <c r="O145" t="s">
        <v>113</v>
      </c>
      <c r="P145" t="str">
        <f t="shared" si="2"/>
        <v>Bengaluru|Filing Cabinet</v>
      </c>
    </row>
    <row r="146" spans="1:16" x14ac:dyDescent="0.3">
      <c r="A146" s="15">
        <v>46215</v>
      </c>
      <c r="B146" t="s">
        <v>34</v>
      </c>
      <c r="C146" t="s">
        <v>107</v>
      </c>
      <c r="D146" t="s">
        <v>108</v>
      </c>
      <c r="E146" t="s">
        <v>132</v>
      </c>
      <c r="F146" t="s">
        <v>94</v>
      </c>
      <c r="G146" t="s">
        <v>70</v>
      </c>
      <c r="H146" t="s">
        <v>173</v>
      </c>
      <c r="I146" t="s">
        <v>270</v>
      </c>
      <c r="J146">
        <v>1</v>
      </c>
      <c r="K146" s="16">
        <v>15500</v>
      </c>
      <c r="L146" s="16">
        <v>10628.62</v>
      </c>
      <c r="M146" s="16">
        <v>4871.38</v>
      </c>
      <c r="N146" t="s">
        <v>112</v>
      </c>
      <c r="O146" t="s">
        <v>142</v>
      </c>
      <c r="P146" t="str">
        <f t="shared" si="2"/>
        <v>Jaipur|Printer Pro</v>
      </c>
    </row>
    <row r="147" spans="1:16" x14ac:dyDescent="0.3">
      <c r="A147" s="15">
        <v>46256</v>
      </c>
      <c r="B147" t="s">
        <v>34</v>
      </c>
      <c r="C147" t="s">
        <v>152</v>
      </c>
      <c r="D147" t="s">
        <v>187</v>
      </c>
      <c r="E147" t="s">
        <v>188</v>
      </c>
      <c r="F147" t="s">
        <v>97</v>
      </c>
      <c r="G147" t="s">
        <v>88</v>
      </c>
      <c r="H147" t="s">
        <v>129</v>
      </c>
      <c r="I147" t="s">
        <v>270</v>
      </c>
      <c r="J147">
        <v>4</v>
      </c>
      <c r="K147" s="16">
        <v>51040</v>
      </c>
      <c r="L147" s="16">
        <v>40415.46</v>
      </c>
      <c r="M147" s="16">
        <v>10624.54</v>
      </c>
      <c r="N147" t="s">
        <v>112</v>
      </c>
      <c r="O147" t="s">
        <v>119</v>
      </c>
      <c r="P147" t="str">
        <f t="shared" si="2"/>
        <v>Warangal|Vacuum Cleaner</v>
      </c>
    </row>
    <row r="148" spans="1:16" x14ac:dyDescent="0.3">
      <c r="A148" s="15">
        <v>46136</v>
      </c>
      <c r="B148" t="s">
        <v>34</v>
      </c>
      <c r="C148" t="s">
        <v>121</v>
      </c>
      <c r="D148" t="s">
        <v>137</v>
      </c>
      <c r="E148" t="s">
        <v>171</v>
      </c>
      <c r="F148" t="s">
        <v>96</v>
      </c>
      <c r="G148" t="s">
        <v>83</v>
      </c>
      <c r="H148" t="s">
        <v>139</v>
      </c>
      <c r="I148" t="s">
        <v>192</v>
      </c>
      <c r="J148">
        <v>11</v>
      </c>
      <c r="K148" s="16">
        <v>396000</v>
      </c>
      <c r="L148" s="16">
        <v>296582.14</v>
      </c>
      <c r="M148" s="16">
        <v>99417.86</v>
      </c>
      <c r="N148" t="s">
        <v>112</v>
      </c>
      <c r="O148" t="s">
        <v>142</v>
      </c>
      <c r="P148" t="str">
        <f t="shared" si="2"/>
        <v>Bhubaneswar|Meeting Table</v>
      </c>
    </row>
    <row r="149" spans="1:16" x14ac:dyDescent="0.3">
      <c r="A149" s="15">
        <v>46245</v>
      </c>
      <c r="B149" t="s">
        <v>114</v>
      </c>
      <c r="C149" t="s">
        <v>107</v>
      </c>
      <c r="D149" t="s">
        <v>115</v>
      </c>
      <c r="E149" t="s">
        <v>116</v>
      </c>
      <c r="F149" t="s">
        <v>97</v>
      </c>
      <c r="G149" t="s">
        <v>85</v>
      </c>
      <c r="H149" t="s">
        <v>139</v>
      </c>
      <c r="I149" t="s">
        <v>271</v>
      </c>
      <c r="J149">
        <v>7</v>
      </c>
      <c r="K149" s="16">
        <v>115920</v>
      </c>
      <c r="L149" s="16">
        <v>77342.28</v>
      </c>
      <c r="M149" s="16">
        <v>38577.72</v>
      </c>
      <c r="N149" t="s">
        <v>131</v>
      </c>
      <c r="O149" t="s">
        <v>119</v>
      </c>
      <c r="P149" t="str">
        <f t="shared" si="2"/>
        <v>Ahmedabad|Air Purifier</v>
      </c>
    </row>
    <row r="150" spans="1:16" x14ac:dyDescent="0.3">
      <c r="A150" s="15">
        <v>46131</v>
      </c>
      <c r="B150" t="s">
        <v>34</v>
      </c>
      <c r="C150" t="s">
        <v>152</v>
      </c>
      <c r="D150" t="s">
        <v>153</v>
      </c>
      <c r="E150" t="s">
        <v>154</v>
      </c>
      <c r="F150" t="s">
        <v>96</v>
      </c>
      <c r="G150" t="s">
        <v>82</v>
      </c>
      <c r="H150" t="s">
        <v>117</v>
      </c>
      <c r="I150" t="s">
        <v>272</v>
      </c>
      <c r="J150">
        <v>13</v>
      </c>
      <c r="K150" s="16">
        <v>351975</v>
      </c>
      <c r="L150" s="16">
        <v>236970.29</v>
      </c>
      <c r="M150" s="16">
        <v>115004.71</v>
      </c>
      <c r="N150" t="s">
        <v>131</v>
      </c>
      <c r="O150" t="s">
        <v>142</v>
      </c>
      <c r="P150" t="str">
        <f t="shared" si="2"/>
        <v>Coimbatore|Standing Desk</v>
      </c>
    </row>
    <row r="151" spans="1:16" x14ac:dyDescent="0.3">
      <c r="A151" s="15">
        <v>46187</v>
      </c>
      <c r="B151" t="s">
        <v>114</v>
      </c>
      <c r="C151" t="s">
        <v>121</v>
      </c>
      <c r="D151" t="s">
        <v>122</v>
      </c>
      <c r="E151" t="s">
        <v>123</v>
      </c>
      <c r="F151" t="s">
        <v>97</v>
      </c>
      <c r="G151" t="s">
        <v>85</v>
      </c>
      <c r="H151" t="s">
        <v>129</v>
      </c>
      <c r="I151" t="s">
        <v>267</v>
      </c>
      <c r="J151">
        <v>9</v>
      </c>
      <c r="K151" s="16">
        <v>149040</v>
      </c>
      <c r="L151" s="16">
        <v>100731.63</v>
      </c>
      <c r="M151" s="16">
        <v>48308.37</v>
      </c>
      <c r="N151" t="s">
        <v>125</v>
      </c>
      <c r="O151" t="s">
        <v>142</v>
      </c>
      <c r="P151" t="str">
        <f t="shared" si="2"/>
        <v>Durgapur|Air Purifier</v>
      </c>
    </row>
    <row r="152" spans="1:16" x14ac:dyDescent="0.3">
      <c r="A152" s="15">
        <v>46141</v>
      </c>
      <c r="B152" t="s">
        <v>34</v>
      </c>
      <c r="C152" t="s">
        <v>126</v>
      </c>
      <c r="D152" t="s">
        <v>196</v>
      </c>
      <c r="E152" t="s">
        <v>197</v>
      </c>
      <c r="F152" t="s">
        <v>95</v>
      </c>
      <c r="G152" t="s">
        <v>78</v>
      </c>
      <c r="H152" t="s">
        <v>184</v>
      </c>
      <c r="I152" t="s">
        <v>273</v>
      </c>
      <c r="J152">
        <v>17</v>
      </c>
      <c r="K152" s="16">
        <v>71400</v>
      </c>
      <c r="L152" s="16">
        <v>50978.58</v>
      </c>
      <c r="M152" s="16">
        <v>20421.419999999998</v>
      </c>
      <c r="N152" t="s">
        <v>141</v>
      </c>
      <c r="O152" t="s">
        <v>119</v>
      </c>
      <c r="P152" t="str">
        <f t="shared" si="2"/>
        <v>Dwarka|Webcam</v>
      </c>
    </row>
    <row r="153" spans="1:16" x14ac:dyDescent="0.3">
      <c r="A153" s="15">
        <v>46062</v>
      </c>
      <c r="B153" t="s">
        <v>34</v>
      </c>
      <c r="C153" t="s">
        <v>121</v>
      </c>
      <c r="D153" t="s">
        <v>146</v>
      </c>
      <c r="E153" t="s">
        <v>175</v>
      </c>
      <c r="F153" t="s">
        <v>94</v>
      </c>
      <c r="G153" t="s">
        <v>70</v>
      </c>
      <c r="H153" t="s">
        <v>173</v>
      </c>
      <c r="I153" t="s">
        <v>274</v>
      </c>
      <c r="J153">
        <v>8</v>
      </c>
      <c r="K153" s="16">
        <v>117800</v>
      </c>
      <c r="L153" s="16">
        <v>96287.73</v>
      </c>
      <c r="M153" s="16">
        <v>21512.27</v>
      </c>
      <c r="N153" t="s">
        <v>141</v>
      </c>
      <c r="O153" t="s">
        <v>113</v>
      </c>
      <c r="P153" t="str">
        <f t="shared" si="2"/>
        <v>Dibrugarh|Printer Pro</v>
      </c>
    </row>
    <row r="154" spans="1:16" x14ac:dyDescent="0.3">
      <c r="A154" s="15">
        <v>46056</v>
      </c>
      <c r="B154" t="s">
        <v>120</v>
      </c>
      <c r="C154" t="s">
        <v>107</v>
      </c>
      <c r="D154" t="s">
        <v>149</v>
      </c>
      <c r="E154" t="s">
        <v>150</v>
      </c>
      <c r="F154" t="s">
        <v>96</v>
      </c>
      <c r="G154" t="s">
        <v>83</v>
      </c>
      <c r="H154" t="s">
        <v>139</v>
      </c>
      <c r="I154" t="s">
        <v>275</v>
      </c>
      <c r="J154">
        <v>10</v>
      </c>
      <c r="K154" s="16">
        <v>331200</v>
      </c>
      <c r="L154" s="16">
        <v>216307.81</v>
      </c>
      <c r="M154" s="16">
        <v>114892.19</v>
      </c>
      <c r="N154" t="s">
        <v>112</v>
      </c>
      <c r="O154" t="s">
        <v>119</v>
      </c>
      <c r="P154" t="str">
        <f t="shared" si="2"/>
        <v>Mumbai|Meeting Table</v>
      </c>
    </row>
    <row r="155" spans="1:16" x14ac:dyDescent="0.3">
      <c r="A155" s="15">
        <v>46043</v>
      </c>
      <c r="B155" t="s">
        <v>34</v>
      </c>
      <c r="C155" t="s">
        <v>126</v>
      </c>
      <c r="D155" t="s">
        <v>196</v>
      </c>
      <c r="E155" t="s">
        <v>208</v>
      </c>
      <c r="F155" t="s">
        <v>96</v>
      </c>
      <c r="G155" t="s">
        <v>83</v>
      </c>
      <c r="H155" t="s">
        <v>173</v>
      </c>
      <c r="I155" t="s">
        <v>276</v>
      </c>
      <c r="J155">
        <v>15</v>
      </c>
      <c r="K155" s="16">
        <v>540000</v>
      </c>
      <c r="L155" s="16">
        <v>395955.59</v>
      </c>
      <c r="M155" s="16">
        <v>144044.41</v>
      </c>
      <c r="N155" t="s">
        <v>112</v>
      </c>
      <c r="O155" t="s">
        <v>113</v>
      </c>
      <c r="P155" t="str">
        <f t="shared" si="2"/>
        <v>New Delhi|Meeting Table</v>
      </c>
    </row>
    <row r="156" spans="1:16" x14ac:dyDescent="0.3">
      <c r="A156" s="15">
        <v>46037</v>
      </c>
      <c r="B156" t="s">
        <v>34</v>
      </c>
      <c r="C156" t="s">
        <v>126</v>
      </c>
      <c r="D156" t="s">
        <v>127</v>
      </c>
      <c r="E156" t="s">
        <v>128</v>
      </c>
      <c r="F156" t="s">
        <v>94</v>
      </c>
      <c r="G156" t="s">
        <v>64</v>
      </c>
      <c r="H156" t="s">
        <v>139</v>
      </c>
      <c r="I156" t="s">
        <v>277</v>
      </c>
      <c r="J156">
        <v>18</v>
      </c>
      <c r="K156" s="16">
        <v>347760</v>
      </c>
      <c r="L156" s="16">
        <v>257234.45</v>
      </c>
      <c r="M156" s="16">
        <v>90525.55</v>
      </c>
      <c r="N156" t="s">
        <v>131</v>
      </c>
      <c r="O156" t="s">
        <v>119</v>
      </c>
      <c r="P156" t="str">
        <f t="shared" si="2"/>
        <v>Gurugram|Monitor 27</v>
      </c>
    </row>
    <row r="157" spans="1:16" x14ac:dyDescent="0.3">
      <c r="A157" s="15">
        <v>46249</v>
      </c>
      <c r="B157" t="s">
        <v>34</v>
      </c>
      <c r="C157" t="s">
        <v>126</v>
      </c>
      <c r="D157" t="s">
        <v>162</v>
      </c>
      <c r="E157" t="s">
        <v>204</v>
      </c>
      <c r="F157" t="s">
        <v>94</v>
      </c>
      <c r="G157" t="s">
        <v>67</v>
      </c>
      <c r="H157" t="s">
        <v>110</v>
      </c>
      <c r="I157" t="s">
        <v>278</v>
      </c>
      <c r="J157">
        <v>18</v>
      </c>
      <c r="K157" s="16">
        <v>522720</v>
      </c>
      <c r="L157" s="16">
        <v>370729.13</v>
      </c>
      <c r="M157" s="16">
        <v>151990.87</v>
      </c>
      <c r="N157" t="s">
        <v>141</v>
      </c>
      <c r="O157" t="s">
        <v>113</v>
      </c>
      <c r="P157" t="str">
        <f t="shared" si="2"/>
        <v>Noida|Tablet X</v>
      </c>
    </row>
    <row r="158" spans="1:16" x14ac:dyDescent="0.3">
      <c r="A158" s="15">
        <v>46097</v>
      </c>
      <c r="B158" t="s">
        <v>34</v>
      </c>
      <c r="C158" t="s">
        <v>126</v>
      </c>
      <c r="D158" t="s">
        <v>162</v>
      </c>
      <c r="E158" t="s">
        <v>163</v>
      </c>
      <c r="F158" t="s">
        <v>97</v>
      </c>
      <c r="G158" t="s">
        <v>86</v>
      </c>
      <c r="H158" t="s">
        <v>173</v>
      </c>
      <c r="I158" t="s">
        <v>167</v>
      </c>
      <c r="J158">
        <v>16</v>
      </c>
      <c r="K158" s="16">
        <v>104000</v>
      </c>
      <c r="L158" s="16">
        <v>67559.48</v>
      </c>
      <c r="M158" s="16">
        <v>36440.519999999997</v>
      </c>
      <c r="N158" t="s">
        <v>125</v>
      </c>
      <c r="O158" t="s">
        <v>113</v>
      </c>
      <c r="P158" t="str">
        <f t="shared" si="2"/>
        <v>Lucknow|Coffee Maker</v>
      </c>
    </row>
    <row r="159" spans="1:16" x14ac:dyDescent="0.3">
      <c r="A159" s="15">
        <v>46118</v>
      </c>
      <c r="B159" t="s">
        <v>120</v>
      </c>
      <c r="C159" t="s">
        <v>126</v>
      </c>
      <c r="D159" t="s">
        <v>127</v>
      </c>
      <c r="E159" t="s">
        <v>128</v>
      </c>
      <c r="F159" t="s">
        <v>97</v>
      </c>
      <c r="G159" t="s">
        <v>88</v>
      </c>
      <c r="H159" t="s">
        <v>135</v>
      </c>
      <c r="I159" t="s">
        <v>271</v>
      </c>
      <c r="J159">
        <v>13</v>
      </c>
      <c r="K159" s="16">
        <v>182845</v>
      </c>
      <c r="L159" s="16">
        <v>120924.43</v>
      </c>
      <c r="M159" s="16">
        <v>61920.57</v>
      </c>
      <c r="N159" t="s">
        <v>141</v>
      </c>
      <c r="O159" t="s">
        <v>142</v>
      </c>
      <c r="P159" t="str">
        <f t="shared" si="2"/>
        <v>Gurugram|Vacuum Cleaner</v>
      </c>
    </row>
    <row r="160" spans="1:16" x14ac:dyDescent="0.3">
      <c r="A160" s="15">
        <v>46193</v>
      </c>
      <c r="B160" t="s">
        <v>120</v>
      </c>
      <c r="C160" t="s">
        <v>126</v>
      </c>
      <c r="D160" t="s">
        <v>196</v>
      </c>
      <c r="E160" t="s">
        <v>197</v>
      </c>
      <c r="F160" t="s">
        <v>95</v>
      </c>
      <c r="G160" t="s">
        <v>74</v>
      </c>
      <c r="H160" t="s">
        <v>110</v>
      </c>
      <c r="I160" t="s">
        <v>206</v>
      </c>
      <c r="J160">
        <v>3</v>
      </c>
      <c r="K160" s="16">
        <v>13248</v>
      </c>
      <c r="L160" s="16">
        <v>9763.06</v>
      </c>
      <c r="M160" s="16">
        <v>3484.94</v>
      </c>
      <c r="N160" t="s">
        <v>125</v>
      </c>
      <c r="O160" t="s">
        <v>142</v>
      </c>
      <c r="P160" t="str">
        <f t="shared" si="2"/>
        <v>Dwarka|Headset</v>
      </c>
    </row>
    <row r="161" spans="1:16" x14ac:dyDescent="0.3">
      <c r="A161" s="15">
        <v>46242</v>
      </c>
      <c r="B161" t="s">
        <v>34</v>
      </c>
      <c r="C161" t="s">
        <v>107</v>
      </c>
      <c r="D161" t="s">
        <v>108</v>
      </c>
      <c r="E161" t="s">
        <v>132</v>
      </c>
      <c r="F161" t="s">
        <v>97</v>
      </c>
      <c r="G161" t="s">
        <v>85</v>
      </c>
      <c r="H161" t="s">
        <v>184</v>
      </c>
      <c r="I161" t="s">
        <v>265</v>
      </c>
      <c r="J161">
        <v>6</v>
      </c>
      <c r="K161" s="16">
        <v>99360</v>
      </c>
      <c r="L161" s="16">
        <v>80728.899999999994</v>
      </c>
      <c r="M161" s="16">
        <v>18631.099999999999</v>
      </c>
      <c r="N161" t="s">
        <v>141</v>
      </c>
      <c r="O161" t="s">
        <v>142</v>
      </c>
      <c r="P161" t="str">
        <f t="shared" si="2"/>
        <v>Jaipur|Air Purifier</v>
      </c>
    </row>
    <row r="162" spans="1:16" x14ac:dyDescent="0.3">
      <c r="A162" s="15">
        <v>46121</v>
      </c>
      <c r="B162" t="s">
        <v>34</v>
      </c>
      <c r="C162" t="s">
        <v>107</v>
      </c>
      <c r="D162" t="s">
        <v>149</v>
      </c>
      <c r="E162" t="s">
        <v>159</v>
      </c>
      <c r="F162" t="s">
        <v>96</v>
      </c>
      <c r="G162" t="s">
        <v>82</v>
      </c>
      <c r="H162" t="s">
        <v>129</v>
      </c>
      <c r="I162" t="s">
        <v>278</v>
      </c>
      <c r="J162">
        <v>4</v>
      </c>
      <c r="K162" s="16">
        <v>104880</v>
      </c>
      <c r="L162" s="16">
        <v>68135.149999999994</v>
      </c>
      <c r="M162" s="16">
        <v>36744.85</v>
      </c>
      <c r="N162" t="s">
        <v>131</v>
      </c>
      <c r="O162" t="s">
        <v>113</v>
      </c>
      <c r="P162" t="str">
        <f t="shared" si="2"/>
        <v>Pune|Standing Desk</v>
      </c>
    </row>
    <row r="163" spans="1:16" x14ac:dyDescent="0.3">
      <c r="A163" s="15">
        <v>46246</v>
      </c>
      <c r="B163" t="s">
        <v>34</v>
      </c>
      <c r="C163" t="s">
        <v>107</v>
      </c>
      <c r="D163" t="s">
        <v>115</v>
      </c>
      <c r="E163" t="s">
        <v>191</v>
      </c>
      <c r="F163" t="s">
        <v>97</v>
      </c>
      <c r="G163" t="s">
        <v>86</v>
      </c>
      <c r="H163" t="s">
        <v>110</v>
      </c>
      <c r="I163" t="s">
        <v>279</v>
      </c>
      <c r="J163">
        <v>7</v>
      </c>
      <c r="K163" s="16">
        <v>41860</v>
      </c>
      <c r="L163" s="16">
        <v>28591.24</v>
      </c>
      <c r="M163" s="16">
        <v>13268.76</v>
      </c>
      <c r="N163" t="s">
        <v>131</v>
      </c>
      <c r="O163" t="s">
        <v>142</v>
      </c>
      <c r="P163" t="str">
        <f t="shared" si="2"/>
        <v>Surat|Coffee Maker</v>
      </c>
    </row>
    <row r="164" spans="1:16" x14ac:dyDescent="0.3">
      <c r="A164" s="15">
        <v>46141</v>
      </c>
      <c r="B164" t="s">
        <v>34</v>
      </c>
      <c r="C164" t="s">
        <v>121</v>
      </c>
      <c r="D164" t="s">
        <v>137</v>
      </c>
      <c r="E164" t="s">
        <v>138</v>
      </c>
      <c r="F164" t="s">
        <v>94</v>
      </c>
      <c r="G164" t="s">
        <v>61</v>
      </c>
      <c r="H164" t="s">
        <v>133</v>
      </c>
      <c r="I164" t="s">
        <v>233</v>
      </c>
      <c r="J164">
        <v>12</v>
      </c>
      <c r="K164" s="16">
        <v>907920</v>
      </c>
      <c r="L164" s="16">
        <v>737034.45</v>
      </c>
      <c r="M164" s="16">
        <v>170885.55</v>
      </c>
      <c r="N164" t="s">
        <v>112</v>
      </c>
      <c r="O164" t="s">
        <v>113</v>
      </c>
      <c r="P164" t="str">
        <f t="shared" si="2"/>
        <v>Cuttack|Laptop Pro</v>
      </c>
    </row>
    <row r="165" spans="1:16" x14ac:dyDescent="0.3">
      <c r="A165" s="15">
        <v>46111</v>
      </c>
      <c r="B165" t="s">
        <v>34</v>
      </c>
      <c r="C165" t="s">
        <v>152</v>
      </c>
      <c r="D165" t="s">
        <v>187</v>
      </c>
      <c r="E165" t="s">
        <v>199</v>
      </c>
      <c r="F165" t="s">
        <v>97</v>
      </c>
      <c r="G165" t="s">
        <v>88</v>
      </c>
      <c r="H165" t="s">
        <v>117</v>
      </c>
      <c r="I165" t="s">
        <v>280</v>
      </c>
      <c r="J165">
        <v>8</v>
      </c>
      <c r="K165" s="16">
        <v>116000</v>
      </c>
      <c r="L165" s="16">
        <v>79673.460000000006</v>
      </c>
      <c r="M165" s="16">
        <v>36326.54</v>
      </c>
      <c r="N165" t="s">
        <v>112</v>
      </c>
      <c r="O165" t="s">
        <v>142</v>
      </c>
      <c r="P165" t="str">
        <f t="shared" si="2"/>
        <v>Hyderabad|Vacuum Cleaner</v>
      </c>
    </row>
    <row r="166" spans="1:16" x14ac:dyDescent="0.3">
      <c r="A166" s="15">
        <v>46093</v>
      </c>
      <c r="B166" t="s">
        <v>34</v>
      </c>
      <c r="C166" t="s">
        <v>126</v>
      </c>
      <c r="D166" t="s">
        <v>196</v>
      </c>
      <c r="E166" t="s">
        <v>197</v>
      </c>
      <c r="F166" t="s">
        <v>96</v>
      </c>
      <c r="G166" t="s">
        <v>83</v>
      </c>
      <c r="H166" t="s">
        <v>139</v>
      </c>
      <c r="I166" t="s">
        <v>203</v>
      </c>
      <c r="J166">
        <v>5</v>
      </c>
      <c r="K166" s="16">
        <v>180000</v>
      </c>
      <c r="L166" s="16">
        <v>126477.05</v>
      </c>
      <c r="M166" s="16">
        <v>53522.95</v>
      </c>
      <c r="N166" t="s">
        <v>112</v>
      </c>
      <c r="O166" t="s">
        <v>113</v>
      </c>
      <c r="P166" t="str">
        <f t="shared" si="2"/>
        <v>Dwarka|Meeting Table</v>
      </c>
    </row>
    <row r="167" spans="1:16" x14ac:dyDescent="0.3">
      <c r="A167" s="15">
        <v>46218</v>
      </c>
      <c r="B167" t="s">
        <v>34</v>
      </c>
      <c r="C167" t="s">
        <v>107</v>
      </c>
      <c r="D167" t="s">
        <v>149</v>
      </c>
      <c r="E167" t="s">
        <v>159</v>
      </c>
      <c r="F167" t="s">
        <v>94</v>
      </c>
      <c r="G167" t="s">
        <v>67</v>
      </c>
      <c r="H167" t="s">
        <v>129</v>
      </c>
      <c r="I167" t="s">
        <v>268</v>
      </c>
      <c r="J167">
        <v>13</v>
      </c>
      <c r="K167" s="16">
        <v>416130</v>
      </c>
      <c r="L167" s="16">
        <v>290505.56</v>
      </c>
      <c r="M167" s="16">
        <v>125624.44</v>
      </c>
      <c r="N167" t="s">
        <v>112</v>
      </c>
      <c r="O167" t="s">
        <v>113</v>
      </c>
      <c r="P167" t="str">
        <f t="shared" si="2"/>
        <v>Pune|Tablet X</v>
      </c>
    </row>
    <row r="168" spans="1:16" x14ac:dyDescent="0.3">
      <c r="A168" s="15">
        <v>46027</v>
      </c>
      <c r="B168" t="s">
        <v>34</v>
      </c>
      <c r="C168" t="s">
        <v>121</v>
      </c>
      <c r="D168" t="s">
        <v>137</v>
      </c>
      <c r="E168" t="s">
        <v>171</v>
      </c>
      <c r="F168" t="s">
        <v>97</v>
      </c>
      <c r="G168" t="s">
        <v>85</v>
      </c>
      <c r="H168" t="s">
        <v>110</v>
      </c>
      <c r="I168" t="s">
        <v>203</v>
      </c>
      <c r="J168">
        <v>4</v>
      </c>
      <c r="K168" s="16">
        <v>63360</v>
      </c>
      <c r="L168" s="16">
        <v>49681.71</v>
      </c>
      <c r="M168" s="16">
        <v>13678.29</v>
      </c>
      <c r="N168" t="s">
        <v>131</v>
      </c>
      <c r="O168" t="s">
        <v>113</v>
      </c>
      <c r="P168" t="str">
        <f t="shared" si="2"/>
        <v>Bhubaneswar|Air Purifier</v>
      </c>
    </row>
    <row r="169" spans="1:16" x14ac:dyDescent="0.3">
      <c r="A169" s="15">
        <v>46169</v>
      </c>
      <c r="B169" t="s">
        <v>34</v>
      </c>
      <c r="C169" t="s">
        <v>121</v>
      </c>
      <c r="D169" t="s">
        <v>122</v>
      </c>
      <c r="E169" t="s">
        <v>166</v>
      </c>
      <c r="F169" t="s">
        <v>96</v>
      </c>
      <c r="G169" t="s">
        <v>84</v>
      </c>
      <c r="H169" t="s">
        <v>117</v>
      </c>
      <c r="I169" t="s">
        <v>281</v>
      </c>
      <c r="J169">
        <v>6</v>
      </c>
      <c r="K169" s="16">
        <v>84390</v>
      </c>
      <c r="L169" s="16">
        <v>62321.51</v>
      </c>
      <c r="M169" s="16">
        <v>22068.49</v>
      </c>
      <c r="N169" t="s">
        <v>141</v>
      </c>
      <c r="O169" t="s">
        <v>113</v>
      </c>
      <c r="P169" t="str">
        <f t="shared" si="2"/>
        <v>Kolkata|Filing Cabinet</v>
      </c>
    </row>
    <row r="170" spans="1:16" x14ac:dyDescent="0.3">
      <c r="A170" s="15">
        <v>46049</v>
      </c>
      <c r="B170" t="s">
        <v>114</v>
      </c>
      <c r="C170" t="s">
        <v>107</v>
      </c>
      <c r="D170" t="s">
        <v>115</v>
      </c>
      <c r="E170" t="s">
        <v>191</v>
      </c>
      <c r="F170" t="s">
        <v>95</v>
      </c>
      <c r="G170" t="s">
        <v>74</v>
      </c>
      <c r="H170" t="s">
        <v>135</v>
      </c>
      <c r="I170" t="s">
        <v>253</v>
      </c>
      <c r="J170">
        <v>11</v>
      </c>
      <c r="K170" s="16">
        <v>46464</v>
      </c>
      <c r="L170" s="16">
        <v>31804.11</v>
      </c>
      <c r="M170" s="16">
        <v>14659.89</v>
      </c>
      <c r="N170" t="s">
        <v>141</v>
      </c>
      <c r="O170" t="s">
        <v>113</v>
      </c>
      <c r="P170" t="str">
        <f t="shared" si="2"/>
        <v>Surat|Headset</v>
      </c>
    </row>
    <row r="171" spans="1:16" x14ac:dyDescent="0.3">
      <c r="A171" s="15">
        <v>46211</v>
      </c>
      <c r="B171" t="s">
        <v>34</v>
      </c>
      <c r="C171" t="s">
        <v>152</v>
      </c>
      <c r="D171" t="s">
        <v>156</v>
      </c>
      <c r="E171" t="s">
        <v>238</v>
      </c>
      <c r="F171" t="s">
        <v>96</v>
      </c>
      <c r="G171" t="s">
        <v>84</v>
      </c>
      <c r="H171" t="s">
        <v>110</v>
      </c>
      <c r="I171" t="s">
        <v>203</v>
      </c>
      <c r="J171">
        <v>1</v>
      </c>
      <c r="K171" s="16">
        <v>12760</v>
      </c>
      <c r="L171" s="16">
        <v>8995.49</v>
      </c>
      <c r="M171" s="16">
        <v>3764.51</v>
      </c>
      <c r="N171" t="s">
        <v>112</v>
      </c>
      <c r="O171" t="s">
        <v>119</v>
      </c>
      <c r="P171" t="str">
        <f t="shared" si="2"/>
        <v>Bengaluru|Filing Cabinet</v>
      </c>
    </row>
    <row r="172" spans="1:16" x14ac:dyDescent="0.3">
      <c r="A172" s="15">
        <v>46141</v>
      </c>
      <c r="B172" t="s">
        <v>114</v>
      </c>
      <c r="C172" t="s">
        <v>126</v>
      </c>
      <c r="D172" t="s">
        <v>196</v>
      </c>
      <c r="E172" t="s">
        <v>208</v>
      </c>
      <c r="F172" t="s">
        <v>97</v>
      </c>
      <c r="G172" t="s">
        <v>87</v>
      </c>
      <c r="H172" t="s">
        <v>110</v>
      </c>
      <c r="I172" t="s">
        <v>282</v>
      </c>
      <c r="J172">
        <v>9</v>
      </c>
      <c r="K172" s="16">
        <v>99000</v>
      </c>
      <c r="L172" s="16">
        <v>61765.46</v>
      </c>
      <c r="M172" s="16">
        <v>37234.54</v>
      </c>
      <c r="N172" t="s">
        <v>125</v>
      </c>
      <c r="O172" t="s">
        <v>113</v>
      </c>
      <c r="P172" t="str">
        <f t="shared" si="2"/>
        <v>New Delhi|Microwave</v>
      </c>
    </row>
    <row r="173" spans="1:16" x14ac:dyDescent="0.3">
      <c r="A173" s="15">
        <v>46252</v>
      </c>
      <c r="B173" t="s">
        <v>34</v>
      </c>
      <c r="C173" t="s">
        <v>107</v>
      </c>
      <c r="D173" t="s">
        <v>115</v>
      </c>
      <c r="E173" t="s">
        <v>116</v>
      </c>
      <c r="F173" t="s">
        <v>97</v>
      </c>
      <c r="G173" t="s">
        <v>86</v>
      </c>
      <c r="H173" t="s">
        <v>117</v>
      </c>
      <c r="I173" t="s">
        <v>172</v>
      </c>
      <c r="J173">
        <v>7</v>
      </c>
      <c r="K173" s="16">
        <v>45500</v>
      </c>
      <c r="L173" s="16">
        <v>35942.480000000003</v>
      </c>
      <c r="M173" s="16">
        <v>9557.52</v>
      </c>
      <c r="N173" t="s">
        <v>141</v>
      </c>
      <c r="O173" t="s">
        <v>113</v>
      </c>
      <c r="P173" t="str">
        <f t="shared" si="2"/>
        <v>Ahmedabad|Coffee Maker</v>
      </c>
    </row>
    <row r="174" spans="1:16" x14ac:dyDescent="0.3">
      <c r="A174" s="15">
        <v>46077</v>
      </c>
      <c r="B174" t="s">
        <v>34</v>
      </c>
      <c r="C174" t="s">
        <v>126</v>
      </c>
      <c r="D174" t="s">
        <v>196</v>
      </c>
      <c r="E174" t="s">
        <v>197</v>
      </c>
      <c r="F174" t="s">
        <v>97</v>
      </c>
      <c r="G174" t="s">
        <v>87</v>
      </c>
      <c r="H174" t="s">
        <v>139</v>
      </c>
      <c r="I174" t="s">
        <v>270</v>
      </c>
      <c r="J174">
        <v>7</v>
      </c>
      <c r="K174" s="16">
        <v>77000</v>
      </c>
      <c r="L174" s="16">
        <v>61494.28</v>
      </c>
      <c r="M174" s="16">
        <v>15505.72</v>
      </c>
      <c r="N174" t="s">
        <v>112</v>
      </c>
      <c r="O174" t="s">
        <v>113</v>
      </c>
      <c r="P174" t="str">
        <f t="shared" si="2"/>
        <v>Dwarka|Microwave</v>
      </c>
    </row>
    <row r="175" spans="1:16" x14ac:dyDescent="0.3">
      <c r="A175" s="15">
        <v>46035</v>
      </c>
      <c r="B175" t="s">
        <v>114</v>
      </c>
      <c r="C175" t="s">
        <v>152</v>
      </c>
      <c r="D175" t="s">
        <v>153</v>
      </c>
      <c r="E175" t="s">
        <v>154</v>
      </c>
      <c r="F175" t="s">
        <v>94</v>
      </c>
      <c r="G175" t="s">
        <v>61</v>
      </c>
      <c r="H175" t="s">
        <v>117</v>
      </c>
      <c r="I175" t="s">
        <v>283</v>
      </c>
      <c r="J175">
        <v>1</v>
      </c>
      <c r="K175" s="16">
        <v>68640</v>
      </c>
      <c r="L175" s="16">
        <v>55548.53</v>
      </c>
      <c r="M175" s="16">
        <v>13091.47</v>
      </c>
      <c r="N175" t="s">
        <v>131</v>
      </c>
      <c r="O175" t="s">
        <v>142</v>
      </c>
      <c r="P175" t="str">
        <f t="shared" si="2"/>
        <v>Coimbatore|Laptop Pro</v>
      </c>
    </row>
    <row r="176" spans="1:16" x14ac:dyDescent="0.3">
      <c r="A176" s="15">
        <v>46050</v>
      </c>
      <c r="B176" t="s">
        <v>34</v>
      </c>
      <c r="C176" t="s">
        <v>126</v>
      </c>
      <c r="D176" t="s">
        <v>196</v>
      </c>
      <c r="E176" t="s">
        <v>197</v>
      </c>
      <c r="F176" t="s">
        <v>97</v>
      </c>
      <c r="G176" t="s">
        <v>87</v>
      </c>
      <c r="H176" t="s">
        <v>117</v>
      </c>
      <c r="I176" t="s">
        <v>283</v>
      </c>
      <c r="J176">
        <v>2</v>
      </c>
      <c r="K176" s="16">
        <v>23750</v>
      </c>
      <c r="L176" s="16">
        <v>16856.099999999999</v>
      </c>
      <c r="M176" s="16">
        <v>6893.9</v>
      </c>
      <c r="N176" t="s">
        <v>141</v>
      </c>
      <c r="O176" t="s">
        <v>113</v>
      </c>
      <c r="P176" t="str">
        <f t="shared" si="2"/>
        <v>Dwarka|Microwave</v>
      </c>
    </row>
    <row r="177" spans="1:16" x14ac:dyDescent="0.3">
      <c r="A177" s="15">
        <v>46157</v>
      </c>
      <c r="B177" t="s">
        <v>34</v>
      </c>
      <c r="C177" t="s">
        <v>152</v>
      </c>
      <c r="D177" t="s">
        <v>156</v>
      </c>
      <c r="E177" t="s">
        <v>238</v>
      </c>
      <c r="F177" t="s">
        <v>94</v>
      </c>
      <c r="G177" t="s">
        <v>61</v>
      </c>
      <c r="H177" t="s">
        <v>135</v>
      </c>
      <c r="I177" t="s">
        <v>284</v>
      </c>
      <c r="J177">
        <v>8</v>
      </c>
      <c r="K177" s="16">
        <v>624000</v>
      </c>
      <c r="L177" s="16">
        <v>472757.54</v>
      </c>
      <c r="M177" s="16">
        <v>151242.46</v>
      </c>
      <c r="N177" t="s">
        <v>112</v>
      </c>
      <c r="O177" t="s">
        <v>142</v>
      </c>
      <c r="P177" t="str">
        <f t="shared" si="2"/>
        <v>Bengaluru|Laptop Pro</v>
      </c>
    </row>
    <row r="178" spans="1:16" x14ac:dyDescent="0.3">
      <c r="A178" s="15">
        <v>46082</v>
      </c>
      <c r="B178" t="s">
        <v>34</v>
      </c>
      <c r="C178" t="s">
        <v>126</v>
      </c>
      <c r="D178" t="s">
        <v>127</v>
      </c>
      <c r="E178" t="s">
        <v>128</v>
      </c>
      <c r="F178" t="s">
        <v>96</v>
      </c>
      <c r="G178" t="s">
        <v>80</v>
      </c>
      <c r="H178" t="s">
        <v>184</v>
      </c>
      <c r="I178" t="s">
        <v>259</v>
      </c>
      <c r="J178">
        <v>4</v>
      </c>
      <c r="K178" s="16">
        <v>47500</v>
      </c>
      <c r="L178" s="16">
        <v>35633.03</v>
      </c>
      <c r="M178" s="16">
        <v>11866.97</v>
      </c>
      <c r="N178" t="s">
        <v>125</v>
      </c>
      <c r="O178" t="s">
        <v>113</v>
      </c>
      <c r="P178" t="str">
        <f t="shared" si="2"/>
        <v>Gurugram|Office Chair</v>
      </c>
    </row>
    <row r="179" spans="1:16" x14ac:dyDescent="0.3">
      <c r="A179" s="15">
        <v>46071</v>
      </c>
      <c r="B179" t="s">
        <v>34</v>
      </c>
      <c r="C179" t="s">
        <v>121</v>
      </c>
      <c r="D179" t="s">
        <v>122</v>
      </c>
      <c r="E179" t="s">
        <v>166</v>
      </c>
      <c r="F179" t="s">
        <v>94</v>
      </c>
      <c r="G179" t="s">
        <v>64</v>
      </c>
      <c r="H179" t="s">
        <v>184</v>
      </c>
      <c r="I179" t="s">
        <v>285</v>
      </c>
      <c r="J179">
        <v>7</v>
      </c>
      <c r="K179" s="16">
        <v>142590</v>
      </c>
      <c r="L179" s="16">
        <v>96651.74</v>
      </c>
      <c r="M179" s="16">
        <v>45938.26</v>
      </c>
      <c r="N179" t="s">
        <v>131</v>
      </c>
      <c r="O179" t="s">
        <v>142</v>
      </c>
      <c r="P179" t="str">
        <f t="shared" si="2"/>
        <v>Kolkata|Monitor 27</v>
      </c>
    </row>
    <row r="180" spans="1:16" x14ac:dyDescent="0.3">
      <c r="A180" s="15">
        <v>46205</v>
      </c>
      <c r="B180" t="s">
        <v>114</v>
      </c>
      <c r="C180" t="s">
        <v>126</v>
      </c>
      <c r="D180" t="s">
        <v>127</v>
      </c>
      <c r="E180" t="s">
        <v>128</v>
      </c>
      <c r="F180" t="s">
        <v>97</v>
      </c>
      <c r="G180" t="s">
        <v>85</v>
      </c>
      <c r="H180" t="s">
        <v>135</v>
      </c>
      <c r="I180" t="s">
        <v>282</v>
      </c>
      <c r="J180">
        <v>9</v>
      </c>
      <c r="K180" s="16">
        <v>162000</v>
      </c>
      <c r="L180" s="16">
        <v>118434.82</v>
      </c>
      <c r="M180" s="16">
        <v>43565.18</v>
      </c>
      <c r="N180" t="s">
        <v>141</v>
      </c>
      <c r="O180" t="s">
        <v>119</v>
      </c>
      <c r="P180" t="str">
        <f t="shared" si="2"/>
        <v>Gurugram|Air Purifier</v>
      </c>
    </row>
    <row r="181" spans="1:16" x14ac:dyDescent="0.3">
      <c r="A181" s="15">
        <v>46078</v>
      </c>
      <c r="B181" t="s">
        <v>114</v>
      </c>
      <c r="C181" t="s">
        <v>152</v>
      </c>
      <c r="D181" t="s">
        <v>153</v>
      </c>
      <c r="E181" t="s">
        <v>154</v>
      </c>
      <c r="F181" t="s">
        <v>97</v>
      </c>
      <c r="G181" t="s">
        <v>87</v>
      </c>
      <c r="H181" t="s">
        <v>135</v>
      </c>
      <c r="I181" t="s">
        <v>286</v>
      </c>
      <c r="J181">
        <v>4</v>
      </c>
      <c r="K181" s="16">
        <v>47500</v>
      </c>
      <c r="L181" s="16">
        <v>33677.599999999999</v>
      </c>
      <c r="M181" s="16">
        <v>13822.4</v>
      </c>
      <c r="N181" t="s">
        <v>112</v>
      </c>
      <c r="O181" t="s">
        <v>113</v>
      </c>
      <c r="P181" t="str">
        <f t="shared" si="2"/>
        <v>Coimbatore|Microwave</v>
      </c>
    </row>
    <row r="182" spans="1:16" x14ac:dyDescent="0.3">
      <c r="A182" s="15">
        <v>46205</v>
      </c>
      <c r="B182" t="s">
        <v>34</v>
      </c>
      <c r="C182" t="s">
        <v>107</v>
      </c>
      <c r="D182" t="s">
        <v>149</v>
      </c>
      <c r="E182" t="s">
        <v>150</v>
      </c>
      <c r="F182" t="s">
        <v>94</v>
      </c>
      <c r="G182" t="s">
        <v>70</v>
      </c>
      <c r="H182" t="s">
        <v>184</v>
      </c>
      <c r="I182" t="s">
        <v>185</v>
      </c>
      <c r="J182">
        <v>4</v>
      </c>
      <c r="K182" s="16">
        <v>54560</v>
      </c>
      <c r="L182" s="16">
        <v>36636.86</v>
      </c>
      <c r="M182" s="16">
        <v>17923.14</v>
      </c>
      <c r="N182" t="s">
        <v>141</v>
      </c>
      <c r="O182" t="s">
        <v>113</v>
      </c>
      <c r="P182" t="str">
        <f t="shared" si="2"/>
        <v>Mumbai|Printer Pro</v>
      </c>
    </row>
    <row r="183" spans="1:16" x14ac:dyDescent="0.3">
      <c r="A183" s="15">
        <v>46137</v>
      </c>
      <c r="B183" t="s">
        <v>34</v>
      </c>
      <c r="C183" t="s">
        <v>107</v>
      </c>
      <c r="D183" t="s">
        <v>149</v>
      </c>
      <c r="E183" t="s">
        <v>159</v>
      </c>
      <c r="F183" t="s">
        <v>94</v>
      </c>
      <c r="G183" t="s">
        <v>61</v>
      </c>
      <c r="H183" t="s">
        <v>117</v>
      </c>
      <c r="I183" t="s">
        <v>218</v>
      </c>
      <c r="J183">
        <v>12</v>
      </c>
      <c r="K183" s="16">
        <v>907920</v>
      </c>
      <c r="L183" s="16">
        <v>635944.47</v>
      </c>
      <c r="M183" s="16">
        <v>271975.53000000003</v>
      </c>
      <c r="N183" t="s">
        <v>125</v>
      </c>
      <c r="O183" t="s">
        <v>119</v>
      </c>
      <c r="P183" t="str">
        <f t="shared" si="2"/>
        <v>Pune|Laptop Pro</v>
      </c>
    </row>
    <row r="184" spans="1:16" x14ac:dyDescent="0.3">
      <c r="A184" s="15">
        <v>46237</v>
      </c>
      <c r="B184" t="s">
        <v>114</v>
      </c>
      <c r="C184" t="s">
        <v>126</v>
      </c>
      <c r="D184" t="s">
        <v>162</v>
      </c>
      <c r="E184" t="s">
        <v>204</v>
      </c>
      <c r="F184" t="s">
        <v>97</v>
      </c>
      <c r="G184" t="s">
        <v>86</v>
      </c>
      <c r="H184" t="s">
        <v>110</v>
      </c>
      <c r="I184" t="s">
        <v>287</v>
      </c>
      <c r="J184">
        <v>2</v>
      </c>
      <c r="K184" s="16">
        <v>11440</v>
      </c>
      <c r="L184" s="16">
        <v>8277.66</v>
      </c>
      <c r="M184" s="16">
        <v>3162.34</v>
      </c>
      <c r="N184" t="s">
        <v>131</v>
      </c>
      <c r="O184" t="s">
        <v>113</v>
      </c>
      <c r="P184" t="str">
        <f t="shared" si="2"/>
        <v>Noida|Coffee Maker</v>
      </c>
    </row>
    <row r="185" spans="1:16" x14ac:dyDescent="0.3">
      <c r="A185" s="15">
        <v>46203</v>
      </c>
      <c r="B185" t="s">
        <v>34</v>
      </c>
      <c r="C185" t="s">
        <v>152</v>
      </c>
      <c r="D185" t="s">
        <v>156</v>
      </c>
      <c r="E185" t="s">
        <v>157</v>
      </c>
      <c r="F185" t="s">
        <v>96</v>
      </c>
      <c r="G185" t="s">
        <v>83</v>
      </c>
      <c r="H185" t="s">
        <v>133</v>
      </c>
      <c r="I185" t="s">
        <v>276</v>
      </c>
      <c r="J185">
        <v>8</v>
      </c>
      <c r="K185" s="16">
        <v>288000</v>
      </c>
      <c r="L185" s="16">
        <v>228321.82</v>
      </c>
      <c r="M185" s="16">
        <v>59678.18</v>
      </c>
      <c r="N185" t="s">
        <v>141</v>
      </c>
      <c r="O185" t="s">
        <v>113</v>
      </c>
      <c r="P185" t="str">
        <f t="shared" si="2"/>
        <v>Mysuru|Meeting Table</v>
      </c>
    </row>
    <row r="186" spans="1:16" x14ac:dyDescent="0.3">
      <c r="A186" s="15">
        <v>46114</v>
      </c>
      <c r="B186" t="s">
        <v>34</v>
      </c>
      <c r="C186" t="s">
        <v>121</v>
      </c>
      <c r="D186" t="s">
        <v>146</v>
      </c>
      <c r="E186" t="s">
        <v>175</v>
      </c>
      <c r="F186" t="s">
        <v>96</v>
      </c>
      <c r="G186" t="s">
        <v>84</v>
      </c>
      <c r="H186" t="s">
        <v>110</v>
      </c>
      <c r="I186" t="s">
        <v>288</v>
      </c>
      <c r="J186">
        <v>20</v>
      </c>
      <c r="K186" s="16">
        <v>281300</v>
      </c>
      <c r="L186" s="16">
        <v>197101.66</v>
      </c>
      <c r="M186" s="16">
        <v>84198.34</v>
      </c>
      <c r="N186" t="s">
        <v>125</v>
      </c>
      <c r="O186" t="s">
        <v>119</v>
      </c>
      <c r="P186" t="str">
        <f t="shared" si="2"/>
        <v>Dibrugarh|Filing Cabinet</v>
      </c>
    </row>
    <row r="187" spans="1:16" x14ac:dyDescent="0.3">
      <c r="A187" s="15">
        <v>46056</v>
      </c>
      <c r="B187" t="s">
        <v>34</v>
      </c>
      <c r="C187" t="s">
        <v>121</v>
      </c>
      <c r="D187" t="s">
        <v>137</v>
      </c>
      <c r="E187" t="s">
        <v>171</v>
      </c>
      <c r="F187" t="s">
        <v>97</v>
      </c>
      <c r="G187" t="s">
        <v>87</v>
      </c>
      <c r="H187" t="s">
        <v>135</v>
      </c>
      <c r="I187" t="s">
        <v>289</v>
      </c>
      <c r="J187">
        <v>4</v>
      </c>
      <c r="K187" s="16">
        <v>48500</v>
      </c>
      <c r="L187" s="16">
        <v>37159.53</v>
      </c>
      <c r="M187" s="16">
        <v>11340.47</v>
      </c>
      <c r="N187" t="s">
        <v>131</v>
      </c>
      <c r="O187" t="s">
        <v>113</v>
      </c>
      <c r="P187" t="str">
        <f t="shared" si="2"/>
        <v>Bhubaneswar|Microwave</v>
      </c>
    </row>
    <row r="188" spans="1:16" x14ac:dyDescent="0.3">
      <c r="A188" s="15">
        <v>46079</v>
      </c>
      <c r="B188" t="s">
        <v>114</v>
      </c>
      <c r="C188" t="s">
        <v>121</v>
      </c>
      <c r="D188" t="s">
        <v>122</v>
      </c>
      <c r="E188" t="s">
        <v>123</v>
      </c>
      <c r="F188" t="s">
        <v>94</v>
      </c>
      <c r="G188" t="s">
        <v>64</v>
      </c>
      <c r="H188" t="s">
        <v>139</v>
      </c>
      <c r="I188" t="s">
        <v>168</v>
      </c>
      <c r="J188">
        <v>4</v>
      </c>
      <c r="K188" s="16">
        <v>84000</v>
      </c>
      <c r="L188" s="16">
        <v>66227.12</v>
      </c>
      <c r="M188" s="16">
        <v>17772.88</v>
      </c>
      <c r="N188" t="s">
        <v>112</v>
      </c>
      <c r="O188" t="s">
        <v>113</v>
      </c>
      <c r="P188" t="str">
        <f t="shared" si="2"/>
        <v>Durgapur|Monitor 27</v>
      </c>
    </row>
    <row r="189" spans="1:16" x14ac:dyDescent="0.3">
      <c r="A189" s="15">
        <v>46078</v>
      </c>
      <c r="B189" t="s">
        <v>114</v>
      </c>
      <c r="C189" t="s">
        <v>107</v>
      </c>
      <c r="D189" t="s">
        <v>115</v>
      </c>
      <c r="E189" t="s">
        <v>116</v>
      </c>
      <c r="F189" t="s">
        <v>95</v>
      </c>
      <c r="G189" t="s">
        <v>78</v>
      </c>
      <c r="H189" t="s">
        <v>184</v>
      </c>
      <c r="I189" t="s">
        <v>247</v>
      </c>
      <c r="J189">
        <v>12</v>
      </c>
      <c r="K189" s="16">
        <v>46368</v>
      </c>
      <c r="L189" s="16">
        <v>37254.19</v>
      </c>
      <c r="M189" s="16">
        <v>9113.81</v>
      </c>
      <c r="N189" t="s">
        <v>141</v>
      </c>
      <c r="O189" t="s">
        <v>119</v>
      </c>
      <c r="P189" t="str">
        <f t="shared" si="2"/>
        <v>Ahmedabad|Webcam</v>
      </c>
    </row>
    <row r="190" spans="1:16" x14ac:dyDescent="0.3">
      <c r="A190" s="15">
        <v>46141</v>
      </c>
      <c r="B190" t="s">
        <v>34</v>
      </c>
      <c r="C190" t="s">
        <v>107</v>
      </c>
      <c r="D190" t="s">
        <v>108</v>
      </c>
      <c r="E190" t="s">
        <v>109</v>
      </c>
      <c r="F190" t="s">
        <v>94</v>
      </c>
      <c r="G190" t="s">
        <v>64</v>
      </c>
      <c r="H190" t="s">
        <v>139</v>
      </c>
      <c r="I190" t="s">
        <v>176</v>
      </c>
      <c r="J190">
        <v>11</v>
      </c>
      <c r="K190" s="16">
        <v>224070</v>
      </c>
      <c r="L190" s="16">
        <v>153205.23000000001</v>
      </c>
      <c r="M190" s="16">
        <v>70864.77</v>
      </c>
      <c r="N190" t="s">
        <v>131</v>
      </c>
      <c r="O190" t="s">
        <v>142</v>
      </c>
      <c r="P190" t="str">
        <f t="shared" si="2"/>
        <v>Udaipur|Monitor 27</v>
      </c>
    </row>
    <row r="191" spans="1:16" x14ac:dyDescent="0.3">
      <c r="A191" s="15">
        <v>46083</v>
      </c>
      <c r="B191" t="s">
        <v>120</v>
      </c>
      <c r="C191" t="s">
        <v>121</v>
      </c>
      <c r="D191" t="s">
        <v>122</v>
      </c>
      <c r="E191" t="s">
        <v>123</v>
      </c>
      <c r="F191" t="s">
        <v>97</v>
      </c>
      <c r="G191" t="s">
        <v>85</v>
      </c>
      <c r="H191" t="s">
        <v>117</v>
      </c>
      <c r="I191" t="s">
        <v>290</v>
      </c>
      <c r="J191">
        <v>19</v>
      </c>
      <c r="K191" s="16">
        <v>331740</v>
      </c>
      <c r="L191" s="16">
        <v>254328.33</v>
      </c>
      <c r="M191" s="16">
        <v>77411.67</v>
      </c>
      <c r="N191" t="s">
        <v>125</v>
      </c>
      <c r="O191" t="s">
        <v>113</v>
      </c>
      <c r="P191" t="str">
        <f t="shared" si="2"/>
        <v>Durgapur|Air Purifier</v>
      </c>
    </row>
    <row r="192" spans="1:16" x14ac:dyDescent="0.3">
      <c r="A192" s="15">
        <v>46174</v>
      </c>
      <c r="B192" t="s">
        <v>120</v>
      </c>
      <c r="C192" t="s">
        <v>107</v>
      </c>
      <c r="D192" t="s">
        <v>149</v>
      </c>
      <c r="E192" t="s">
        <v>150</v>
      </c>
      <c r="F192" t="s">
        <v>95</v>
      </c>
      <c r="G192" t="s">
        <v>72</v>
      </c>
      <c r="H192" t="s">
        <v>133</v>
      </c>
      <c r="I192" t="s">
        <v>288</v>
      </c>
      <c r="J192">
        <v>12</v>
      </c>
      <c r="K192" s="16">
        <v>36480</v>
      </c>
      <c r="L192" s="16">
        <v>23020.799999999999</v>
      </c>
      <c r="M192" s="16">
        <v>13459.2</v>
      </c>
      <c r="N192" t="s">
        <v>141</v>
      </c>
      <c r="O192" t="s">
        <v>119</v>
      </c>
      <c r="P192" t="str">
        <f t="shared" si="2"/>
        <v>Mumbai|Keyboard</v>
      </c>
    </row>
    <row r="193" spans="1:16" x14ac:dyDescent="0.3">
      <c r="A193" s="15">
        <v>46060</v>
      </c>
      <c r="B193" t="s">
        <v>34</v>
      </c>
      <c r="C193" t="s">
        <v>126</v>
      </c>
      <c r="D193" t="s">
        <v>127</v>
      </c>
      <c r="E193" t="s">
        <v>128</v>
      </c>
      <c r="F193" t="s">
        <v>94</v>
      </c>
      <c r="G193" t="s">
        <v>70</v>
      </c>
      <c r="H193" t="s">
        <v>117</v>
      </c>
      <c r="I193" t="s">
        <v>216</v>
      </c>
      <c r="J193">
        <v>1</v>
      </c>
      <c r="K193" s="16">
        <v>13640</v>
      </c>
      <c r="L193" s="16">
        <v>8840.6299999999992</v>
      </c>
      <c r="M193" s="16">
        <v>4799.37</v>
      </c>
      <c r="N193" t="s">
        <v>112</v>
      </c>
      <c r="O193" t="s">
        <v>113</v>
      </c>
      <c r="P193" t="str">
        <f t="shared" si="2"/>
        <v>Gurugram|Printer Pro</v>
      </c>
    </row>
    <row r="194" spans="1:16" x14ac:dyDescent="0.3">
      <c r="A194" s="15">
        <v>46189</v>
      </c>
      <c r="B194" t="s">
        <v>34</v>
      </c>
      <c r="C194" t="s">
        <v>107</v>
      </c>
      <c r="D194" t="s">
        <v>149</v>
      </c>
      <c r="E194" t="s">
        <v>159</v>
      </c>
      <c r="F194" t="s">
        <v>94</v>
      </c>
      <c r="G194" t="s">
        <v>70</v>
      </c>
      <c r="H194" t="s">
        <v>135</v>
      </c>
      <c r="I194" t="s">
        <v>291</v>
      </c>
      <c r="J194">
        <v>10</v>
      </c>
      <c r="K194" s="16">
        <v>155000</v>
      </c>
      <c r="L194" s="16">
        <v>108763.16</v>
      </c>
      <c r="M194" s="16">
        <v>46236.84</v>
      </c>
      <c r="N194" t="s">
        <v>125</v>
      </c>
      <c r="O194" t="s">
        <v>113</v>
      </c>
      <c r="P194" t="str">
        <f t="shared" si="2"/>
        <v>Pune|Printer Pro</v>
      </c>
    </row>
    <row r="195" spans="1:16" x14ac:dyDescent="0.3">
      <c r="A195" s="15">
        <v>46049</v>
      </c>
      <c r="B195" t="s">
        <v>34</v>
      </c>
      <c r="C195" t="s">
        <v>107</v>
      </c>
      <c r="D195" t="s">
        <v>149</v>
      </c>
      <c r="E195" t="s">
        <v>150</v>
      </c>
      <c r="F195" t="s">
        <v>95</v>
      </c>
      <c r="G195" t="s">
        <v>72</v>
      </c>
      <c r="H195" t="s">
        <v>117</v>
      </c>
      <c r="I195" t="s">
        <v>236</v>
      </c>
      <c r="J195">
        <v>8</v>
      </c>
      <c r="K195" s="16">
        <v>23552</v>
      </c>
      <c r="L195" s="16">
        <v>16799.29</v>
      </c>
      <c r="M195" s="16">
        <v>6752.71</v>
      </c>
      <c r="N195" t="s">
        <v>112</v>
      </c>
      <c r="O195" t="s">
        <v>142</v>
      </c>
      <c r="P195" t="str">
        <f t="shared" si="2"/>
        <v>Mumbai|Keyboard</v>
      </c>
    </row>
    <row r="196" spans="1:16" x14ac:dyDescent="0.3">
      <c r="A196" s="15">
        <v>46264</v>
      </c>
      <c r="B196" t="s">
        <v>34</v>
      </c>
      <c r="C196" t="s">
        <v>107</v>
      </c>
      <c r="D196" t="s">
        <v>115</v>
      </c>
      <c r="E196" t="s">
        <v>116</v>
      </c>
      <c r="F196" t="s">
        <v>97</v>
      </c>
      <c r="G196" t="s">
        <v>88</v>
      </c>
      <c r="H196" t="s">
        <v>135</v>
      </c>
      <c r="I196" t="s">
        <v>292</v>
      </c>
      <c r="J196">
        <v>4</v>
      </c>
      <c r="K196" s="16">
        <v>56260</v>
      </c>
      <c r="L196" s="16">
        <v>40275.089999999997</v>
      </c>
      <c r="M196" s="16">
        <v>15984.91</v>
      </c>
      <c r="N196" t="s">
        <v>131</v>
      </c>
      <c r="O196" t="s">
        <v>113</v>
      </c>
      <c r="P196" t="str">
        <f t="shared" si="2"/>
        <v>Ahmedabad|Vacuum Cleaner</v>
      </c>
    </row>
    <row r="197" spans="1:16" x14ac:dyDescent="0.3">
      <c r="A197" s="15">
        <v>46050</v>
      </c>
      <c r="B197" t="s">
        <v>34</v>
      </c>
      <c r="C197" t="s">
        <v>152</v>
      </c>
      <c r="D197" t="s">
        <v>156</v>
      </c>
      <c r="E197" t="s">
        <v>238</v>
      </c>
      <c r="F197" t="s">
        <v>97</v>
      </c>
      <c r="G197" t="s">
        <v>87</v>
      </c>
      <c r="H197" t="s">
        <v>110</v>
      </c>
      <c r="I197" t="s">
        <v>293</v>
      </c>
      <c r="J197">
        <v>2</v>
      </c>
      <c r="K197" s="16">
        <v>22000</v>
      </c>
      <c r="L197" s="16">
        <v>14760.19</v>
      </c>
      <c r="M197" s="16">
        <v>7239.81</v>
      </c>
      <c r="N197" t="s">
        <v>112</v>
      </c>
      <c r="O197" t="s">
        <v>113</v>
      </c>
      <c r="P197" t="str">
        <f t="shared" ref="P197:P260" si="3">E197&amp;"|"&amp;G197</f>
        <v>Bengaluru|Microwave</v>
      </c>
    </row>
    <row r="198" spans="1:16" x14ac:dyDescent="0.3">
      <c r="A198" s="15">
        <v>46040</v>
      </c>
      <c r="B198" t="s">
        <v>34</v>
      </c>
      <c r="C198" t="s">
        <v>152</v>
      </c>
      <c r="D198" t="s">
        <v>187</v>
      </c>
      <c r="E198" t="s">
        <v>199</v>
      </c>
      <c r="F198" t="s">
        <v>95</v>
      </c>
      <c r="G198" t="s">
        <v>76</v>
      </c>
      <c r="H198" t="s">
        <v>184</v>
      </c>
      <c r="I198" t="s">
        <v>268</v>
      </c>
      <c r="J198">
        <v>18</v>
      </c>
      <c r="K198" s="16">
        <v>32400</v>
      </c>
      <c r="L198" s="16">
        <v>22232.15</v>
      </c>
      <c r="M198" s="16">
        <v>10167.85</v>
      </c>
      <c r="N198" t="s">
        <v>125</v>
      </c>
      <c r="O198" t="s">
        <v>119</v>
      </c>
      <c r="P198" t="str">
        <f t="shared" si="3"/>
        <v>Hyderabad|Mouse</v>
      </c>
    </row>
    <row r="199" spans="1:16" x14ac:dyDescent="0.3">
      <c r="A199" s="15">
        <v>46142</v>
      </c>
      <c r="B199" t="s">
        <v>34</v>
      </c>
      <c r="C199" t="s">
        <v>126</v>
      </c>
      <c r="D199" t="s">
        <v>162</v>
      </c>
      <c r="E199" t="s">
        <v>204</v>
      </c>
      <c r="F199" t="s">
        <v>94</v>
      </c>
      <c r="G199" t="s">
        <v>61</v>
      </c>
      <c r="H199" t="s">
        <v>129</v>
      </c>
      <c r="I199" t="s">
        <v>294</v>
      </c>
      <c r="J199">
        <v>18</v>
      </c>
      <c r="K199" s="16">
        <v>1404000</v>
      </c>
      <c r="L199" s="16">
        <v>999660</v>
      </c>
      <c r="M199" s="16">
        <v>404340</v>
      </c>
      <c r="N199" t="s">
        <v>125</v>
      </c>
      <c r="O199" t="s">
        <v>119</v>
      </c>
      <c r="P199" t="str">
        <f t="shared" si="3"/>
        <v>Noida|Laptop Pro</v>
      </c>
    </row>
    <row r="200" spans="1:16" x14ac:dyDescent="0.3">
      <c r="A200" s="15">
        <v>46056</v>
      </c>
      <c r="B200" t="s">
        <v>34</v>
      </c>
      <c r="C200" t="s">
        <v>152</v>
      </c>
      <c r="D200" t="s">
        <v>187</v>
      </c>
      <c r="E200" t="s">
        <v>188</v>
      </c>
      <c r="F200" t="s">
        <v>94</v>
      </c>
      <c r="G200" t="s">
        <v>67</v>
      </c>
      <c r="H200" t="s">
        <v>173</v>
      </c>
      <c r="I200" t="s">
        <v>236</v>
      </c>
      <c r="J200">
        <v>15</v>
      </c>
      <c r="K200" s="16">
        <v>495000</v>
      </c>
      <c r="L200" s="16">
        <v>377838.1</v>
      </c>
      <c r="M200" s="16">
        <v>117161.9</v>
      </c>
      <c r="N200" t="s">
        <v>125</v>
      </c>
      <c r="O200" t="s">
        <v>113</v>
      </c>
      <c r="P200" t="str">
        <f t="shared" si="3"/>
        <v>Warangal|Tablet X</v>
      </c>
    </row>
    <row r="201" spans="1:16" x14ac:dyDescent="0.3">
      <c r="A201" s="15">
        <v>46226</v>
      </c>
      <c r="B201" t="s">
        <v>114</v>
      </c>
      <c r="C201" t="s">
        <v>121</v>
      </c>
      <c r="D201" t="s">
        <v>146</v>
      </c>
      <c r="E201" t="s">
        <v>147</v>
      </c>
      <c r="F201" t="s">
        <v>95</v>
      </c>
      <c r="G201" t="s">
        <v>72</v>
      </c>
      <c r="H201" t="s">
        <v>133</v>
      </c>
      <c r="I201" t="s">
        <v>218</v>
      </c>
      <c r="J201">
        <v>15</v>
      </c>
      <c r="K201" s="16">
        <v>48000</v>
      </c>
      <c r="L201" s="16">
        <v>32377.58</v>
      </c>
      <c r="M201" s="16">
        <v>15622.42</v>
      </c>
      <c r="N201" t="s">
        <v>112</v>
      </c>
      <c r="O201" t="s">
        <v>119</v>
      </c>
      <c r="P201" t="str">
        <f t="shared" si="3"/>
        <v>Guwahati|Keyboard</v>
      </c>
    </row>
    <row r="202" spans="1:16" x14ac:dyDescent="0.3">
      <c r="A202" s="15">
        <v>46219</v>
      </c>
      <c r="B202" t="s">
        <v>34</v>
      </c>
      <c r="C202" t="s">
        <v>107</v>
      </c>
      <c r="D202" t="s">
        <v>115</v>
      </c>
      <c r="E202" t="s">
        <v>116</v>
      </c>
      <c r="F202" t="s">
        <v>95</v>
      </c>
      <c r="G202" t="s">
        <v>76</v>
      </c>
      <c r="H202" t="s">
        <v>133</v>
      </c>
      <c r="I202" t="s">
        <v>295</v>
      </c>
      <c r="J202">
        <v>5</v>
      </c>
      <c r="K202" s="16">
        <v>8550</v>
      </c>
      <c r="L202" s="16">
        <v>5955.75</v>
      </c>
      <c r="M202" s="16">
        <v>2594.25</v>
      </c>
      <c r="N202" t="s">
        <v>125</v>
      </c>
      <c r="O202" t="s">
        <v>113</v>
      </c>
      <c r="P202" t="str">
        <f t="shared" si="3"/>
        <v>Ahmedabad|Mouse</v>
      </c>
    </row>
    <row r="203" spans="1:16" x14ac:dyDescent="0.3">
      <c r="A203" s="15">
        <v>46146</v>
      </c>
      <c r="B203" t="s">
        <v>120</v>
      </c>
      <c r="C203" t="s">
        <v>107</v>
      </c>
      <c r="D203" t="s">
        <v>115</v>
      </c>
      <c r="E203" t="s">
        <v>191</v>
      </c>
      <c r="F203" t="s">
        <v>96</v>
      </c>
      <c r="G203" t="s">
        <v>82</v>
      </c>
      <c r="H203" t="s">
        <v>129</v>
      </c>
      <c r="I203" t="s">
        <v>226</v>
      </c>
      <c r="J203">
        <v>12</v>
      </c>
      <c r="K203" s="16">
        <v>314640</v>
      </c>
      <c r="L203" s="16">
        <v>253009.45</v>
      </c>
      <c r="M203" s="16">
        <v>61630.55</v>
      </c>
      <c r="N203" t="s">
        <v>131</v>
      </c>
      <c r="O203" t="s">
        <v>113</v>
      </c>
      <c r="P203" t="str">
        <f t="shared" si="3"/>
        <v>Surat|Standing Desk</v>
      </c>
    </row>
    <row r="204" spans="1:16" x14ac:dyDescent="0.3">
      <c r="A204" s="15">
        <v>46118</v>
      </c>
      <c r="B204" t="s">
        <v>34</v>
      </c>
      <c r="C204" t="s">
        <v>107</v>
      </c>
      <c r="D204" t="s">
        <v>108</v>
      </c>
      <c r="E204" t="s">
        <v>109</v>
      </c>
      <c r="F204" t="s">
        <v>96</v>
      </c>
      <c r="G204" t="s">
        <v>80</v>
      </c>
      <c r="H204" t="s">
        <v>135</v>
      </c>
      <c r="I204" t="s">
        <v>296</v>
      </c>
      <c r="J204">
        <v>13</v>
      </c>
      <c r="K204" s="16">
        <v>162500</v>
      </c>
      <c r="L204" s="16">
        <v>107339.71</v>
      </c>
      <c r="M204" s="16">
        <v>55160.29</v>
      </c>
      <c r="N204" t="s">
        <v>141</v>
      </c>
      <c r="O204" t="s">
        <v>113</v>
      </c>
      <c r="P204" t="str">
        <f t="shared" si="3"/>
        <v>Udaipur|Office Chair</v>
      </c>
    </row>
    <row r="205" spans="1:16" x14ac:dyDescent="0.3">
      <c r="A205" s="15">
        <v>46025</v>
      </c>
      <c r="B205" t="s">
        <v>34</v>
      </c>
      <c r="C205" t="s">
        <v>107</v>
      </c>
      <c r="D205" t="s">
        <v>108</v>
      </c>
      <c r="E205" t="s">
        <v>132</v>
      </c>
      <c r="F205" t="s">
        <v>97</v>
      </c>
      <c r="G205" t="s">
        <v>85</v>
      </c>
      <c r="H205" t="s">
        <v>133</v>
      </c>
      <c r="I205" t="s">
        <v>183</v>
      </c>
      <c r="J205">
        <v>13</v>
      </c>
      <c r="K205" s="16">
        <v>226980</v>
      </c>
      <c r="L205" s="16">
        <v>163314.69</v>
      </c>
      <c r="M205" s="16">
        <v>63665.31</v>
      </c>
      <c r="N205" t="s">
        <v>112</v>
      </c>
      <c r="O205" t="s">
        <v>113</v>
      </c>
      <c r="P205" t="str">
        <f t="shared" si="3"/>
        <v>Jaipur|Air Purifier</v>
      </c>
    </row>
    <row r="206" spans="1:16" x14ac:dyDescent="0.3">
      <c r="A206" s="15">
        <v>46215</v>
      </c>
      <c r="B206" t="s">
        <v>120</v>
      </c>
      <c r="C206" t="s">
        <v>121</v>
      </c>
      <c r="D206" t="s">
        <v>122</v>
      </c>
      <c r="E206" t="s">
        <v>166</v>
      </c>
      <c r="F206" t="s">
        <v>95</v>
      </c>
      <c r="G206" t="s">
        <v>76</v>
      </c>
      <c r="H206" t="s">
        <v>135</v>
      </c>
      <c r="I206" t="s">
        <v>258</v>
      </c>
      <c r="J206">
        <v>7</v>
      </c>
      <c r="K206" s="16">
        <v>12600</v>
      </c>
      <c r="L206" s="16">
        <v>9895.07</v>
      </c>
      <c r="M206" s="16">
        <v>2704.93</v>
      </c>
      <c r="N206" t="s">
        <v>141</v>
      </c>
      <c r="O206" t="s">
        <v>142</v>
      </c>
      <c r="P206" t="str">
        <f t="shared" si="3"/>
        <v>Kolkata|Mouse</v>
      </c>
    </row>
    <row r="207" spans="1:16" x14ac:dyDescent="0.3">
      <c r="A207" s="15">
        <v>46119</v>
      </c>
      <c r="B207" t="s">
        <v>114</v>
      </c>
      <c r="C207" t="s">
        <v>152</v>
      </c>
      <c r="D207" t="s">
        <v>153</v>
      </c>
      <c r="E207" t="s">
        <v>154</v>
      </c>
      <c r="F207" t="s">
        <v>97</v>
      </c>
      <c r="G207" t="s">
        <v>87</v>
      </c>
      <c r="H207" t="s">
        <v>135</v>
      </c>
      <c r="I207" t="s">
        <v>297</v>
      </c>
      <c r="J207">
        <v>2</v>
      </c>
      <c r="K207" s="16">
        <v>25000</v>
      </c>
      <c r="L207" s="16">
        <v>18869.21</v>
      </c>
      <c r="M207" s="16">
        <v>6130.79</v>
      </c>
      <c r="N207" t="s">
        <v>131</v>
      </c>
      <c r="O207" t="s">
        <v>113</v>
      </c>
      <c r="P207" t="str">
        <f t="shared" si="3"/>
        <v>Coimbatore|Microwave</v>
      </c>
    </row>
    <row r="208" spans="1:16" x14ac:dyDescent="0.3">
      <c r="A208" s="15">
        <v>46132</v>
      </c>
      <c r="B208" t="s">
        <v>34</v>
      </c>
      <c r="C208" t="s">
        <v>152</v>
      </c>
      <c r="D208" t="s">
        <v>156</v>
      </c>
      <c r="E208" t="s">
        <v>238</v>
      </c>
      <c r="F208" t="s">
        <v>97</v>
      </c>
      <c r="G208" t="s">
        <v>86</v>
      </c>
      <c r="H208" t="s">
        <v>129</v>
      </c>
      <c r="I208" t="s">
        <v>298</v>
      </c>
      <c r="J208">
        <v>8</v>
      </c>
      <c r="K208" s="16">
        <v>45760</v>
      </c>
      <c r="L208" s="16">
        <v>33663.410000000003</v>
      </c>
      <c r="M208" s="16">
        <v>12096.59</v>
      </c>
      <c r="N208" t="s">
        <v>125</v>
      </c>
      <c r="O208" t="s">
        <v>142</v>
      </c>
      <c r="P208" t="str">
        <f t="shared" si="3"/>
        <v>Bengaluru|Coffee Maker</v>
      </c>
    </row>
    <row r="209" spans="1:16" x14ac:dyDescent="0.3">
      <c r="A209" s="15">
        <v>46078</v>
      </c>
      <c r="B209" t="s">
        <v>34</v>
      </c>
      <c r="C209" t="s">
        <v>126</v>
      </c>
      <c r="D209" t="s">
        <v>127</v>
      </c>
      <c r="E209" t="s">
        <v>143</v>
      </c>
      <c r="F209" t="s">
        <v>97</v>
      </c>
      <c r="G209" t="s">
        <v>85</v>
      </c>
      <c r="H209" t="s">
        <v>117</v>
      </c>
      <c r="I209" t="s">
        <v>299</v>
      </c>
      <c r="J209">
        <v>16</v>
      </c>
      <c r="K209" s="16">
        <v>264960</v>
      </c>
      <c r="L209" s="16">
        <v>177593.43</v>
      </c>
      <c r="M209" s="16">
        <v>87366.57</v>
      </c>
      <c r="N209" t="s">
        <v>131</v>
      </c>
      <c r="O209" t="s">
        <v>113</v>
      </c>
      <c r="P209" t="str">
        <f t="shared" si="3"/>
        <v>Faridabad|Air Purifier</v>
      </c>
    </row>
    <row r="210" spans="1:16" x14ac:dyDescent="0.3">
      <c r="A210" s="15">
        <v>46076</v>
      </c>
      <c r="B210" t="s">
        <v>34</v>
      </c>
      <c r="C210" t="s">
        <v>126</v>
      </c>
      <c r="D210" t="s">
        <v>162</v>
      </c>
      <c r="E210" t="s">
        <v>163</v>
      </c>
      <c r="F210" t="s">
        <v>94</v>
      </c>
      <c r="G210" t="s">
        <v>67</v>
      </c>
      <c r="H210" t="s">
        <v>139</v>
      </c>
      <c r="I210" t="s">
        <v>300</v>
      </c>
      <c r="J210">
        <v>5</v>
      </c>
      <c r="K210" s="16">
        <v>160050</v>
      </c>
      <c r="L210" s="16">
        <v>121054.11</v>
      </c>
      <c r="M210" s="16">
        <v>38995.89</v>
      </c>
      <c r="N210" t="s">
        <v>141</v>
      </c>
      <c r="O210" t="s">
        <v>113</v>
      </c>
      <c r="P210" t="str">
        <f t="shared" si="3"/>
        <v>Lucknow|Tablet X</v>
      </c>
    </row>
    <row r="211" spans="1:16" x14ac:dyDescent="0.3">
      <c r="A211" s="15">
        <v>46264</v>
      </c>
      <c r="B211" t="s">
        <v>34</v>
      </c>
      <c r="C211" t="s">
        <v>107</v>
      </c>
      <c r="D211" t="s">
        <v>108</v>
      </c>
      <c r="E211" t="s">
        <v>109</v>
      </c>
      <c r="F211" t="s">
        <v>94</v>
      </c>
      <c r="G211" t="s">
        <v>64</v>
      </c>
      <c r="H211" t="s">
        <v>110</v>
      </c>
      <c r="I211" t="s">
        <v>301</v>
      </c>
      <c r="J211">
        <v>6</v>
      </c>
      <c r="K211" s="16">
        <v>119700</v>
      </c>
      <c r="L211" s="16">
        <v>92378.55</v>
      </c>
      <c r="M211" s="16">
        <v>27321.45</v>
      </c>
      <c r="N211" t="s">
        <v>125</v>
      </c>
      <c r="O211" t="s">
        <v>113</v>
      </c>
      <c r="P211" t="str">
        <f t="shared" si="3"/>
        <v>Udaipur|Monitor 27</v>
      </c>
    </row>
    <row r="212" spans="1:16" x14ac:dyDescent="0.3">
      <c r="A212" s="15">
        <v>46223</v>
      </c>
      <c r="B212" t="s">
        <v>34</v>
      </c>
      <c r="C212" t="s">
        <v>107</v>
      </c>
      <c r="D212" t="s">
        <v>108</v>
      </c>
      <c r="E212" t="s">
        <v>109</v>
      </c>
      <c r="F212" t="s">
        <v>94</v>
      </c>
      <c r="G212" t="s">
        <v>61</v>
      </c>
      <c r="H212" t="s">
        <v>139</v>
      </c>
      <c r="I212" t="s">
        <v>302</v>
      </c>
      <c r="J212">
        <v>11</v>
      </c>
      <c r="K212" s="16">
        <v>815100</v>
      </c>
      <c r="L212" s="16">
        <v>639105.11</v>
      </c>
      <c r="M212" s="16">
        <v>175994.89</v>
      </c>
      <c r="N212" t="s">
        <v>131</v>
      </c>
      <c r="O212" t="s">
        <v>113</v>
      </c>
      <c r="P212" t="str">
        <f t="shared" si="3"/>
        <v>Udaipur|Laptop Pro</v>
      </c>
    </row>
    <row r="213" spans="1:16" x14ac:dyDescent="0.3">
      <c r="A213" s="15">
        <v>46052</v>
      </c>
      <c r="B213" t="s">
        <v>34</v>
      </c>
      <c r="C213" t="s">
        <v>107</v>
      </c>
      <c r="D213" t="s">
        <v>108</v>
      </c>
      <c r="E213" t="s">
        <v>132</v>
      </c>
      <c r="F213" t="s">
        <v>95</v>
      </c>
      <c r="G213" t="s">
        <v>74</v>
      </c>
      <c r="H213" t="s">
        <v>184</v>
      </c>
      <c r="I213" t="s">
        <v>251</v>
      </c>
      <c r="J213">
        <v>18</v>
      </c>
      <c r="K213" s="16">
        <v>83808</v>
      </c>
      <c r="L213" s="16">
        <v>58086.7</v>
      </c>
      <c r="M213" s="16">
        <v>25721.3</v>
      </c>
      <c r="N213" t="s">
        <v>112</v>
      </c>
      <c r="O213" t="s">
        <v>113</v>
      </c>
      <c r="P213" t="str">
        <f t="shared" si="3"/>
        <v>Jaipur|Headset</v>
      </c>
    </row>
    <row r="214" spans="1:16" x14ac:dyDescent="0.3">
      <c r="A214" s="15">
        <v>46202</v>
      </c>
      <c r="B214" t="s">
        <v>34</v>
      </c>
      <c r="C214" t="s">
        <v>107</v>
      </c>
      <c r="D214" t="s">
        <v>149</v>
      </c>
      <c r="E214" t="s">
        <v>150</v>
      </c>
      <c r="F214" t="s">
        <v>97</v>
      </c>
      <c r="G214" t="s">
        <v>87</v>
      </c>
      <c r="H214" t="s">
        <v>184</v>
      </c>
      <c r="I214" t="s">
        <v>222</v>
      </c>
      <c r="J214">
        <v>7</v>
      </c>
      <c r="K214" s="16">
        <v>83125</v>
      </c>
      <c r="L214" s="16">
        <v>53606.97</v>
      </c>
      <c r="M214" s="16">
        <v>29518.03</v>
      </c>
      <c r="N214" t="s">
        <v>131</v>
      </c>
      <c r="O214" t="s">
        <v>113</v>
      </c>
      <c r="P214" t="str">
        <f t="shared" si="3"/>
        <v>Mumbai|Microwave</v>
      </c>
    </row>
    <row r="215" spans="1:16" x14ac:dyDescent="0.3">
      <c r="A215" s="15">
        <v>46204</v>
      </c>
      <c r="B215" t="s">
        <v>34</v>
      </c>
      <c r="C215" t="s">
        <v>126</v>
      </c>
      <c r="D215" t="s">
        <v>162</v>
      </c>
      <c r="E215" t="s">
        <v>204</v>
      </c>
      <c r="F215" t="s">
        <v>95</v>
      </c>
      <c r="G215" t="s">
        <v>76</v>
      </c>
      <c r="H215" t="s">
        <v>117</v>
      </c>
      <c r="I215" t="s">
        <v>168</v>
      </c>
      <c r="J215">
        <v>5</v>
      </c>
      <c r="K215" s="16">
        <v>8280</v>
      </c>
      <c r="L215" s="16">
        <v>5616.11</v>
      </c>
      <c r="M215" s="16">
        <v>2663.89</v>
      </c>
      <c r="N215" t="s">
        <v>112</v>
      </c>
      <c r="O215" t="s">
        <v>113</v>
      </c>
      <c r="P215" t="str">
        <f t="shared" si="3"/>
        <v>Noida|Mouse</v>
      </c>
    </row>
    <row r="216" spans="1:16" x14ac:dyDescent="0.3">
      <c r="A216" s="15">
        <v>46033</v>
      </c>
      <c r="B216" t="s">
        <v>34</v>
      </c>
      <c r="C216" t="s">
        <v>152</v>
      </c>
      <c r="D216" t="s">
        <v>156</v>
      </c>
      <c r="E216" t="s">
        <v>157</v>
      </c>
      <c r="F216" t="s">
        <v>97</v>
      </c>
      <c r="G216" t="s">
        <v>88</v>
      </c>
      <c r="H216" t="s">
        <v>139</v>
      </c>
      <c r="I216" t="s">
        <v>299</v>
      </c>
      <c r="J216">
        <v>18</v>
      </c>
      <c r="K216" s="16">
        <v>253170</v>
      </c>
      <c r="L216" s="16">
        <v>174858.95</v>
      </c>
      <c r="M216" s="16">
        <v>78311.05</v>
      </c>
      <c r="N216" t="s">
        <v>141</v>
      </c>
      <c r="O216" t="s">
        <v>113</v>
      </c>
      <c r="P216" t="str">
        <f t="shared" si="3"/>
        <v>Mysuru|Vacuum Cleaner</v>
      </c>
    </row>
    <row r="217" spans="1:16" x14ac:dyDescent="0.3">
      <c r="A217" s="15">
        <v>46065</v>
      </c>
      <c r="B217" t="s">
        <v>34</v>
      </c>
      <c r="C217" t="s">
        <v>152</v>
      </c>
      <c r="D217" t="s">
        <v>153</v>
      </c>
      <c r="E217" t="s">
        <v>154</v>
      </c>
      <c r="F217" t="s">
        <v>96</v>
      </c>
      <c r="G217" t="s">
        <v>80</v>
      </c>
      <c r="H217" t="s">
        <v>129</v>
      </c>
      <c r="I217" t="s">
        <v>269</v>
      </c>
      <c r="J217">
        <v>4</v>
      </c>
      <c r="K217" s="16">
        <v>47500</v>
      </c>
      <c r="L217" s="16">
        <v>36262.5</v>
      </c>
      <c r="M217" s="16">
        <v>11237.5</v>
      </c>
      <c r="N217" t="s">
        <v>112</v>
      </c>
      <c r="O217" t="s">
        <v>119</v>
      </c>
      <c r="P217" t="str">
        <f t="shared" si="3"/>
        <v>Coimbatore|Office Chair</v>
      </c>
    </row>
    <row r="218" spans="1:16" x14ac:dyDescent="0.3">
      <c r="A218" s="15">
        <v>46174</v>
      </c>
      <c r="B218" t="s">
        <v>34</v>
      </c>
      <c r="C218" t="s">
        <v>121</v>
      </c>
      <c r="D218" t="s">
        <v>122</v>
      </c>
      <c r="E218" t="s">
        <v>166</v>
      </c>
      <c r="F218" t="s">
        <v>96</v>
      </c>
      <c r="G218" t="s">
        <v>84</v>
      </c>
      <c r="H218" t="s">
        <v>135</v>
      </c>
      <c r="I218" t="s">
        <v>270</v>
      </c>
      <c r="J218">
        <v>19</v>
      </c>
      <c r="K218" s="16">
        <v>275500</v>
      </c>
      <c r="L218" s="16">
        <v>220357.61</v>
      </c>
      <c r="M218" s="16">
        <v>55142.39</v>
      </c>
      <c r="N218" t="s">
        <v>125</v>
      </c>
      <c r="O218" t="s">
        <v>142</v>
      </c>
      <c r="P218" t="str">
        <f t="shared" si="3"/>
        <v>Kolkata|Filing Cabinet</v>
      </c>
    </row>
    <row r="219" spans="1:16" x14ac:dyDescent="0.3">
      <c r="A219" s="15">
        <v>46030</v>
      </c>
      <c r="B219" t="s">
        <v>34</v>
      </c>
      <c r="C219" t="s">
        <v>126</v>
      </c>
      <c r="D219" t="s">
        <v>196</v>
      </c>
      <c r="E219" t="s">
        <v>197</v>
      </c>
      <c r="F219" t="s">
        <v>96</v>
      </c>
      <c r="G219" t="s">
        <v>80</v>
      </c>
      <c r="H219" t="s">
        <v>139</v>
      </c>
      <c r="I219" t="s">
        <v>303</v>
      </c>
      <c r="J219">
        <v>20</v>
      </c>
      <c r="K219" s="16">
        <v>237500</v>
      </c>
      <c r="L219" s="16">
        <v>192336.44</v>
      </c>
      <c r="M219" s="16">
        <v>45163.56</v>
      </c>
      <c r="N219" t="s">
        <v>131</v>
      </c>
      <c r="O219" t="s">
        <v>119</v>
      </c>
      <c r="P219" t="str">
        <f t="shared" si="3"/>
        <v>Dwarka|Office Chair</v>
      </c>
    </row>
    <row r="220" spans="1:16" x14ac:dyDescent="0.3">
      <c r="A220" s="15">
        <v>46204</v>
      </c>
      <c r="B220" t="s">
        <v>34</v>
      </c>
      <c r="C220" t="s">
        <v>107</v>
      </c>
      <c r="D220" t="s">
        <v>115</v>
      </c>
      <c r="E220" t="s">
        <v>191</v>
      </c>
      <c r="F220" t="s">
        <v>94</v>
      </c>
      <c r="G220" t="s">
        <v>70</v>
      </c>
      <c r="H220" t="s">
        <v>135</v>
      </c>
      <c r="I220" t="s">
        <v>215</v>
      </c>
      <c r="J220">
        <v>20</v>
      </c>
      <c r="K220" s="16">
        <v>285200</v>
      </c>
      <c r="L220" s="16">
        <v>192100.92</v>
      </c>
      <c r="M220" s="16">
        <v>93099.08</v>
      </c>
      <c r="N220" t="s">
        <v>112</v>
      </c>
      <c r="O220" t="s">
        <v>142</v>
      </c>
      <c r="P220" t="str">
        <f t="shared" si="3"/>
        <v>Surat|Printer Pro</v>
      </c>
    </row>
    <row r="221" spans="1:16" x14ac:dyDescent="0.3">
      <c r="A221" s="15">
        <v>46079</v>
      </c>
      <c r="B221" t="s">
        <v>120</v>
      </c>
      <c r="C221" t="s">
        <v>121</v>
      </c>
      <c r="D221" t="s">
        <v>122</v>
      </c>
      <c r="E221" t="s">
        <v>123</v>
      </c>
      <c r="F221" t="s">
        <v>97</v>
      </c>
      <c r="G221" t="s">
        <v>85</v>
      </c>
      <c r="H221" t="s">
        <v>129</v>
      </c>
      <c r="I221" t="s">
        <v>167</v>
      </c>
      <c r="J221">
        <v>3</v>
      </c>
      <c r="K221" s="16">
        <v>52380</v>
      </c>
      <c r="L221" s="16">
        <v>35743.25</v>
      </c>
      <c r="M221" s="16">
        <v>16636.75</v>
      </c>
      <c r="N221" t="s">
        <v>131</v>
      </c>
      <c r="O221" t="s">
        <v>119</v>
      </c>
      <c r="P221" t="str">
        <f t="shared" si="3"/>
        <v>Durgapur|Air Purifier</v>
      </c>
    </row>
    <row r="222" spans="1:16" x14ac:dyDescent="0.3">
      <c r="A222" s="15">
        <v>46188</v>
      </c>
      <c r="B222" t="s">
        <v>120</v>
      </c>
      <c r="C222" t="s">
        <v>126</v>
      </c>
      <c r="D222" t="s">
        <v>196</v>
      </c>
      <c r="E222" t="s">
        <v>197</v>
      </c>
      <c r="F222" t="s">
        <v>94</v>
      </c>
      <c r="G222" t="s">
        <v>64</v>
      </c>
      <c r="H222" t="s">
        <v>129</v>
      </c>
      <c r="I222" t="s">
        <v>182</v>
      </c>
      <c r="J222">
        <v>3</v>
      </c>
      <c r="K222" s="16">
        <v>63000</v>
      </c>
      <c r="L222" s="16">
        <v>45574.33</v>
      </c>
      <c r="M222" s="16">
        <v>17425.669999999998</v>
      </c>
      <c r="N222" t="s">
        <v>131</v>
      </c>
      <c r="O222" t="s">
        <v>113</v>
      </c>
      <c r="P222" t="str">
        <f t="shared" si="3"/>
        <v>Dwarka|Monitor 27</v>
      </c>
    </row>
    <row r="223" spans="1:16" x14ac:dyDescent="0.3">
      <c r="A223" s="15">
        <v>46058</v>
      </c>
      <c r="B223" t="s">
        <v>34</v>
      </c>
      <c r="C223" t="s">
        <v>121</v>
      </c>
      <c r="D223" t="s">
        <v>137</v>
      </c>
      <c r="E223" t="s">
        <v>138</v>
      </c>
      <c r="F223" t="s">
        <v>96</v>
      </c>
      <c r="G223" t="s">
        <v>80</v>
      </c>
      <c r="H223" t="s">
        <v>117</v>
      </c>
      <c r="I223" t="s">
        <v>155</v>
      </c>
      <c r="J223">
        <v>17</v>
      </c>
      <c r="K223" s="16">
        <v>187000</v>
      </c>
      <c r="L223" s="16">
        <v>136767.93</v>
      </c>
      <c r="M223" s="16">
        <v>50232.07</v>
      </c>
      <c r="N223" t="s">
        <v>131</v>
      </c>
      <c r="O223" t="s">
        <v>113</v>
      </c>
      <c r="P223" t="str">
        <f t="shared" si="3"/>
        <v>Cuttack|Office Chair</v>
      </c>
    </row>
    <row r="224" spans="1:16" x14ac:dyDescent="0.3">
      <c r="A224" s="15">
        <v>46098</v>
      </c>
      <c r="B224" t="s">
        <v>34</v>
      </c>
      <c r="C224" t="s">
        <v>121</v>
      </c>
      <c r="D224" t="s">
        <v>122</v>
      </c>
      <c r="E224" t="s">
        <v>166</v>
      </c>
      <c r="F224" t="s">
        <v>94</v>
      </c>
      <c r="G224" t="s">
        <v>70</v>
      </c>
      <c r="H224" t="s">
        <v>110</v>
      </c>
      <c r="I224" t="s">
        <v>236</v>
      </c>
      <c r="J224">
        <v>9</v>
      </c>
      <c r="K224" s="16">
        <v>128340</v>
      </c>
      <c r="L224" s="16">
        <v>96528.47</v>
      </c>
      <c r="M224" s="16">
        <v>31811.53</v>
      </c>
      <c r="N224" t="s">
        <v>131</v>
      </c>
      <c r="O224" t="s">
        <v>142</v>
      </c>
      <c r="P224" t="str">
        <f t="shared" si="3"/>
        <v>Kolkata|Printer Pro</v>
      </c>
    </row>
    <row r="225" spans="1:16" x14ac:dyDescent="0.3">
      <c r="A225" s="15">
        <v>46043</v>
      </c>
      <c r="B225" t="s">
        <v>34</v>
      </c>
      <c r="C225" t="s">
        <v>121</v>
      </c>
      <c r="D225" t="s">
        <v>122</v>
      </c>
      <c r="E225" t="s">
        <v>123</v>
      </c>
      <c r="F225" t="s">
        <v>94</v>
      </c>
      <c r="G225" t="s">
        <v>70</v>
      </c>
      <c r="H225" t="s">
        <v>173</v>
      </c>
      <c r="I225" t="s">
        <v>253</v>
      </c>
      <c r="J225">
        <v>9</v>
      </c>
      <c r="K225" s="16">
        <v>139500</v>
      </c>
      <c r="L225" s="16">
        <v>110787.22</v>
      </c>
      <c r="M225" s="16">
        <v>28712.78</v>
      </c>
      <c r="N225" t="s">
        <v>112</v>
      </c>
      <c r="O225" t="s">
        <v>142</v>
      </c>
      <c r="P225" t="str">
        <f t="shared" si="3"/>
        <v>Durgapur|Printer Pro</v>
      </c>
    </row>
    <row r="226" spans="1:16" x14ac:dyDescent="0.3">
      <c r="A226" s="15">
        <v>46213</v>
      </c>
      <c r="B226" t="s">
        <v>114</v>
      </c>
      <c r="C226" t="s">
        <v>152</v>
      </c>
      <c r="D226" t="s">
        <v>153</v>
      </c>
      <c r="E226" t="s">
        <v>154</v>
      </c>
      <c r="F226" t="s">
        <v>96</v>
      </c>
      <c r="G226" t="s">
        <v>80</v>
      </c>
      <c r="H226" t="s">
        <v>110</v>
      </c>
      <c r="I226" t="s">
        <v>304</v>
      </c>
      <c r="J226">
        <v>2</v>
      </c>
      <c r="K226" s="16">
        <v>25000</v>
      </c>
      <c r="L226" s="16">
        <v>16947.03</v>
      </c>
      <c r="M226" s="16">
        <v>8052.97</v>
      </c>
      <c r="N226" t="s">
        <v>112</v>
      </c>
      <c r="O226" t="s">
        <v>119</v>
      </c>
      <c r="P226" t="str">
        <f t="shared" si="3"/>
        <v>Coimbatore|Office Chair</v>
      </c>
    </row>
    <row r="227" spans="1:16" x14ac:dyDescent="0.3">
      <c r="A227" s="15">
        <v>46086</v>
      </c>
      <c r="B227" t="s">
        <v>34</v>
      </c>
      <c r="C227" t="s">
        <v>126</v>
      </c>
      <c r="D227" t="s">
        <v>162</v>
      </c>
      <c r="E227" t="s">
        <v>163</v>
      </c>
      <c r="F227" t="s">
        <v>95</v>
      </c>
      <c r="G227" t="s">
        <v>74</v>
      </c>
      <c r="H227" t="s">
        <v>129</v>
      </c>
      <c r="I227" t="s">
        <v>195</v>
      </c>
      <c r="J227">
        <v>8</v>
      </c>
      <c r="K227" s="16">
        <v>38400</v>
      </c>
      <c r="L227" s="16">
        <v>27799.95</v>
      </c>
      <c r="M227" s="16">
        <v>10600.05</v>
      </c>
      <c r="N227" t="s">
        <v>131</v>
      </c>
      <c r="O227" t="s">
        <v>113</v>
      </c>
      <c r="P227" t="str">
        <f t="shared" si="3"/>
        <v>Lucknow|Headset</v>
      </c>
    </row>
    <row r="228" spans="1:16" x14ac:dyDescent="0.3">
      <c r="A228" s="15">
        <v>46193</v>
      </c>
      <c r="B228" t="s">
        <v>114</v>
      </c>
      <c r="C228" t="s">
        <v>121</v>
      </c>
      <c r="D228" t="s">
        <v>137</v>
      </c>
      <c r="E228" t="s">
        <v>171</v>
      </c>
      <c r="F228" t="s">
        <v>96</v>
      </c>
      <c r="G228" t="s">
        <v>82</v>
      </c>
      <c r="H228" t="s">
        <v>117</v>
      </c>
      <c r="I228" t="s">
        <v>305</v>
      </c>
      <c r="J228">
        <v>17</v>
      </c>
      <c r="K228" s="16">
        <v>445740</v>
      </c>
      <c r="L228" s="16">
        <v>309843.73</v>
      </c>
      <c r="M228" s="16">
        <v>135896.26999999999</v>
      </c>
      <c r="N228" t="s">
        <v>141</v>
      </c>
      <c r="O228" t="s">
        <v>142</v>
      </c>
      <c r="P228" t="str">
        <f t="shared" si="3"/>
        <v>Bhubaneswar|Standing Desk</v>
      </c>
    </row>
    <row r="229" spans="1:16" x14ac:dyDescent="0.3">
      <c r="A229" s="15">
        <v>46104</v>
      </c>
      <c r="B229" t="s">
        <v>34</v>
      </c>
      <c r="C229" t="s">
        <v>152</v>
      </c>
      <c r="D229" t="s">
        <v>156</v>
      </c>
      <c r="E229" t="s">
        <v>157</v>
      </c>
      <c r="F229" t="s">
        <v>97</v>
      </c>
      <c r="G229" t="s">
        <v>88</v>
      </c>
      <c r="H229" t="s">
        <v>117</v>
      </c>
      <c r="I229" t="s">
        <v>259</v>
      </c>
      <c r="J229">
        <v>13</v>
      </c>
      <c r="K229" s="16">
        <v>188500</v>
      </c>
      <c r="L229" s="16">
        <v>121719.39</v>
      </c>
      <c r="M229" s="16">
        <v>66780.61</v>
      </c>
      <c r="N229" t="s">
        <v>125</v>
      </c>
      <c r="O229" t="s">
        <v>119</v>
      </c>
      <c r="P229" t="str">
        <f t="shared" si="3"/>
        <v>Mysuru|Vacuum Cleaner</v>
      </c>
    </row>
    <row r="230" spans="1:16" x14ac:dyDescent="0.3">
      <c r="A230" s="15">
        <v>46128</v>
      </c>
      <c r="B230" t="s">
        <v>34</v>
      </c>
      <c r="C230" t="s">
        <v>107</v>
      </c>
      <c r="D230" t="s">
        <v>115</v>
      </c>
      <c r="E230" t="s">
        <v>191</v>
      </c>
      <c r="F230" t="s">
        <v>95</v>
      </c>
      <c r="G230" t="s">
        <v>78</v>
      </c>
      <c r="H230" t="s">
        <v>135</v>
      </c>
      <c r="I230" t="s">
        <v>275</v>
      </c>
      <c r="J230">
        <v>10</v>
      </c>
      <c r="K230" s="16">
        <v>40740</v>
      </c>
      <c r="L230" s="16">
        <v>31522.9</v>
      </c>
      <c r="M230" s="16">
        <v>9217.1</v>
      </c>
      <c r="N230" t="s">
        <v>141</v>
      </c>
      <c r="O230" t="s">
        <v>119</v>
      </c>
      <c r="P230" t="str">
        <f t="shared" si="3"/>
        <v>Surat|Webcam</v>
      </c>
    </row>
    <row r="231" spans="1:16" x14ac:dyDescent="0.3">
      <c r="A231" s="15">
        <v>46252</v>
      </c>
      <c r="B231" t="s">
        <v>120</v>
      </c>
      <c r="C231" t="s">
        <v>126</v>
      </c>
      <c r="D231" t="s">
        <v>127</v>
      </c>
      <c r="E231" t="s">
        <v>128</v>
      </c>
      <c r="F231" t="s">
        <v>95</v>
      </c>
      <c r="G231" t="s">
        <v>78</v>
      </c>
      <c r="H231" t="s">
        <v>117</v>
      </c>
      <c r="I231" t="s">
        <v>306</v>
      </c>
      <c r="J231">
        <v>6</v>
      </c>
      <c r="K231" s="16">
        <v>24444</v>
      </c>
      <c r="L231" s="16">
        <v>17046.05</v>
      </c>
      <c r="M231" s="16">
        <v>7397.95</v>
      </c>
      <c r="N231" t="s">
        <v>112</v>
      </c>
      <c r="O231" t="s">
        <v>142</v>
      </c>
      <c r="P231" t="str">
        <f t="shared" si="3"/>
        <v>Gurugram|Webcam</v>
      </c>
    </row>
    <row r="232" spans="1:16" x14ac:dyDescent="0.3">
      <c r="A232" s="15">
        <v>46242</v>
      </c>
      <c r="B232" t="s">
        <v>120</v>
      </c>
      <c r="C232" t="s">
        <v>152</v>
      </c>
      <c r="D232" t="s">
        <v>153</v>
      </c>
      <c r="E232" t="s">
        <v>154</v>
      </c>
      <c r="F232" t="s">
        <v>94</v>
      </c>
      <c r="G232" t="s">
        <v>61</v>
      </c>
      <c r="H232" t="s">
        <v>117</v>
      </c>
      <c r="I232" t="s">
        <v>292</v>
      </c>
      <c r="J232">
        <v>11</v>
      </c>
      <c r="K232" s="16">
        <v>755040</v>
      </c>
      <c r="L232" s="16">
        <v>531606.01</v>
      </c>
      <c r="M232" s="16">
        <v>223433.99</v>
      </c>
      <c r="N232" t="s">
        <v>131</v>
      </c>
      <c r="O232" t="s">
        <v>142</v>
      </c>
      <c r="P232" t="str">
        <f t="shared" si="3"/>
        <v>Coimbatore|Laptop Pro</v>
      </c>
    </row>
    <row r="233" spans="1:16" x14ac:dyDescent="0.3">
      <c r="A233" s="15">
        <v>46168</v>
      </c>
      <c r="B233" t="s">
        <v>34</v>
      </c>
      <c r="C233" t="s">
        <v>121</v>
      </c>
      <c r="D233" t="s">
        <v>122</v>
      </c>
      <c r="E233" t="s">
        <v>123</v>
      </c>
      <c r="F233" t="s">
        <v>97</v>
      </c>
      <c r="G233" t="s">
        <v>86</v>
      </c>
      <c r="H233" t="s">
        <v>117</v>
      </c>
      <c r="I233" t="s">
        <v>307</v>
      </c>
      <c r="J233">
        <v>16</v>
      </c>
      <c r="K233" s="16">
        <v>104000</v>
      </c>
      <c r="L233" s="16">
        <v>77354.41</v>
      </c>
      <c r="M233" s="16">
        <v>26645.59</v>
      </c>
      <c r="N233" t="s">
        <v>131</v>
      </c>
      <c r="O233" t="s">
        <v>113</v>
      </c>
      <c r="P233" t="str">
        <f t="shared" si="3"/>
        <v>Durgapur|Coffee Maker</v>
      </c>
    </row>
    <row r="234" spans="1:16" x14ac:dyDescent="0.3">
      <c r="A234" s="15">
        <v>46260</v>
      </c>
      <c r="B234" t="s">
        <v>34</v>
      </c>
      <c r="C234" t="s">
        <v>107</v>
      </c>
      <c r="D234" t="s">
        <v>149</v>
      </c>
      <c r="E234" t="s">
        <v>159</v>
      </c>
      <c r="F234" t="s">
        <v>95</v>
      </c>
      <c r="G234" t="s">
        <v>78</v>
      </c>
      <c r="H234" t="s">
        <v>117</v>
      </c>
      <c r="I234" t="s">
        <v>237</v>
      </c>
      <c r="J234">
        <v>8</v>
      </c>
      <c r="K234" s="16">
        <v>33600</v>
      </c>
      <c r="L234" s="16">
        <v>25574.68</v>
      </c>
      <c r="M234" s="16">
        <v>8025.32</v>
      </c>
      <c r="N234" t="s">
        <v>125</v>
      </c>
      <c r="O234" t="s">
        <v>113</v>
      </c>
      <c r="P234" t="str">
        <f t="shared" si="3"/>
        <v>Pune|Webcam</v>
      </c>
    </row>
    <row r="235" spans="1:16" x14ac:dyDescent="0.3">
      <c r="A235" s="15">
        <v>46181</v>
      </c>
      <c r="B235" t="s">
        <v>34</v>
      </c>
      <c r="C235" t="s">
        <v>107</v>
      </c>
      <c r="D235" t="s">
        <v>108</v>
      </c>
      <c r="E235" t="s">
        <v>132</v>
      </c>
      <c r="F235" t="s">
        <v>96</v>
      </c>
      <c r="G235" t="s">
        <v>83</v>
      </c>
      <c r="H235" t="s">
        <v>173</v>
      </c>
      <c r="I235" t="s">
        <v>124</v>
      </c>
      <c r="J235">
        <v>14</v>
      </c>
      <c r="K235" s="16">
        <v>504000</v>
      </c>
      <c r="L235" s="16">
        <v>376704.67</v>
      </c>
      <c r="M235" s="16">
        <v>127295.33</v>
      </c>
      <c r="N235" t="s">
        <v>141</v>
      </c>
      <c r="O235" t="s">
        <v>119</v>
      </c>
      <c r="P235" t="str">
        <f t="shared" si="3"/>
        <v>Jaipur|Meeting Table</v>
      </c>
    </row>
    <row r="236" spans="1:16" x14ac:dyDescent="0.3">
      <c r="A236" s="15">
        <v>46050</v>
      </c>
      <c r="B236" t="s">
        <v>34</v>
      </c>
      <c r="C236" t="s">
        <v>121</v>
      </c>
      <c r="D236" t="s">
        <v>137</v>
      </c>
      <c r="E236" t="s">
        <v>171</v>
      </c>
      <c r="F236" t="s">
        <v>97</v>
      </c>
      <c r="G236" t="s">
        <v>86</v>
      </c>
      <c r="H236" t="s">
        <v>110</v>
      </c>
      <c r="I236" t="s">
        <v>295</v>
      </c>
      <c r="J236">
        <v>19</v>
      </c>
      <c r="K236" s="16">
        <v>119795</v>
      </c>
      <c r="L236" s="16">
        <v>74678.95</v>
      </c>
      <c r="M236" s="16">
        <v>45116.05</v>
      </c>
      <c r="N236" t="s">
        <v>141</v>
      </c>
      <c r="O236" t="s">
        <v>113</v>
      </c>
      <c r="P236" t="str">
        <f t="shared" si="3"/>
        <v>Bhubaneswar|Coffee Maker</v>
      </c>
    </row>
    <row r="237" spans="1:16" x14ac:dyDescent="0.3">
      <c r="A237" s="15">
        <v>46047</v>
      </c>
      <c r="B237" t="s">
        <v>114</v>
      </c>
      <c r="C237" t="s">
        <v>152</v>
      </c>
      <c r="D237" t="s">
        <v>153</v>
      </c>
      <c r="E237" t="s">
        <v>169</v>
      </c>
      <c r="F237" t="s">
        <v>96</v>
      </c>
      <c r="G237" t="s">
        <v>80</v>
      </c>
      <c r="H237" t="s">
        <v>135</v>
      </c>
      <c r="I237" t="s">
        <v>210</v>
      </c>
      <c r="J237">
        <v>19</v>
      </c>
      <c r="K237" s="16">
        <v>225625</v>
      </c>
      <c r="L237" s="16">
        <v>174916.11</v>
      </c>
      <c r="M237" s="16">
        <v>50708.89</v>
      </c>
      <c r="N237" t="s">
        <v>141</v>
      </c>
      <c r="O237" t="s">
        <v>113</v>
      </c>
      <c r="P237" t="str">
        <f t="shared" si="3"/>
        <v>Chennai|Office Chair</v>
      </c>
    </row>
    <row r="238" spans="1:16" x14ac:dyDescent="0.3">
      <c r="A238" s="15">
        <v>46177</v>
      </c>
      <c r="B238" t="s">
        <v>34</v>
      </c>
      <c r="C238" t="s">
        <v>126</v>
      </c>
      <c r="D238" t="s">
        <v>127</v>
      </c>
      <c r="E238" t="s">
        <v>143</v>
      </c>
      <c r="F238" t="s">
        <v>96</v>
      </c>
      <c r="G238" t="s">
        <v>80</v>
      </c>
      <c r="H238" t="s">
        <v>117</v>
      </c>
      <c r="I238" t="s">
        <v>264</v>
      </c>
      <c r="J238">
        <v>13</v>
      </c>
      <c r="K238" s="16">
        <v>157625</v>
      </c>
      <c r="L238" s="16">
        <v>113330.37</v>
      </c>
      <c r="M238" s="16">
        <v>44294.63</v>
      </c>
      <c r="N238" t="s">
        <v>112</v>
      </c>
      <c r="O238" t="s">
        <v>113</v>
      </c>
      <c r="P238" t="str">
        <f t="shared" si="3"/>
        <v>Faridabad|Office Chair</v>
      </c>
    </row>
    <row r="239" spans="1:16" x14ac:dyDescent="0.3">
      <c r="A239" s="15">
        <v>46094</v>
      </c>
      <c r="B239" t="s">
        <v>114</v>
      </c>
      <c r="C239" t="s">
        <v>107</v>
      </c>
      <c r="D239" t="s">
        <v>115</v>
      </c>
      <c r="E239" t="s">
        <v>116</v>
      </c>
      <c r="F239" t="s">
        <v>96</v>
      </c>
      <c r="G239" t="s">
        <v>82</v>
      </c>
      <c r="H239" t="s">
        <v>110</v>
      </c>
      <c r="I239" t="s">
        <v>276</v>
      </c>
      <c r="J239">
        <v>1</v>
      </c>
      <c r="K239" s="16">
        <v>25080</v>
      </c>
      <c r="L239" s="16">
        <v>19519.580000000002</v>
      </c>
      <c r="M239" s="16">
        <v>5560.42</v>
      </c>
      <c r="N239" t="s">
        <v>141</v>
      </c>
      <c r="O239" t="s">
        <v>119</v>
      </c>
      <c r="P239" t="str">
        <f t="shared" si="3"/>
        <v>Ahmedabad|Standing Desk</v>
      </c>
    </row>
    <row r="240" spans="1:16" x14ac:dyDescent="0.3">
      <c r="A240" s="15">
        <v>46108</v>
      </c>
      <c r="B240" t="s">
        <v>34</v>
      </c>
      <c r="C240" t="s">
        <v>126</v>
      </c>
      <c r="D240" t="s">
        <v>196</v>
      </c>
      <c r="E240" t="s">
        <v>208</v>
      </c>
      <c r="F240" t="s">
        <v>97</v>
      </c>
      <c r="G240" t="s">
        <v>85</v>
      </c>
      <c r="H240" t="s">
        <v>139</v>
      </c>
      <c r="I240" t="s">
        <v>190</v>
      </c>
      <c r="J240">
        <v>4</v>
      </c>
      <c r="K240" s="16">
        <v>63360</v>
      </c>
      <c r="L240" s="16">
        <v>49952.95</v>
      </c>
      <c r="M240" s="16">
        <v>13407.05</v>
      </c>
      <c r="N240" t="s">
        <v>112</v>
      </c>
      <c r="O240" t="s">
        <v>119</v>
      </c>
      <c r="P240" t="str">
        <f t="shared" si="3"/>
        <v>New Delhi|Air Purifier</v>
      </c>
    </row>
    <row r="241" spans="1:16" x14ac:dyDescent="0.3">
      <c r="A241" s="15">
        <v>46122</v>
      </c>
      <c r="B241" t="s">
        <v>114</v>
      </c>
      <c r="C241" t="s">
        <v>121</v>
      </c>
      <c r="D241" t="s">
        <v>146</v>
      </c>
      <c r="E241" t="s">
        <v>175</v>
      </c>
      <c r="F241" t="s">
        <v>97</v>
      </c>
      <c r="G241" t="s">
        <v>85</v>
      </c>
      <c r="H241" t="s">
        <v>117</v>
      </c>
      <c r="I241" t="s">
        <v>160</v>
      </c>
      <c r="J241">
        <v>2</v>
      </c>
      <c r="K241" s="16">
        <v>36000</v>
      </c>
      <c r="L241" s="16">
        <v>24501.11</v>
      </c>
      <c r="M241" s="16">
        <v>11498.89</v>
      </c>
      <c r="N241" t="s">
        <v>125</v>
      </c>
      <c r="O241" t="s">
        <v>113</v>
      </c>
      <c r="P241" t="str">
        <f t="shared" si="3"/>
        <v>Dibrugarh|Air Purifier</v>
      </c>
    </row>
    <row r="242" spans="1:16" x14ac:dyDescent="0.3">
      <c r="A242" s="15">
        <v>46235</v>
      </c>
      <c r="B242" t="s">
        <v>34</v>
      </c>
      <c r="C242" t="s">
        <v>126</v>
      </c>
      <c r="D242" t="s">
        <v>162</v>
      </c>
      <c r="E242" t="s">
        <v>163</v>
      </c>
      <c r="F242" t="s">
        <v>95</v>
      </c>
      <c r="G242" t="s">
        <v>72</v>
      </c>
      <c r="H242" t="s">
        <v>129</v>
      </c>
      <c r="I242" t="s">
        <v>234</v>
      </c>
      <c r="J242">
        <v>3</v>
      </c>
      <c r="K242" s="16">
        <v>9600</v>
      </c>
      <c r="L242" s="16">
        <v>7738.39</v>
      </c>
      <c r="M242" s="16">
        <v>1861.61</v>
      </c>
      <c r="N242" t="s">
        <v>141</v>
      </c>
      <c r="O242" t="s">
        <v>142</v>
      </c>
      <c r="P242" t="str">
        <f t="shared" si="3"/>
        <v>Lucknow|Keyboard</v>
      </c>
    </row>
    <row r="243" spans="1:16" x14ac:dyDescent="0.3">
      <c r="A243" s="15">
        <v>46160</v>
      </c>
      <c r="B243" t="s">
        <v>34</v>
      </c>
      <c r="C243" t="s">
        <v>152</v>
      </c>
      <c r="D243" t="s">
        <v>156</v>
      </c>
      <c r="E243" t="s">
        <v>238</v>
      </c>
      <c r="F243" t="s">
        <v>97</v>
      </c>
      <c r="G243" t="s">
        <v>87</v>
      </c>
      <c r="H243" t="s">
        <v>133</v>
      </c>
      <c r="I243" t="s">
        <v>308</v>
      </c>
      <c r="J243">
        <v>7</v>
      </c>
      <c r="K243" s="16">
        <v>84875</v>
      </c>
      <c r="L243" s="16">
        <v>53729.26</v>
      </c>
      <c r="M243" s="16">
        <v>31145.74</v>
      </c>
      <c r="N243" t="s">
        <v>112</v>
      </c>
      <c r="O243" t="s">
        <v>113</v>
      </c>
      <c r="P243" t="str">
        <f t="shared" si="3"/>
        <v>Bengaluru|Microwave</v>
      </c>
    </row>
    <row r="244" spans="1:16" x14ac:dyDescent="0.3">
      <c r="A244" s="15">
        <v>46195</v>
      </c>
      <c r="B244" t="s">
        <v>34</v>
      </c>
      <c r="C244" t="s">
        <v>107</v>
      </c>
      <c r="D244" t="s">
        <v>149</v>
      </c>
      <c r="E244" t="s">
        <v>159</v>
      </c>
      <c r="F244" t="s">
        <v>96</v>
      </c>
      <c r="G244" t="s">
        <v>82</v>
      </c>
      <c r="H244" t="s">
        <v>173</v>
      </c>
      <c r="I244" t="s">
        <v>309</v>
      </c>
      <c r="J244">
        <v>1</v>
      </c>
      <c r="K244" s="16">
        <v>28500</v>
      </c>
      <c r="L244" s="16">
        <v>19860.87</v>
      </c>
      <c r="M244" s="16">
        <v>8639.1299999999992</v>
      </c>
      <c r="N244" t="s">
        <v>131</v>
      </c>
      <c r="O244" t="s">
        <v>113</v>
      </c>
      <c r="P244" t="str">
        <f t="shared" si="3"/>
        <v>Pune|Standing Desk</v>
      </c>
    </row>
    <row r="245" spans="1:16" x14ac:dyDescent="0.3">
      <c r="A245" s="15">
        <v>46143</v>
      </c>
      <c r="B245" t="s">
        <v>120</v>
      </c>
      <c r="C245" t="s">
        <v>152</v>
      </c>
      <c r="D245" t="s">
        <v>156</v>
      </c>
      <c r="E245" t="s">
        <v>157</v>
      </c>
      <c r="F245" t="s">
        <v>94</v>
      </c>
      <c r="G245" t="s">
        <v>70</v>
      </c>
      <c r="H245" t="s">
        <v>110</v>
      </c>
      <c r="I245" t="s">
        <v>310</v>
      </c>
      <c r="J245">
        <v>8</v>
      </c>
      <c r="K245" s="16">
        <v>124000</v>
      </c>
      <c r="L245" s="16">
        <v>84695.84</v>
      </c>
      <c r="M245" s="16">
        <v>39304.160000000003</v>
      </c>
      <c r="N245" t="s">
        <v>141</v>
      </c>
      <c r="O245" t="s">
        <v>113</v>
      </c>
      <c r="P245" t="str">
        <f t="shared" si="3"/>
        <v>Mysuru|Printer Pro</v>
      </c>
    </row>
    <row r="246" spans="1:16" x14ac:dyDescent="0.3">
      <c r="A246" s="15">
        <v>46180</v>
      </c>
      <c r="B246" t="s">
        <v>34</v>
      </c>
      <c r="C246" t="s">
        <v>107</v>
      </c>
      <c r="D246" t="s">
        <v>149</v>
      </c>
      <c r="E246" t="s">
        <v>159</v>
      </c>
      <c r="F246" t="s">
        <v>97</v>
      </c>
      <c r="G246" t="s">
        <v>85</v>
      </c>
      <c r="H246" t="s">
        <v>129</v>
      </c>
      <c r="I246" t="s">
        <v>311</v>
      </c>
      <c r="J246">
        <v>17</v>
      </c>
      <c r="K246" s="16">
        <v>269280</v>
      </c>
      <c r="L246" s="16">
        <v>219742.54</v>
      </c>
      <c r="M246" s="16">
        <v>49537.46</v>
      </c>
      <c r="N246" t="s">
        <v>125</v>
      </c>
      <c r="O246" t="s">
        <v>142</v>
      </c>
      <c r="P246" t="str">
        <f t="shared" si="3"/>
        <v>Pune|Air Purifier</v>
      </c>
    </row>
    <row r="247" spans="1:16" x14ac:dyDescent="0.3">
      <c r="A247" s="15">
        <v>46250</v>
      </c>
      <c r="B247" t="s">
        <v>34</v>
      </c>
      <c r="C247" t="s">
        <v>107</v>
      </c>
      <c r="D247" t="s">
        <v>149</v>
      </c>
      <c r="E247" t="s">
        <v>150</v>
      </c>
      <c r="F247" t="s">
        <v>96</v>
      </c>
      <c r="G247" t="s">
        <v>83</v>
      </c>
      <c r="H247" t="s">
        <v>129</v>
      </c>
      <c r="I247" t="s">
        <v>229</v>
      </c>
      <c r="J247">
        <v>6</v>
      </c>
      <c r="K247" s="16">
        <v>205200</v>
      </c>
      <c r="L247" s="16">
        <v>129597.8</v>
      </c>
      <c r="M247" s="16">
        <v>75602.2</v>
      </c>
      <c r="N247" t="s">
        <v>141</v>
      </c>
      <c r="O247" t="s">
        <v>113</v>
      </c>
      <c r="P247" t="str">
        <f t="shared" si="3"/>
        <v>Mumbai|Meeting Table</v>
      </c>
    </row>
    <row r="248" spans="1:16" x14ac:dyDescent="0.3">
      <c r="A248" s="15">
        <v>46110</v>
      </c>
      <c r="B248" t="s">
        <v>34</v>
      </c>
      <c r="C248" t="s">
        <v>107</v>
      </c>
      <c r="D248" t="s">
        <v>115</v>
      </c>
      <c r="E248" t="s">
        <v>191</v>
      </c>
      <c r="F248" t="s">
        <v>97</v>
      </c>
      <c r="G248" t="s">
        <v>85</v>
      </c>
      <c r="H248" t="s">
        <v>110</v>
      </c>
      <c r="I248" t="s">
        <v>284</v>
      </c>
      <c r="J248">
        <v>11</v>
      </c>
      <c r="K248" s="16">
        <v>198000</v>
      </c>
      <c r="L248" s="16">
        <v>132023.91</v>
      </c>
      <c r="M248" s="16">
        <v>65976.09</v>
      </c>
      <c r="N248" t="s">
        <v>131</v>
      </c>
      <c r="O248" t="s">
        <v>119</v>
      </c>
      <c r="P248" t="str">
        <f t="shared" si="3"/>
        <v>Surat|Air Purifier</v>
      </c>
    </row>
    <row r="249" spans="1:16" x14ac:dyDescent="0.3">
      <c r="A249" s="15">
        <v>46188</v>
      </c>
      <c r="B249" t="s">
        <v>120</v>
      </c>
      <c r="C249" t="s">
        <v>126</v>
      </c>
      <c r="D249" t="s">
        <v>162</v>
      </c>
      <c r="E249" t="s">
        <v>163</v>
      </c>
      <c r="F249" t="s">
        <v>96</v>
      </c>
      <c r="G249" t="s">
        <v>82</v>
      </c>
      <c r="H249" t="s">
        <v>117</v>
      </c>
      <c r="I249" t="s">
        <v>111</v>
      </c>
      <c r="J249">
        <v>8</v>
      </c>
      <c r="K249" s="16">
        <v>228000</v>
      </c>
      <c r="L249" s="16">
        <v>173331.04</v>
      </c>
      <c r="M249" s="16">
        <v>54668.959999999999</v>
      </c>
      <c r="N249" t="s">
        <v>131</v>
      </c>
      <c r="O249" t="s">
        <v>142</v>
      </c>
      <c r="P249" t="str">
        <f t="shared" si="3"/>
        <v>Lucknow|Standing Desk</v>
      </c>
    </row>
    <row r="250" spans="1:16" x14ac:dyDescent="0.3">
      <c r="A250" s="15">
        <v>46204</v>
      </c>
      <c r="B250" t="s">
        <v>114</v>
      </c>
      <c r="C250" t="s">
        <v>152</v>
      </c>
      <c r="D250" t="s">
        <v>156</v>
      </c>
      <c r="E250" t="s">
        <v>238</v>
      </c>
      <c r="F250" t="s">
        <v>95</v>
      </c>
      <c r="G250" t="s">
        <v>74</v>
      </c>
      <c r="H250" t="s">
        <v>110</v>
      </c>
      <c r="I250" t="s">
        <v>312</v>
      </c>
      <c r="J250">
        <v>13</v>
      </c>
      <c r="K250" s="16">
        <v>62400</v>
      </c>
      <c r="L250" s="16">
        <v>38898.35</v>
      </c>
      <c r="M250" s="16">
        <v>23501.65</v>
      </c>
      <c r="N250" t="s">
        <v>125</v>
      </c>
      <c r="O250" t="s">
        <v>113</v>
      </c>
      <c r="P250" t="str">
        <f t="shared" si="3"/>
        <v>Bengaluru|Headset</v>
      </c>
    </row>
    <row r="251" spans="1:16" x14ac:dyDescent="0.3">
      <c r="A251" s="15">
        <v>46262</v>
      </c>
      <c r="B251" t="s">
        <v>34</v>
      </c>
      <c r="C251" t="s">
        <v>126</v>
      </c>
      <c r="D251" t="s">
        <v>196</v>
      </c>
      <c r="E251" t="s">
        <v>208</v>
      </c>
      <c r="F251" t="s">
        <v>94</v>
      </c>
      <c r="G251" t="s">
        <v>61</v>
      </c>
      <c r="H251" t="s">
        <v>117</v>
      </c>
      <c r="I251" t="s">
        <v>313</v>
      </c>
      <c r="J251">
        <v>16</v>
      </c>
      <c r="K251" s="16">
        <v>1185600</v>
      </c>
      <c r="L251" s="16">
        <v>952883.51</v>
      </c>
      <c r="M251" s="16">
        <v>232716.49</v>
      </c>
      <c r="N251" t="s">
        <v>112</v>
      </c>
      <c r="O251" t="s">
        <v>113</v>
      </c>
      <c r="P251" t="str">
        <f t="shared" si="3"/>
        <v>New Delhi|Laptop Pro</v>
      </c>
    </row>
    <row r="252" spans="1:16" x14ac:dyDescent="0.3">
      <c r="A252" s="15">
        <v>46170</v>
      </c>
      <c r="B252" t="s">
        <v>34</v>
      </c>
      <c r="C252" t="s">
        <v>107</v>
      </c>
      <c r="D252" t="s">
        <v>108</v>
      </c>
      <c r="E252" t="s">
        <v>132</v>
      </c>
      <c r="F252" t="s">
        <v>95</v>
      </c>
      <c r="G252" t="s">
        <v>74</v>
      </c>
      <c r="H252" t="s">
        <v>133</v>
      </c>
      <c r="I252" t="s">
        <v>314</v>
      </c>
      <c r="J252">
        <v>15</v>
      </c>
      <c r="K252" s="16">
        <v>68400</v>
      </c>
      <c r="L252" s="16">
        <v>55895.6</v>
      </c>
      <c r="M252" s="16">
        <v>12504.4</v>
      </c>
      <c r="N252" t="s">
        <v>131</v>
      </c>
      <c r="O252" t="s">
        <v>113</v>
      </c>
      <c r="P252" t="str">
        <f t="shared" si="3"/>
        <v>Jaipur|Headset</v>
      </c>
    </row>
    <row r="253" spans="1:16" x14ac:dyDescent="0.3">
      <c r="A253" s="15">
        <v>46264</v>
      </c>
      <c r="B253" t="s">
        <v>34</v>
      </c>
      <c r="C253" t="s">
        <v>121</v>
      </c>
      <c r="D253" t="s">
        <v>137</v>
      </c>
      <c r="E253" t="s">
        <v>171</v>
      </c>
      <c r="F253" t="s">
        <v>94</v>
      </c>
      <c r="G253" t="s">
        <v>64</v>
      </c>
      <c r="H253" t="s">
        <v>117</v>
      </c>
      <c r="I253" t="s">
        <v>111</v>
      </c>
      <c r="J253">
        <v>20</v>
      </c>
      <c r="K253" s="16">
        <v>399000</v>
      </c>
      <c r="L253" s="16">
        <v>300866.2</v>
      </c>
      <c r="M253" s="16">
        <v>98133.8</v>
      </c>
      <c r="N253" t="s">
        <v>141</v>
      </c>
      <c r="O253" t="s">
        <v>119</v>
      </c>
      <c r="P253" t="str">
        <f t="shared" si="3"/>
        <v>Bhubaneswar|Monitor 27</v>
      </c>
    </row>
    <row r="254" spans="1:16" x14ac:dyDescent="0.3">
      <c r="A254" s="15">
        <v>46232</v>
      </c>
      <c r="B254" t="s">
        <v>34</v>
      </c>
      <c r="C254" t="s">
        <v>152</v>
      </c>
      <c r="D254" t="s">
        <v>153</v>
      </c>
      <c r="E254" t="s">
        <v>154</v>
      </c>
      <c r="F254" t="s">
        <v>97</v>
      </c>
      <c r="G254" t="s">
        <v>87</v>
      </c>
      <c r="H254" t="s">
        <v>184</v>
      </c>
      <c r="I254" t="s">
        <v>145</v>
      </c>
      <c r="J254">
        <v>8</v>
      </c>
      <c r="K254" s="16">
        <v>95000</v>
      </c>
      <c r="L254" s="16">
        <v>72365.7</v>
      </c>
      <c r="M254" s="16">
        <v>22634.3</v>
      </c>
      <c r="N254" t="s">
        <v>141</v>
      </c>
      <c r="O254" t="s">
        <v>113</v>
      </c>
      <c r="P254" t="str">
        <f t="shared" si="3"/>
        <v>Coimbatore|Microwave</v>
      </c>
    </row>
    <row r="255" spans="1:16" x14ac:dyDescent="0.3">
      <c r="A255" s="15">
        <v>46062</v>
      </c>
      <c r="B255" t="s">
        <v>34</v>
      </c>
      <c r="C255" t="s">
        <v>121</v>
      </c>
      <c r="D255" t="s">
        <v>122</v>
      </c>
      <c r="E255" t="s">
        <v>123</v>
      </c>
      <c r="F255" t="s">
        <v>95</v>
      </c>
      <c r="G255" t="s">
        <v>74</v>
      </c>
      <c r="H255" t="s">
        <v>129</v>
      </c>
      <c r="I255" t="s">
        <v>315</v>
      </c>
      <c r="J255">
        <v>5</v>
      </c>
      <c r="K255" s="16">
        <v>21120</v>
      </c>
      <c r="L255" s="16">
        <v>16418.77</v>
      </c>
      <c r="M255" s="16">
        <v>4701.2299999999996</v>
      </c>
      <c r="N255" t="s">
        <v>131</v>
      </c>
      <c r="O255" t="s">
        <v>119</v>
      </c>
      <c r="P255" t="str">
        <f t="shared" si="3"/>
        <v>Durgapur|Headset</v>
      </c>
    </row>
    <row r="256" spans="1:16" x14ac:dyDescent="0.3">
      <c r="A256" s="15">
        <v>46238</v>
      </c>
      <c r="B256" t="s">
        <v>114</v>
      </c>
      <c r="C256" t="s">
        <v>126</v>
      </c>
      <c r="D256" t="s">
        <v>127</v>
      </c>
      <c r="E256" t="s">
        <v>143</v>
      </c>
      <c r="F256" t="s">
        <v>96</v>
      </c>
      <c r="G256" t="s">
        <v>80</v>
      </c>
      <c r="H256" t="s">
        <v>117</v>
      </c>
      <c r="I256" t="s">
        <v>217</v>
      </c>
      <c r="J256">
        <v>13</v>
      </c>
      <c r="K256" s="16">
        <v>157625</v>
      </c>
      <c r="L256" s="16">
        <v>112214.39</v>
      </c>
      <c r="M256" s="16">
        <v>45410.61</v>
      </c>
      <c r="N256" t="s">
        <v>131</v>
      </c>
      <c r="O256" t="s">
        <v>113</v>
      </c>
      <c r="P256" t="str">
        <f t="shared" si="3"/>
        <v>Faridabad|Office Chair</v>
      </c>
    </row>
    <row r="257" spans="1:16" x14ac:dyDescent="0.3">
      <c r="A257" s="15">
        <v>46195</v>
      </c>
      <c r="B257" t="s">
        <v>34</v>
      </c>
      <c r="C257" t="s">
        <v>126</v>
      </c>
      <c r="D257" t="s">
        <v>127</v>
      </c>
      <c r="E257" t="s">
        <v>128</v>
      </c>
      <c r="F257" t="s">
        <v>97</v>
      </c>
      <c r="G257" t="s">
        <v>85</v>
      </c>
      <c r="H257" t="s">
        <v>173</v>
      </c>
      <c r="I257" t="s">
        <v>220</v>
      </c>
      <c r="J257">
        <v>12</v>
      </c>
      <c r="K257" s="16">
        <v>216000</v>
      </c>
      <c r="L257" s="16">
        <v>175684.51</v>
      </c>
      <c r="M257" s="16">
        <v>40315.49</v>
      </c>
      <c r="N257" t="s">
        <v>141</v>
      </c>
      <c r="O257" t="s">
        <v>113</v>
      </c>
      <c r="P257" t="str">
        <f t="shared" si="3"/>
        <v>Gurugram|Air Purifier</v>
      </c>
    </row>
    <row r="258" spans="1:16" x14ac:dyDescent="0.3">
      <c r="A258" s="15">
        <v>46030</v>
      </c>
      <c r="B258" t="s">
        <v>34</v>
      </c>
      <c r="C258" t="s">
        <v>152</v>
      </c>
      <c r="D258" t="s">
        <v>153</v>
      </c>
      <c r="E258" t="s">
        <v>154</v>
      </c>
      <c r="F258" t="s">
        <v>95</v>
      </c>
      <c r="G258" t="s">
        <v>76</v>
      </c>
      <c r="H258" t="s">
        <v>117</v>
      </c>
      <c r="I258" t="s">
        <v>218</v>
      </c>
      <c r="J258">
        <v>8</v>
      </c>
      <c r="K258" s="16">
        <v>13248</v>
      </c>
      <c r="L258" s="16">
        <v>10403.31</v>
      </c>
      <c r="M258" s="16">
        <v>2844.69</v>
      </c>
      <c r="N258" t="s">
        <v>131</v>
      </c>
      <c r="O258" t="s">
        <v>113</v>
      </c>
      <c r="P258" t="str">
        <f t="shared" si="3"/>
        <v>Coimbatore|Mouse</v>
      </c>
    </row>
    <row r="259" spans="1:16" x14ac:dyDescent="0.3">
      <c r="A259" s="15">
        <v>46179</v>
      </c>
      <c r="B259" t="s">
        <v>34</v>
      </c>
      <c r="C259" t="s">
        <v>152</v>
      </c>
      <c r="D259" t="s">
        <v>187</v>
      </c>
      <c r="E259" t="s">
        <v>188</v>
      </c>
      <c r="F259" t="s">
        <v>96</v>
      </c>
      <c r="G259" t="s">
        <v>80</v>
      </c>
      <c r="H259" t="s">
        <v>129</v>
      </c>
      <c r="I259" t="s">
        <v>316</v>
      </c>
      <c r="J259">
        <v>12</v>
      </c>
      <c r="K259" s="16">
        <v>138000</v>
      </c>
      <c r="L259" s="16">
        <v>102886.46</v>
      </c>
      <c r="M259" s="16">
        <v>35113.54</v>
      </c>
      <c r="N259" t="s">
        <v>141</v>
      </c>
      <c r="O259" t="s">
        <v>113</v>
      </c>
      <c r="P259" t="str">
        <f t="shared" si="3"/>
        <v>Warangal|Office Chair</v>
      </c>
    </row>
    <row r="260" spans="1:16" x14ac:dyDescent="0.3">
      <c r="A260" s="15">
        <v>46188</v>
      </c>
      <c r="B260" t="s">
        <v>120</v>
      </c>
      <c r="C260" t="s">
        <v>152</v>
      </c>
      <c r="D260" t="s">
        <v>187</v>
      </c>
      <c r="E260" t="s">
        <v>199</v>
      </c>
      <c r="F260" t="s">
        <v>95</v>
      </c>
      <c r="G260" t="s">
        <v>72</v>
      </c>
      <c r="H260" t="s">
        <v>133</v>
      </c>
      <c r="I260" t="s">
        <v>315</v>
      </c>
      <c r="J260">
        <v>12</v>
      </c>
      <c r="K260" s="16">
        <v>38400</v>
      </c>
      <c r="L260" s="16">
        <v>30525.78</v>
      </c>
      <c r="M260" s="16">
        <v>7874.22</v>
      </c>
      <c r="N260" t="s">
        <v>131</v>
      </c>
      <c r="O260" t="s">
        <v>119</v>
      </c>
      <c r="P260" t="str">
        <f t="shared" si="3"/>
        <v>Hyderabad|Keyboard</v>
      </c>
    </row>
    <row r="261" spans="1:16" x14ac:dyDescent="0.3">
      <c r="A261" s="15">
        <v>46197</v>
      </c>
      <c r="B261" t="s">
        <v>34</v>
      </c>
      <c r="C261" t="s">
        <v>121</v>
      </c>
      <c r="D261" t="s">
        <v>137</v>
      </c>
      <c r="E261" t="s">
        <v>138</v>
      </c>
      <c r="F261" t="s">
        <v>96</v>
      </c>
      <c r="G261" t="s">
        <v>80</v>
      </c>
      <c r="H261" t="s">
        <v>184</v>
      </c>
      <c r="I261" t="s">
        <v>304</v>
      </c>
      <c r="J261">
        <v>2</v>
      </c>
      <c r="K261" s="16">
        <v>25000</v>
      </c>
      <c r="L261" s="16">
        <v>17825.28</v>
      </c>
      <c r="M261" s="16">
        <v>7174.72</v>
      </c>
      <c r="N261" t="s">
        <v>141</v>
      </c>
      <c r="O261" t="s">
        <v>113</v>
      </c>
      <c r="P261" t="str">
        <f t="shared" ref="P261:P324" si="4">E261&amp;"|"&amp;G261</f>
        <v>Cuttack|Office Chair</v>
      </c>
    </row>
    <row r="262" spans="1:16" x14ac:dyDescent="0.3">
      <c r="A262" s="15">
        <v>46259</v>
      </c>
      <c r="B262" t="s">
        <v>34</v>
      </c>
      <c r="C262" t="s">
        <v>126</v>
      </c>
      <c r="D262" t="s">
        <v>196</v>
      </c>
      <c r="E262" t="s">
        <v>208</v>
      </c>
      <c r="F262" t="s">
        <v>94</v>
      </c>
      <c r="G262" t="s">
        <v>67</v>
      </c>
      <c r="H262" t="s">
        <v>129</v>
      </c>
      <c r="I262" t="s">
        <v>130</v>
      </c>
      <c r="J262">
        <v>15</v>
      </c>
      <c r="K262" s="16">
        <v>455400</v>
      </c>
      <c r="L262" s="16">
        <v>338322.16</v>
      </c>
      <c r="M262" s="16">
        <v>117077.84</v>
      </c>
      <c r="N262" t="s">
        <v>141</v>
      </c>
      <c r="O262" t="s">
        <v>119</v>
      </c>
      <c r="P262" t="str">
        <f t="shared" si="4"/>
        <v>New Delhi|Tablet X</v>
      </c>
    </row>
    <row r="263" spans="1:16" x14ac:dyDescent="0.3">
      <c r="A263" s="15">
        <v>46033</v>
      </c>
      <c r="B263" t="s">
        <v>34</v>
      </c>
      <c r="C263" t="s">
        <v>107</v>
      </c>
      <c r="D263" t="s">
        <v>149</v>
      </c>
      <c r="E263" t="s">
        <v>150</v>
      </c>
      <c r="F263" t="s">
        <v>97</v>
      </c>
      <c r="G263" t="s">
        <v>87</v>
      </c>
      <c r="H263" t="s">
        <v>135</v>
      </c>
      <c r="I263" t="s">
        <v>317</v>
      </c>
      <c r="J263">
        <v>8</v>
      </c>
      <c r="K263" s="16">
        <v>97000</v>
      </c>
      <c r="L263" s="16">
        <v>72313.179999999993</v>
      </c>
      <c r="M263" s="16">
        <v>24686.82</v>
      </c>
      <c r="N263" t="s">
        <v>141</v>
      </c>
      <c r="O263" t="s">
        <v>113</v>
      </c>
      <c r="P263" t="str">
        <f t="shared" si="4"/>
        <v>Mumbai|Microwave</v>
      </c>
    </row>
    <row r="264" spans="1:16" x14ac:dyDescent="0.3">
      <c r="A264" s="15">
        <v>46224</v>
      </c>
      <c r="B264" t="s">
        <v>114</v>
      </c>
      <c r="C264" t="s">
        <v>121</v>
      </c>
      <c r="D264" t="s">
        <v>137</v>
      </c>
      <c r="E264" t="s">
        <v>138</v>
      </c>
      <c r="F264" t="s">
        <v>95</v>
      </c>
      <c r="G264" t="s">
        <v>74</v>
      </c>
      <c r="H264" t="s">
        <v>173</v>
      </c>
      <c r="I264" t="s">
        <v>236</v>
      </c>
      <c r="J264">
        <v>9</v>
      </c>
      <c r="K264" s="16">
        <v>43200</v>
      </c>
      <c r="L264" s="16">
        <v>35409.15</v>
      </c>
      <c r="M264" s="16">
        <v>7790.85</v>
      </c>
      <c r="N264" t="s">
        <v>141</v>
      </c>
      <c r="O264" t="s">
        <v>113</v>
      </c>
      <c r="P264" t="str">
        <f t="shared" si="4"/>
        <v>Cuttack|Headset</v>
      </c>
    </row>
    <row r="265" spans="1:16" x14ac:dyDescent="0.3">
      <c r="A265" s="15">
        <v>46238</v>
      </c>
      <c r="B265" t="s">
        <v>34</v>
      </c>
      <c r="C265" t="s">
        <v>107</v>
      </c>
      <c r="D265" t="s">
        <v>115</v>
      </c>
      <c r="E265" t="s">
        <v>191</v>
      </c>
      <c r="F265" t="s">
        <v>97</v>
      </c>
      <c r="G265" t="s">
        <v>88</v>
      </c>
      <c r="H265" t="s">
        <v>129</v>
      </c>
      <c r="I265" t="s">
        <v>192</v>
      </c>
      <c r="J265">
        <v>5</v>
      </c>
      <c r="K265" s="16">
        <v>70325</v>
      </c>
      <c r="L265" s="16">
        <v>56838.02</v>
      </c>
      <c r="M265" s="16">
        <v>13486.98</v>
      </c>
      <c r="N265" t="s">
        <v>125</v>
      </c>
      <c r="O265" t="s">
        <v>142</v>
      </c>
      <c r="P265" t="str">
        <f t="shared" si="4"/>
        <v>Surat|Vacuum Cleaner</v>
      </c>
    </row>
    <row r="266" spans="1:16" x14ac:dyDescent="0.3">
      <c r="A266" s="15">
        <v>46148</v>
      </c>
      <c r="B266" t="s">
        <v>34</v>
      </c>
      <c r="C266" t="s">
        <v>152</v>
      </c>
      <c r="D266" t="s">
        <v>156</v>
      </c>
      <c r="E266" t="s">
        <v>238</v>
      </c>
      <c r="F266" t="s">
        <v>97</v>
      </c>
      <c r="G266" t="s">
        <v>85</v>
      </c>
      <c r="H266" t="s">
        <v>117</v>
      </c>
      <c r="I266" t="s">
        <v>203</v>
      </c>
      <c r="J266">
        <v>3</v>
      </c>
      <c r="K266" s="16">
        <v>51300</v>
      </c>
      <c r="L266" s="16">
        <v>34697.68</v>
      </c>
      <c r="M266" s="16">
        <v>16602.32</v>
      </c>
      <c r="N266" t="s">
        <v>125</v>
      </c>
      <c r="O266" t="s">
        <v>113</v>
      </c>
      <c r="P266" t="str">
        <f t="shared" si="4"/>
        <v>Bengaluru|Air Purifier</v>
      </c>
    </row>
    <row r="267" spans="1:16" x14ac:dyDescent="0.3">
      <c r="A267" s="15">
        <v>46263</v>
      </c>
      <c r="B267" t="s">
        <v>114</v>
      </c>
      <c r="C267" t="s">
        <v>126</v>
      </c>
      <c r="D267" t="s">
        <v>127</v>
      </c>
      <c r="E267" t="s">
        <v>143</v>
      </c>
      <c r="F267" t="s">
        <v>95</v>
      </c>
      <c r="G267" t="s">
        <v>78</v>
      </c>
      <c r="H267" t="s">
        <v>133</v>
      </c>
      <c r="I267" t="s">
        <v>307</v>
      </c>
      <c r="J267">
        <v>19</v>
      </c>
      <c r="K267" s="16">
        <v>73416</v>
      </c>
      <c r="L267" s="16">
        <v>53558.42</v>
      </c>
      <c r="M267" s="16">
        <v>19857.580000000002</v>
      </c>
      <c r="N267" t="s">
        <v>112</v>
      </c>
      <c r="O267" t="s">
        <v>113</v>
      </c>
      <c r="P267" t="str">
        <f t="shared" si="4"/>
        <v>Faridabad|Webcam</v>
      </c>
    </row>
    <row r="268" spans="1:16" x14ac:dyDescent="0.3">
      <c r="A268" s="15">
        <v>46143</v>
      </c>
      <c r="B268" t="s">
        <v>114</v>
      </c>
      <c r="C268" t="s">
        <v>121</v>
      </c>
      <c r="D268" t="s">
        <v>122</v>
      </c>
      <c r="E268" t="s">
        <v>166</v>
      </c>
      <c r="F268" t="s">
        <v>97</v>
      </c>
      <c r="G268" t="s">
        <v>86</v>
      </c>
      <c r="H268" t="s">
        <v>184</v>
      </c>
      <c r="I268" t="s">
        <v>318</v>
      </c>
      <c r="J268">
        <v>16</v>
      </c>
      <c r="K268" s="16">
        <v>104000</v>
      </c>
      <c r="L268" s="16">
        <v>71749.3</v>
      </c>
      <c r="M268" s="16">
        <v>32250.7</v>
      </c>
      <c r="N268" t="s">
        <v>141</v>
      </c>
      <c r="O268" t="s">
        <v>113</v>
      </c>
      <c r="P268" t="str">
        <f t="shared" si="4"/>
        <v>Kolkata|Coffee Maker</v>
      </c>
    </row>
    <row r="269" spans="1:16" x14ac:dyDescent="0.3">
      <c r="A269" s="15">
        <v>46069</v>
      </c>
      <c r="B269" t="s">
        <v>114</v>
      </c>
      <c r="C269" t="s">
        <v>152</v>
      </c>
      <c r="D269" t="s">
        <v>153</v>
      </c>
      <c r="E269" t="s">
        <v>169</v>
      </c>
      <c r="F269" t="s">
        <v>95</v>
      </c>
      <c r="G269" t="s">
        <v>76</v>
      </c>
      <c r="H269" t="s">
        <v>184</v>
      </c>
      <c r="I269" t="s">
        <v>291</v>
      </c>
      <c r="J269">
        <v>1</v>
      </c>
      <c r="K269" s="16">
        <v>1656</v>
      </c>
      <c r="L269" s="16">
        <v>1215.01</v>
      </c>
      <c r="M269" s="16">
        <v>440.99</v>
      </c>
      <c r="N269" t="s">
        <v>141</v>
      </c>
      <c r="O269" t="s">
        <v>119</v>
      </c>
      <c r="P269" t="str">
        <f t="shared" si="4"/>
        <v>Chennai|Mouse</v>
      </c>
    </row>
    <row r="270" spans="1:16" x14ac:dyDescent="0.3">
      <c r="A270" s="15">
        <v>46070</v>
      </c>
      <c r="B270" t="s">
        <v>120</v>
      </c>
      <c r="C270" t="s">
        <v>107</v>
      </c>
      <c r="D270" t="s">
        <v>149</v>
      </c>
      <c r="E270" t="s">
        <v>150</v>
      </c>
      <c r="F270" t="s">
        <v>97</v>
      </c>
      <c r="G270" t="s">
        <v>85</v>
      </c>
      <c r="H270" t="s">
        <v>139</v>
      </c>
      <c r="I270" t="s">
        <v>247</v>
      </c>
      <c r="J270">
        <v>18</v>
      </c>
      <c r="K270" s="16">
        <v>307800</v>
      </c>
      <c r="L270" s="16">
        <v>213220.85</v>
      </c>
      <c r="M270" s="16">
        <v>94579.15</v>
      </c>
      <c r="N270" t="s">
        <v>131</v>
      </c>
      <c r="O270" t="s">
        <v>113</v>
      </c>
      <c r="P270" t="str">
        <f t="shared" si="4"/>
        <v>Mumbai|Air Purifier</v>
      </c>
    </row>
    <row r="271" spans="1:16" x14ac:dyDescent="0.3">
      <c r="A271" s="15">
        <v>46076</v>
      </c>
      <c r="B271" t="s">
        <v>34</v>
      </c>
      <c r="C271" t="s">
        <v>126</v>
      </c>
      <c r="D271" t="s">
        <v>162</v>
      </c>
      <c r="E271" t="s">
        <v>163</v>
      </c>
      <c r="F271" t="s">
        <v>96</v>
      </c>
      <c r="G271" t="s">
        <v>80</v>
      </c>
      <c r="H271" t="s">
        <v>173</v>
      </c>
      <c r="I271" t="s">
        <v>177</v>
      </c>
      <c r="J271">
        <v>5</v>
      </c>
      <c r="K271" s="16">
        <v>62500</v>
      </c>
      <c r="L271" s="16">
        <v>40788.49</v>
      </c>
      <c r="M271" s="16">
        <v>21711.51</v>
      </c>
      <c r="N271" t="s">
        <v>112</v>
      </c>
      <c r="O271" t="s">
        <v>142</v>
      </c>
      <c r="P271" t="str">
        <f t="shared" si="4"/>
        <v>Lucknow|Office Chair</v>
      </c>
    </row>
    <row r="272" spans="1:16" x14ac:dyDescent="0.3">
      <c r="A272" s="15">
        <v>46171</v>
      </c>
      <c r="B272" t="s">
        <v>120</v>
      </c>
      <c r="C272" t="s">
        <v>152</v>
      </c>
      <c r="D272" t="s">
        <v>187</v>
      </c>
      <c r="E272" t="s">
        <v>188</v>
      </c>
      <c r="F272" t="s">
        <v>97</v>
      </c>
      <c r="G272" t="s">
        <v>86</v>
      </c>
      <c r="H272" t="s">
        <v>139</v>
      </c>
      <c r="I272" t="s">
        <v>124</v>
      </c>
      <c r="J272">
        <v>15</v>
      </c>
      <c r="K272" s="16">
        <v>94575</v>
      </c>
      <c r="L272" s="16">
        <v>73086.539999999994</v>
      </c>
      <c r="M272" s="16">
        <v>21488.46</v>
      </c>
      <c r="N272" t="s">
        <v>131</v>
      </c>
      <c r="O272" t="s">
        <v>113</v>
      </c>
      <c r="P272" t="str">
        <f t="shared" si="4"/>
        <v>Warangal|Coffee Maker</v>
      </c>
    </row>
    <row r="273" spans="1:16" x14ac:dyDescent="0.3">
      <c r="A273" s="15">
        <v>46052</v>
      </c>
      <c r="B273" t="s">
        <v>120</v>
      </c>
      <c r="C273" t="s">
        <v>107</v>
      </c>
      <c r="D273" t="s">
        <v>149</v>
      </c>
      <c r="E273" t="s">
        <v>159</v>
      </c>
      <c r="F273" t="s">
        <v>94</v>
      </c>
      <c r="G273" t="s">
        <v>61</v>
      </c>
      <c r="H273" t="s">
        <v>110</v>
      </c>
      <c r="I273" t="s">
        <v>221</v>
      </c>
      <c r="J273">
        <v>14</v>
      </c>
      <c r="K273" s="16">
        <v>960960</v>
      </c>
      <c r="L273" s="16">
        <v>640517.9</v>
      </c>
      <c r="M273" s="16">
        <v>320442.09999999998</v>
      </c>
      <c r="N273" t="s">
        <v>125</v>
      </c>
      <c r="O273" t="s">
        <v>113</v>
      </c>
      <c r="P273" t="str">
        <f t="shared" si="4"/>
        <v>Pune|Laptop Pro</v>
      </c>
    </row>
    <row r="274" spans="1:16" x14ac:dyDescent="0.3">
      <c r="A274" s="15">
        <v>46089</v>
      </c>
      <c r="B274" t="s">
        <v>34</v>
      </c>
      <c r="C274" t="s">
        <v>121</v>
      </c>
      <c r="D274" t="s">
        <v>122</v>
      </c>
      <c r="E274" t="s">
        <v>123</v>
      </c>
      <c r="F274" t="s">
        <v>95</v>
      </c>
      <c r="G274" t="s">
        <v>72</v>
      </c>
      <c r="H274" t="s">
        <v>129</v>
      </c>
      <c r="I274" t="s">
        <v>148</v>
      </c>
      <c r="J274">
        <v>20</v>
      </c>
      <c r="K274" s="16">
        <v>64000</v>
      </c>
      <c r="L274" s="16">
        <v>46803.79</v>
      </c>
      <c r="M274" s="16">
        <v>17196.21</v>
      </c>
      <c r="N274" t="s">
        <v>125</v>
      </c>
      <c r="O274" t="s">
        <v>113</v>
      </c>
      <c r="P274" t="str">
        <f t="shared" si="4"/>
        <v>Durgapur|Keyboard</v>
      </c>
    </row>
    <row r="275" spans="1:16" x14ac:dyDescent="0.3">
      <c r="A275" s="15">
        <v>46104</v>
      </c>
      <c r="B275" t="s">
        <v>34</v>
      </c>
      <c r="C275" t="s">
        <v>107</v>
      </c>
      <c r="D275" t="s">
        <v>108</v>
      </c>
      <c r="E275" t="s">
        <v>109</v>
      </c>
      <c r="F275" t="s">
        <v>97</v>
      </c>
      <c r="G275" t="s">
        <v>87</v>
      </c>
      <c r="H275" t="s">
        <v>133</v>
      </c>
      <c r="I275" t="s">
        <v>319</v>
      </c>
      <c r="J275">
        <v>17</v>
      </c>
      <c r="K275" s="16">
        <v>206125</v>
      </c>
      <c r="L275" s="16">
        <v>155353.28</v>
      </c>
      <c r="M275" s="16">
        <v>50771.72</v>
      </c>
      <c r="N275" t="s">
        <v>125</v>
      </c>
      <c r="O275" t="s">
        <v>113</v>
      </c>
      <c r="P275" t="str">
        <f t="shared" si="4"/>
        <v>Udaipur|Microwave</v>
      </c>
    </row>
    <row r="276" spans="1:16" x14ac:dyDescent="0.3">
      <c r="A276" s="15">
        <v>46097</v>
      </c>
      <c r="B276" t="s">
        <v>34</v>
      </c>
      <c r="C276" t="s">
        <v>152</v>
      </c>
      <c r="D276" t="s">
        <v>156</v>
      </c>
      <c r="E276" t="s">
        <v>157</v>
      </c>
      <c r="F276" t="s">
        <v>96</v>
      </c>
      <c r="G276" t="s">
        <v>80</v>
      </c>
      <c r="H276" t="s">
        <v>184</v>
      </c>
      <c r="I276" t="s">
        <v>320</v>
      </c>
      <c r="J276">
        <v>4</v>
      </c>
      <c r="K276" s="16">
        <v>47500</v>
      </c>
      <c r="L276" s="16">
        <v>38904.06</v>
      </c>
      <c r="M276" s="16">
        <v>8595.94</v>
      </c>
      <c r="N276" t="s">
        <v>141</v>
      </c>
      <c r="O276" t="s">
        <v>142</v>
      </c>
      <c r="P276" t="str">
        <f t="shared" si="4"/>
        <v>Mysuru|Office Chair</v>
      </c>
    </row>
    <row r="277" spans="1:16" x14ac:dyDescent="0.3">
      <c r="A277" s="15">
        <v>46113</v>
      </c>
      <c r="B277" t="s">
        <v>34</v>
      </c>
      <c r="C277" t="s">
        <v>121</v>
      </c>
      <c r="D277" t="s">
        <v>122</v>
      </c>
      <c r="E277" t="s">
        <v>123</v>
      </c>
      <c r="F277" t="s">
        <v>94</v>
      </c>
      <c r="G277" t="s">
        <v>70</v>
      </c>
      <c r="H277" t="s">
        <v>139</v>
      </c>
      <c r="I277" t="s">
        <v>321</v>
      </c>
      <c r="J277">
        <v>4</v>
      </c>
      <c r="K277" s="16">
        <v>54560</v>
      </c>
      <c r="L277" s="16">
        <v>35773.89</v>
      </c>
      <c r="M277" s="16">
        <v>18786.11</v>
      </c>
      <c r="N277" t="s">
        <v>131</v>
      </c>
      <c r="O277" t="s">
        <v>113</v>
      </c>
      <c r="P277" t="str">
        <f t="shared" si="4"/>
        <v>Durgapur|Printer Pro</v>
      </c>
    </row>
    <row r="278" spans="1:16" x14ac:dyDescent="0.3">
      <c r="A278" s="15">
        <v>46175</v>
      </c>
      <c r="B278" t="s">
        <v>34</v>
      </c>
      <c r="C278" t="s">
        <v>107</v>
      </c>
      <c r="D278" t="s">
        <v>115</v>
      </c>
      <c r="E278" t="s">
        <v>116</v>
      </c>
      <c r="F278" t="s">
        <v>95</v>
      </c>
      <c r="G278" t="s">
        <v>76</v>
      </c>
      <c r="H278" t="s">
        <v>129</v>
      </c>
      <c r="I278" t="s">
        <v>322</v>
      </c>
      <c r="J278">
        <v>13</v>
      </c>
      <c r="K278" s="16">
        <v>22230</v>
      </c>
      <c r="L278" s="16">
        <v>14238.66</v>
      </c>
      <c r="M278" s="16">
        <v>7991.34</v>
      </c>
      <c r="N278" t="s">
        <v>141</v>
      </c>
      <c r="O278" t="s">
        <v>113</v>
      </c>
      <c r="P278" t="str">
        <f t="shared" si="4"/>
        <v>Ahmedabad|Mouse</v>
      </c>
    </row>
    <row r="279" spans="1:16" x14ac:dyDescent="0.3">
      <c r="A279" s="15">
        <v>46128</v>
      </c>
      <c r="B279" t="s">
        <v>34</v>
      </c>
      <c r="C279" t="s">
        <v>152</v>
      </c>
      <c r="D279" t="s">
        <v>156</v>
      </c>
      <c r="E279" t="s">
        <v>238</v>
      </c>
      <c r="F279" t="s">
        <v>94</v>
      </c>
      <c r="G279" t="s">
        <v>61</v>
      </c>
      <c r="H279" t="s">
        <v>184</v>
      </c>
      <c r="I279" t="s">
        <v>287</v>
      </c>
      <c r="J279">
        <v>20</v>
      </c>
      <c r="K279" s="16">
        <v>1560000</v>
      </c>
      <c r="L279" s="16">
        <v>1025201.26</v>
      </c>
      <c r="M279" s="16">
        <v>534798.74</v>
      </c>
      <c r="N279" t="s">
        <v>125</v>
      </c>
      <c r="O279" t="s">
        <v>142</v>
      </c>
      <c r="P279" t="str">
        <f t="shared" si="4"/>
        <v>Bengaluru|Laptop Pro</v>
      </c>
    </row>
    <row r="280" spans="1:16" x14ac:dyDescent="0.3">
      <c r="A280" s="15">
        <v>46053</v>
      </c>
      <c r="B280" t="s">
        <v>120</v>
      </c>
      <c r="C280" t="s">
        <v>121</v>
      </c>
      <c r="D280" t="s">
        <v>146</v>
      </c>
      <c r="E280" t="s">
        <v>147</v>
      </c>
      <c r="F280" t="s">
        <v>96</v>
      </c>
      <c r="G280" t="s">
        <v>82</v>
      </c>
      <c r="H280" t="s">
        <v>110</v>
      </c>
      <c r="I280" t="s">
        <v>305</v>
      </c>
      <c r="J280">
        <v>7</v>
      </c>
      <c r="K280" s="16">
        <v>175560</v>
      </c>
      <c r="L280" s="16">
        <v>127622.54</v>
      </c>
      <c r="M280" s="16">
        <v>47937.46</v>
      </c>
      <c r="N280" t="s">
        <v>131</v>
      </c>
      <c r="O280" t="s">
        <v>142</v>
      </c>
      <c r="P280" t="str">
        <f t="shared" si="4"/>
        <v>Guwahati|Standing Desk</v>
      </c>
    </row>
    <row r="281" spans="1:16" x14ac:dyDescent="0.3">
      <c r="A281" s="15">
        <v>46137</v>
      </c>
      <c r="B281" t="s">
        <v>34</v>
      </c>
      <c r="C281" t="s">
        <v>152</v>
      </c>
      <c r="D281" t="s">
        <v>153</v>
      </c>
      <c r="E281" t="s">
        <v>169</v>
      </c>
      <c r="F281" t="s">
        <v>96</v>
      </c>
      <c r="G281" t="s">
        <v>83</v>
      </c>
      <c r="H281" t="s">
        <v>173</v>
      </c>
      <c r="I281" t="s">
        <v>323</v>
      </c>
      <c r="J281">
        <v>10</v>
      </c>
      <c r="K281" s="16">
        <v>360000</v>
      </c>
      <c r="L281" s="16">
        <v>284306.55</v>
      </c>
      <c r="M281" s="16">
        <v>75693.45</v>
      </c>
      <c r="N281" t="s">
        <v>141</v>
      </c>
      <c r="O281" t="s">
        <v>113</v>
      </c>
      <c r="P281" t="str">
        <f t="shared" si="4"/>
        <v>Chennai|Meeting Table</v>
      </c>
    </row>
    <row r="282" spans="1:16" x14ac:dyDescent="0.3">
      <c r="A282" s="15">
        <v>46139</v>
      </c>
      <c r="B282" t="s">
        <v>34</v>
      </c>
      <c r="C282" t="s">
        <v>107</v>
      </c>
      <c r="D282" t="s">
        <v>108</v>
      </c>
      <c r="E282" t="s">
        <v>132</v>
      </c>
      <c r="F282" t="s">
        <v>96</v>
      </c>
      <c r="G282" t="s">
        <v>80</v>
      </c>
      <c r="H282" t="s">
        <v>173</v>
      </c>
      <c r="I282" t="s">
        <v>324</v>
      </c>
      <c r="J282">
        <v>8</v>
      </c>
      <c r="K282" s="16">
        <v>95000</v>
      </c>
      <c r="L282" s="16">
        <v>63975.58</v>
      </c>
      <c r="M282" s="16">
        <v>31024.42</v>
      </c>
      <c r="N282" t="s">
        <v>125</v>
      </c>
      <c r="O282" t="s">
        <v>113</v>
      </c>
      <c r="P282" t="str">
        <f t="shared" si="4"/>
        <v>Jaipur|Office Chair</v>
      </c>
    </row>
    <row r="283" spans="1:16" x14ac:dyDescent="0.3">
      <c r="A283" s="15">
        <v>46229</v>
      </c>
      <c r="B283" t="s">
        <v>34</v>
      </c>
      <c r="C283" t="s">
        <v>121</v>
      </c>
      <c r="D283" t="s">
        <v>122</v>
      </c>
      <c r="E283" t="s">
        <v>166</v>
      </c>
      <c r="F283" t="s">
        <v>94</v>
      </c>
      <c r="G283" t="s">
        <v>64</v>
      </c>
      <c r="H283" t="s">
        <v>110</v>
      </c>
      <c r="I283" t="s">
        <v>325</v>
      </c>
      <c r="J283">
        <v>16</v>
      </c>
      <c r="K283" s="16">
        <v>336000</v>
      </c>
      <c r="L283" s="16">
        <v>263905.71000000002</v>
      </c>
      <c r="M283" s="16">
        <v>72094.289999999994</v>
      </c>
      <c r="N283" t="s">
        <v>131</v>
      </c>
      <c r="O283" t="s">
        <v>119</v>
      </c>
      <c r="P283" t="str">
        <f t="shared" si="4"/>
        <v>Kolkata|Monitor 27</v>
      </c>
    </row>
    <row r="284" spans="1:16" x14ac:dyDescent="0.3">
      <c r="A284" s="15">
        <v>46028</v>
      </c>
      <c r="B284" t="s">
        <v>114</v>
      </c>
      <c r="C284" t="s">
        <v>152</v>
      </c>
      <c r="D284" t="s">
        <v>153</v>
      </c>
      <c r="E284" t="s">
        <v>169</v>
      </c>
      <c r="F284" t="s">
        <v>97</v>
      </c>
      <c r="G284" t="s">
        <v>86</v>
      </c>
      <c r="H284" t="s">
        <v>129</v>
      </c>
      <c r="I284" t="s">
        <v>232</v>
      </c>
      <c r="J284">
        <v>5</v>
      </c>
      <c r="K284" s="16">
        <v>32500</v>
      </c>
      <c r="L284" s="16">
        <v>21923.83</v>
      </c>
      <c r="M284" s="16">
        <v>10576.17</v>
      </c>
      <c r="N284" t="s">
        <v>131</v>
      </c>
      <c r="O284" t="s">
        <v>113</v>
      </c>
      <c r="P284" t="str">
        <f t="shared" si="4"/>
        <v>Chennai|Coffee Maker</v>
      </c>
    </row>
    <row r="285" spans="1:16" x14ac:dyDescent="0.3">
      <c r="A285" s="15">
        <v>46053</v>
      </c>
      <c r="B285" t="s">
        <v>34</v>
      </c>
      <c r="C285" t="s">
        <v>121</v>
      </c>
      <c r="D285" t="s">
        <v>122</v>
      </c>
      <c r="E285" t="s">
        <v>123</v>
      </c>
      <c r="F285" t="s">
        <v>96</v>
      </c>
      <c r="G285" t="s">
        <v>83</v>
      </c>
      <c r="H285" t="s">
        <v>129</v>
      </c>
      <c r="I285" t="s">
        <v>179</v>
      </c>
      <c r="J285">
        <v>9</v>
      </c>
      <c r="K285" s="16">
        <v>314280</v>
      </c>
      <c r="L285" s="16">
        <v>233333.94</v>
      </c>
      <c r="M285" s="16">
        <v>80946.06</v>
      </c>
      <c r="N285" t="s">
        <v>112</v>
      </c>
      <c r="O285" t="s">
        <v>113</v>
      </c>
      <c r="P285" t="str">
        <f t="shared" si="4"/>
        <v>Durgapur|Meeting Table</v>
      </c>
    </row>
    <row r="286" spans="1:16" x14ac:dyDescent="0.3">
      <c r="A286" s="15">
        <v>46055</v>
      </c>
      <c r="B286" t="s">
        <v>34</v>
      </c>
      <c r="C286" t="s">
        <v>126</v>
      </c>
      <c r="D286" t="s">
        <v>162</v>
      </c>
      <c r="E286" t="s">
        <v>204</v>
      </c>
      <c r="F286" t="s">
        <v>94</v>
      </c>
      <c r="G286" t="s">
        <v>61</v>
      </c>
      <c r="H286" t="s">
        <v>110</v>
      </c>
      <c r="I286" t="s">
        <v>245</v>
      </c>
      <c r="J286">
        <v>20</v>
      </c>
      <c r="K286" s="16">
        <v>1435200</v>
      </c>
      <c r="L286" s="16">
        <v>1144837.31</v>
      </c>
      <c r="M286" s="16">
        <v>290362.69</v>
      </c>
      <c r="N286" t="s">
        <v>141</v>
      </c>
      <c r="O286" t="s">
        <v>113</v>
      </c>
      <c r="P286" t="str">
        <f t="shared" si="4"/>
        <v>Noida|Laptop Pro</v>
      </c>
    </row>
    <row r="287" spans="1:16" x14ac:dyDescent="0.3">
      <c r="A287" s="15">
        <v>46260</v>
      </c>
      <c r="B287" t="s">
        <v>34</v>
      </c>
      <c r="C287" t="s">
        <v>107</v>
      </c>
      <c r="D287" t="s">
        <v>149</v>
      </c>
      <c r="E287" t="s">
        <v>159</v>
      </c>
      <c r="F287" t="s">
        <v>95</v>
      </c>
      <c r="G287" t="s">
        <v>76</v>
      </c>
      <c r="H287" t="s">
        <v>110</v>
      </c>
      <c r="I287" t="s">
        <v>296</v>
      </c>
      <c r="J287">
        <v>12</v>
      </c>
      <c r="K287" s="16">
        <v>19008</v>
      </c>
      <c r="L287" s="16">
        <v>15455.6</v>
      </c>
      <c r="M287" s="16">
        <v>3552.4</v>
      </c>
      <c r="N287" t="s">
        <v>125</v>
      </c>
      <c r="O287" t="s">
        <v>113</v>
      </c>
      <c r="P287" t="str">
        <f t="shared" si="4"/>
        <v>Pune|Mouse</v>
      </c>
    </row>
    <row r="288" spans="1:16" x14ac:dyDescent="0.3">
      <c r="A288" s="15">
        <v>46102</v>
      </c>
      <c r="B288" t="s">
        <v>34</v>
      </c>
      <c r="C288" t="s">
        <v>126</v>
      </c>
      <c r="D288" t="s">
        <v>196</v>
      </c>
      <c r="E288" t="s">
        <v>208</v>
      </c>
      <c r="F288" t="s">
        <v>94</v>
      </c>
      <c r="G288" t="s">
        <v>61</v>
      </c>
      <c r="H288" t="s">
        <v>129</v>
      </c>
      <c r="I288" t="s">
        <v>326</v>
      </c>
      <c r="J288">
        <v>13</v>
      </c>
      <c r="K288" s="16">
        <v>1014000</v>
      </c>
      <c r="L288" s="16">
        <v>675090.42</v>
      </c>
      <c r="M288" s="16">
        <v>338909.58</v>
      </c>
      <c r="N288" t="s">
        <v>112</v>
      </c>
      <c r="O288" t="s">
        <v>119</v>
      </c>
      <c r="P288" t="str">
        <f t="shared" si="4"/>
        <v>New Delhi|Laptop Pro</v>
      </c>
    </row>
    <row r="289" spans="1:16" x14ac:dyDescent="0.3">
      <c r="A289" s="15">
        <v>46040</v>
      </c>
      <c r="B289" t="s">
        <v>34</v>
      </c>
      <c r="C289" t="s">
        <v>152</v>
      </c>
      <c r="D289" t="s">
        <v>156</v>
      </c>
      <c r="E289" t="s">
        <v>238</v>
      </c>
      <c r="F289" t="s">
        <v>94</v>
      </c>
      <c r="G289" t="s">
        <v>70</v>
      </c>
      <c r="H289" t="s">
        <v>110</v>
      </c>
      <c r="I289" t="s">
        <v>276</v>
      </c>
      <c r="J289">
        <v>19</v>
      </c>
      <c r="K289" s="16">
        <v>285665</v>
      </c>
      <c r="L289" s="16">
        <v>220751.63</v>
      </c>
      <c r="M289" s="16">
        <v>64913.37</v>
      </c>
      <c r="N289" t="s">
        <v>125</v>
      </c>
      <c r="O289" t="s">
        <v>119</v>
      </c>
      <c r="P289" t="str">
        <f t="shared" si="4"/>
        <v>Bengaluru|Printer Pro</v>
      </c>
    </row>
    <row r="290" spans="1:16" x14ac:dyDescent="0.3">
      <c r="A290" s="15">
        <v>46192</v>
      </c>
      <c r="B290" t="s">
        <v>34</v>
      </c>
      <c r="C290" t="s">
        <v>107</v>
      </c>
      <c r="D290" t="s">
        <v>115</v>
      </c>
      <c r="E290" t="s">
        <v>191</v>
      </c>
      <c r="F290" t="s">
        <v>95</v>
      </c>
      <c r="G290" t="s">
        <v>74</v>
      </c>
      <c r="H290" t="s">
        <v>173</v>
      </c>
      <c r="I290" t="s">
        <v>327</v>
      </c>
      <c r="J290">
        <v>10</v>
      </c>
      <c r="K290" s="16">
        <v>44160</v>
      </c>
      <c r="L290" s="16">
        <v>30560.98</v>
      </c>
      <c r="M290" s="16">
        <v>13599.02</v>
      </c>
      <c r="N290" t="s">
        <v>141</v>
      </c>
      <c r="O290" t="s">
        <v>119</v>
      </c>
      <c r="P290" t="str">
        <f t="shared" si="4"/>
        <v>Surat|Headset</v>
      </c>
    </row>
    <row r="291" spans="1:16" x14ac:dyDescent="0.3">
      <c r="A291" s="15">
        <v>46212</v>
      </c>
      <c r="B291" t="s">
        <v>34</v>
      </c>
      <c r="C291" t="s">
        <v>107</v>
      </c>
      <c r="D291" t="s">
        <v>149</v>
      </c>
      <c r="E291" t="s">
        <v>159</v>
      </c>
      <c r="F291" t="s">
        <v>94</v>
      </c>
      <c r="G291" t="s">
        <v>70</v>
      </c>
      <c r="H291" t="s">
        <v>184</v>
      </c>
      <c r="I291" t="s">
        <v>246</v>
      </c>
      <c r="J291">
        <v>3</v>
      </c>
      <c r="K291" s="16">
        <v>44175</v>
      </c>
      <c r="L291" s="16">
        <v>29112.15</v>
      </c>
      <c r="M291" s="16">
        <v>15062.85</v>
      </c>
      <c r="N291" t="s">
        <v>131</v>
      </c>
      <c r="O291" t="s">
        <v>113</v>
      </c>
      <c r="P291" t="str">
        <f t="shared" si="4"/>
        <v>Pune|Printer Pro</v>
      </c>
    </row>
    <row r="292" spans="1:16" x14ac:dyDescent="0.3">
      <c r="A292" s="15">
        <v>46064</v>
      </c>
      <c r="B292" t="s">
        <v>34</v>
      </c>
      <c r="C292" t="s">
        <v>107</v>
      </c>
      <c r="D292" t="s">
        <v>149</v>
      </c>
      <c r="E292" t="s">
        <v>150</v>
      </c>
      <c r="F292" t="s">
        <v>94</v>
      </c>
      <c r="G292" t="s">
        <v>64</v>
      </c>
      <c r="H292" t="s">
        <v>135</v>
      </c>
      <c r="I292" t="s">
        <v>327</v>
      </c>
      <c r="J292">
        <v>14</v>
      </c>
      <c r="K292" s="16">
        <v>294000</v>
      </c>
      <c r="L292" s="16">
        <v>186214.64</v>
      </c>
      <c r="M292" s="16">
        <v>107785.36</v>
      </c>
      <c r="N292" t="s">
        <v>141</v>
      </c>
      <c r="O292" t="s">
        <v>113</v>
      </c>
      <c r="P292" t="str">
        <f t="shared" si="4"/>
        <v>Mumbai|Monitor 27</v>
      </c>
    </row>
    <row r="293" spans="1:16" x14ac:dyDescent="0.3">
      <c r="A293" s="15">
        <v>46089</v>
      </c>
      <c r="B293" t="s">
        <v>34</v>
      </c>
      <c r="C293" t="s">
        <v>126</v>
      </c>
      <c r="D293" t="s">
        <v>162</v>
      </c>
      <c r="E293" t="s">
        <v>204</v>
      </c>
      <c r="F293" t="s">
        <v>95</v>
      </c>
      <c r="G293" t="s">
        <v>72</v>
      </c>
      <c r="H293" t="s">
        <v>129</v>
      </c>
      <c r="I293" t="s">
        <v>322</v>
      </c>
      <c r="J293">
        <v>2</v>
      </c>
      <c r="K293" s="16">
        <v>6400</v>
      </c>
      <c r="L293" s="16">
        <v>4779.76</v>
      </c>
      <c r="M293" s="16">
        <v>1620.24</v>
      </c>
      <c r="N293" t="s">
        <v>125</v>
      </c>
      <c r="O293" t="s">
        <v>142</v>
      </c>
      <c r="P293" t="str">
        <f t="shared" si="4"/>
        <v>Noida|Keyboard</v>
      </c>
    </row>
    <row r="294" spans="1:16" x14ac:dyDescent="0.3">
      <c r="A294" s="15">
        <v>46114</v>
      </c>
      <c r="B294" t="s">
        <v>34</v>
      </c>
      <c r="C294" t="s">
        <v>107</v>
      </c>
      <c r="D294" t="s">
        <v>115</v>
      </c>
      <c r="E294" t="s">
        <v>116</v>
      </c>
      <c r="F294" t="s">
        <v>97</v>
      </c>
      <c r="G294" t="s">
        <v>86</v>
      </c>
      <c r="H294" t="s">
        <v>173</v>
      </c>
      <c r="I294" t="s">
        <v>281</v>
      </c>
      <c r="J294">
        <v>9</v>
      </c>
      <c r="K294" s="16">
        <v>53820</v>
      </c>
      <c r="L294" s="16">
        <v>34534.959999999999</v>
      </c>
      <c r="M294" s="16">
        <v>19285.04</v>
      </c>
      <c r="N294" t="s">
        <v>112</v>
      </c>
      <c r="O294" t="s">
        <v>113</v>
      </c>
      <c r="P294" t="str">
        <f t="shared" si="4"/>
        <v>Ahmedabad|Coffee Maker</v>
      </c>
    </row>
    <row r="295" spans="1:16" x14ac:dyDescent="0.3">
      <c r="A295" s="15">
        <v>46168</v>
      </c>
      <c r="B295" t="s">
        <v>120</v>
      </c>
      <c r="C295" t="s">
        <v>121</v>
      </c>
      <c r="D295" t="s">
        <v>146</v>
      </c>
      <c r="E295" t="s">
        <v>175</v>
      </c>
      <c r="F295" t="s">
        <v>97</v>
      </c>
      <c r="G295" t="s">
        <v>85</v>
      </c>
      <c r="H295" t="s">
        <v>184</v>
      </c>
      <c r="I295" t="s">
        <v>285</v>
      </c>
      <c r="J295">
        <v>18</v>
      </c>
      <c r="K295" s="16">
        <v>314280</v>
      </c>
      <c r="L295" s="16">
        <v>209207.22</v>
      </c>
      <c r="M295" s="16">
        <v>105072.78</v>
      </c>
      <c r="N295" t="s">
        <v>125</v>
      </c>
      <c r="O295" t="s">
        <v>142</v>
      </c>
      <c r="P295" t="str">
        <f t="shared" si="4"/>
        <v>Dibrugarh|Air Purifier</v>
      </c>
    </row>
    <row r="296" spans="1:16" x14ac:dyDescent="0.3">
      <c r="A296" s="15">
        <v>46039</v>
      </c>
      <c r="B296" t="s">
        <v>34</v>
      </c>
      <c r="C296" t="s">
        <v>126</v>
      </c>
      <c r="D296" t="s">
        <v>127</v>
      </c>
      <c r="E296" t="s">
        <v>143</v>
      </c>
      <c r="F296" t="s">
        <v>94</v>
      </c>
      <c r="G296" t="s">
        <v>64</v>
      </c>
      <c r="H296" t="s">
        <v>133</v>
      </c>
      <c r="I296" t="s">
        <v>164</v>
      </c>
      <c r="J296">
        <v>19</v>
      </c>
      <c r="K296" s="16">
        <v>367080</v>
      </c>
      <c r="L296" s="16">
        <v>252069.58</v>
      </c>
      <c r="M296" s="16">
        <v>115010.42</v>
      </c>
      <c r="N296" t="s">
        <v>131</v>
      </c>
      <c r="O296" t="s">
        <v>113</v>
      </c>
      <c r="P296" t="str">
        <f t="shared" si="4"/>
        <v>Faridabad|Monitor 27</v>
      </c>
    </row>
    <row r="297" spans="1:16" x14ac:dyDescent="0.3">
      <c r="A297" s="15">
        <v>46175</v>
      </c>
      <c r="B297" t="s">
        <v>34</v>
      </c>
      <c r="C297" t="s">
        <v>126</v>
      </c>
      <c r="D297" t="s">
        <v>127</v>
      </c>
      <c r="E297" t="s">
        <v>143</v>
      </c>
      <c r="F297" t="s">
        <v>94</v>
      </c>
      <c r="G297" t="s">
        <v>70</v>
      </c>
      <c r="H297" t="s">
        <v>110</v>
      </c>
      <c r="I297" t="s">
        <v>170</v>
      </c>
      <c r="J297">
        <v>3</v>
      </c>
      <c r="K297" s="16">
        <v>44175</v>
      </c>
      <c r="L297" s="16">
        <v>30283.11</v>
      </c>
      <c r="M297" s="16">
        <v>13891.89</v>
      </c>
      <c r="N297" t="s">
        <v>112</v>
      </c>
      <c r="O297" t="s">
        <v>142</v>
      </c>
      <c r="P297" t="str">
        <f t="shared" si="4"/>
        <v>Faridabad|Printer Pro</v>
      </c>
    </row>
    <row r="298" spans="1:16" x14ac:dyDescent="0.3">
      <c r="A298" s="15">
        <v>46066</v>
      </c>
      <c r="B298" t="s">
        <v>34</v>
      </c>
      <c r="C298" t="s">
        <v>126</v>
      </c>
      <c r="D298" t="s">
        <v>196</v>
      </c>
      <c r="E298" t="s">
        <v>197</v>
      </c>
      <c r="F298" t="s">
        <v>97</v>
      </c>
      <c r="G298" t="s">
        <v>87</v>
      </c>
      <c r="H298" t="s">
        <v>110</v>
      </c>
      <c r="I298" t="s">
        <v>265</v>
      </c>
      <c r="J298">
        <v>11</v>
      </c>
      <c r="K298" s="16">
        <v>130625</v>
      </c>
      <c r="L298" s="16">
        <v>89564.9</v>
      </c>
      <c r="M298" s="16">
        <v>41060.1</v>
      </c>
      <c r="N298" t="s">
        <v>141</v>
      </c>
      <c r="O298" t="s">
        <v>113</v>
      </c>
      <c r="P298" t="str">
        <f t="shared" si="4"/>
        <v>Dwarka|Microwave</v>
      </c>
    </row>
    <row r="299" spans="1:16" x14ac:dyDescent="0.3">
      <c r="A299" s="15">
        <v>46247</v>
      </c>
      <c r="B299" t="s">
        <v>34</v>
      </c>
      <c r="C299" t="s">
        <v>121</v>
      </c>
      <c r="D299" t="s">
        <v>122</v>
      </c>
      <c r="E299" t="s">
        <v>166</v>
      </c>
      <c r="F299" t="s">
        <v>94</v>
      </c>
      <c r="G299" t="s">
        <v>64</v>
      </c>
      <c r="H299" t="s">
        <v>110</v>
      </c>
      <c r="I299" t="s">
        <v>328</v>
      </c>
      <c r="J299">
        <v>8</v>
      </c>
      <c r="K299" s="16">
        <v>159600</v>
      </c>
      <c r="L299" s="16">
        <v>114958.32</v>
      </c>
      <c r="M299" s="16">
        <v>44641.68</v>
      </c>
      <c r="N299" t="s">
        <v>131</v>
      </c>
      <c r="O299" t="s">
        <v>113</v>
      </c>
      <c r="P299" t="str">
        <f t="shared" si="4"/>
        <v>Kolkata|Monitor 27</v>
      </c>
    </row>
    <row r="300" spans="1:16" x14ac:dyDescent="0.3">
      <c r="A300" s="15">
        <v>46067</v>
      </c>
      <c r="B300" t="s">
        <v>120</v>
      </c>
      <c r="C300" t="s">
        <v>121</v>
      </c>
      <c r="D300" t="s">
        <v>122</v>
      </c>
      <c r="E300" t="s">
        <v>166</v>
      </c>
      <c r="F300" t="s">
        <v>97</v>
      </c>
      <c r="G300" t="s">
        <v>88</v>
      </c>
      <c r="H300" t="s">
        <v>173</v>
      </c>
      <c r="I300" t="s">
        <v>172</v>
      </c>
      <c r="J300">
        <v>13</v>
      </c>
      <c r="K300" s="16">
        <v>188500</v>
      </c>
      <c r="L300" s="16">
        <v>127659.74</v>
      </c>
      <c r="M300" s="16">
        <v>60840.26</v>
      </c>
      <c r="N300" t="s">
        <v>112</v>
      </c>
      <c r="O300" t="s">
        <v>119</v>
      </c>
      <c r="P300" t="str">
        <f t="shared" si="4"/>
        <v>Kolkata|Vacuum Cleaner</v>
      </c>
    </row>
    <row r="301" spans="1:16" x14ac:dyDescent="0.3">
      <c r="A301" s="15">
        <v>46213</v>
      </c>
      <c r="B301" t="s">
        <v>120</v>
      </c>
      <c r="C301" t="s">
        <v>121</v>
      </c>
      <c r="D301" t="s">
        <v>122</v>
      </c>
      <c r="E301" t="s">
        <v>123</v>
      </c>
      <c r="F301" t="s">
        <v>96</v>
      </c>
      <c r="G301" t="s">
        <v>80</v>
      </c>
      <c r="H301" t="s">
        <v>184</v>
      </c>
      <c r="I301" t="s">
        <v>225</v>
      </c>
      <c r="J301">
        <v>9</v>
      </c>
      <c r="K301" s="16">
        <v>112500</v>
      </c>
      <c r="L301" s="16">
        <v>86129.2</v>
      </c>
      <c r="M301" s="16">
        <v>26370.799999999999</v>
      </c>
      <c r="N301" t="s">
        <v>125</v>
      </c>
      <c r="O301" t="s">
        <v>113</v>
      </c>
      <c r="P301" t="str">
        <f t="shared" si="4"/>
        <v>Durgapur|Office Chair</v>
      </c>
    </row>
    <row r="302" spans="1:16" x14ac:dyDescent="0.3">
      <c r="A302" s="15">
        <v>46211</v>
      </c>
      <c r="B302" t="s">
        <v>34</v>
      </c>
      <c r="C302" t="s">
        <v>107</v>
      </c>
      <c r="D302" t="s">
        <v>115</v>
      </c>
      <c r="E302" t="s">
        <v>191</v>
      </c>
      <c r="F302" t="s">
        <v>96</v>
      </c>
      <c r="G302" t="s">
        <v>82</v>
      </c>
      <c r="H302" t="s">
        <v>139</v>
      </c>
      <c r="I302" t="s">
        <v>216</v>
      </c>
      <c r="J302">
        <v>16</v>
      </c>
      <c r="K302" s="16">
        <v>401280</v>
      </c>
      <c r="L302" s="16">
        <v>290288.21999999997</v>
      </c>
      <c r="M302" s="16">
        <v>110991.78</v>
      </c>
      <c r="N302" t="s">
        <v>141</v>
      </c>
      <c r="O302" t="s">
        <v>113</v>
      </c>
      <c r="P302" t="str">
        <f t="shared" si="4"/>
        <v>Surat|Standing Desk</v>
      </c>
    </row>
    <row r="303" spans="1:16" x14ac:dyDescent="0.3">
      <c r="A303" s="15">
        <v>46041</v>
      </c>
      <c r="B303" t="s">
        <v>34</v>
      </c>
      <c r="C303" t="s">
        <v>121</v>
      </c>
      <c r="D303" t="s">
        <v>122</v>
      </c>
      <c r="E303" t="s">
        <v>123</v>
      </c>
      <c r="F303" t="s">
        <v>94</v>
      </c>
      <c r="G303" t="s">
        <v>70</v>
      </c>
      <c r="H303" t="s">
        <v>133</v>
      </c>
      <c r="I303" t="s">
        <v>176</v>
      </c>
      <c r="J303">
        <v>8</v>
      </c>
      <c r="K303" s="16">
        <v>124000</v>
      </c>
      <c r="L303" s="16">
        <v>82533.58</v>
      </c>
      <c r="M303" s="16">
        <v>41466.42</v>
      </c>
      <c r="N303" t="s">
        <v>112</v>
      </c>
      <c r="O303" t="s">
        <v>119</v>
      </c>
      <c r="P303" t="str">
        <f t="shared" si="4"/>
        <v>Durgapur|Printer Pro</v>
      </c>
    </row>
    <row r="304" spans="1:16" x14ac:dyDescent="0.3">
      <c r="A304" s="15">
        <v>46238</v>
      </c>
      <c r="B304" t="s">
        <v>114</v>
      </c>
      <c r="C304" t="s">
        <v>152</v>
      </c>
      <c r="D304" t="s">
        <v>187</v>
      </c>
      <c r="E304" t="s">
        <v>188</v>
      </c>
      <c r="F304" t="s">
        <v>96</v>
      </c>
      <c r="G304" t="s">
        <v>83</v>
      </c>
      <c r="H304" t="s">
        <v>129</v>
      </c>
      <c r="I304" t="s">
        <v>329</v>
      </c>
      <c r="J304">
        <v>9</v>
      </c>
      <c r="K304" s="16">
        <v>324000</v>
      </c>
      <c r="L304" s="16">
        <v>231340.87</v>
      </c>
      <c r="M304" s="16">
        <v>92659.13</v>
      </c>
      <c r="N304" t="s">
        <v>141</v>
      </c>
      <c r="O304" t="s">
        <v>142</v>
      </c>
      <c r="P304" t="str">
        <f t="shared" si="4"/>
        <v>Warangal|Meeting Table</v>
      </c>
    </row>
    <row r="305" spans="1:16" x14ac:dyDescent="0.3">
      <c r="A305" s="15">
        <v>46120</v>
      </c>
      <c r="B305" t="s">
        <v>120</v>
      </c>
      <c r="C305" t="s">
        <v>152</v>
      </c>
      <c r="D305" t="s">
        <v>153</v>
      </c>
      <c r="E305" t="s">
        <v>169</v>
      </c>
      <c r="F305" t="s">
        <v>95</v>
      </c>
      <c r="G305" t="s">
        <v>74</v>
      </c>
      <c r="H305" t="s">
        <v>184</v>
      </c>
      <c r="I305" t="s">
        <v>182</v>
      </c>
      <c r="J305">
        <v>8</v>
      </c>
      <c r="K305" s="16">
        <v>38400</v>
      </c>
      <c r="L305" s="16">
        <v>30441.49</v>
      </c>
      <c r="M305" s="16">
        <v>7958.51</v>
      </c>
      <c r="N305" t="s">
        <v>131</v>
      </c>
      <c r="O305" t="s">
        <v>113</v>
      </c>
      <c r="P305" t="str">
        <f t="shared" si="4"/>
        <v>Chennai|Headset</v>
      </c>
    </row>
    <row r="306" spans="1:16" x14ac:dyDescent="0.3">
      <c r="A306" s="15">
        <v>46097</v>
      </c>
      <c r="B306" t="s">
        <v>34</v>
      </c>
      <c r="C306" t="s">
        <v>126</v>
      </c>
      <c r="D306" t="s">
        <v>127</v>
      </c>
      <c r="E306" t="s">
        <v>128</v>
      </c>
      <c r="F306" t="s">
        <v>94</v>
      </c>
      <c r="G306" t="s">
        <v>70</v>
      </c>
      <c r="H306" t="s">
        <v>133</v>
      </c>
      <c r="I306" t="s">
        <v>241</v>
      </c>
      <c r="J306">
        <v>19</v>
      </c>
      <c r="K306" s="16">
        <v>259160</v>
      </c>
      <c r="L306" s="16">
        <v>185812.2</v>
      </c>
      <c r="M306" s="16">
        <v>73347.8</v>
      </c>
      <c r="N306" t="s">
        <v>112</v>
      </c>
      <c r="O306" t="s">
        <v>142</v>
      </c>
      <c r="P306" t="str">
        <f t="shared" si="4"/>
        <v>Gurugram|Printer Pro</v>
      </c>
    </row>
    <row r="307" spans="1:16" x14ac:dyDescent="0.3">
      <c r="A307" s="15">
        <v>46152</v>
      </c>
      <c r="B307" t="s">
        <v>34</v>
      </c>
      <c r="C307" t="s">
        <v>126</v>
      </c>
      <c r="D307" t="s">
        <v>196</v>
      </c>
      <c r="E307" t="s">
        <v>208</v>
      </c>
      <c r="F307" t="s">
        <v>95</v>
      </c>
      <c r="G307" t="s">
        <v>76</v>
      </c>
      <c r="H307" t="s">
        <v>110</v>
      </c>
      <c r="I307" t="s">
        <v>322</v>
      </c>
      <c r="J307">
        <v>3</v>
      </c>
      <c r="K307" s="16">
        <v>5238</v>
      </c>
      <c r="L307" s="16">
        <v>4167.92</v>
      </c>
      <c r="M307" s="16">
        <v>1070.08</v>
      </c>
      <c r="N307" t="s">
        <v>141</v>
      </c>
      <c r="O307" t="s">
        <v>113</v>
      </c>
      <c r="P307" t="str">
        <f t="shared" si="4"/>
        <v>New Delhi|Mouse</v>
      </c>
    </row>
    <row r="308" spans="1:16" x14ac:dyDescent="0.3">
      <c r="A308" s="15">
        <v>46083</v>
      </c>
      <c r="B308" t="s">
        <v>34</v>
      </c>
      <c r="C308" t="s">
        <v>126</v>
      </c>
      <c r="D308" t="s">
        <v>162</v>
      </c>
      <c r="E308" t="s">
        <v>204</v>
      </c>
      <c r="F308" t="s">
        <v>94</v>
      </c>
      <c r="G308" t="s">
        <v>67</v>
      </c>
      <c r="H308" t="s">
        <v>133</v>
      </c>
      <c r="I308" t="s">
        <v>308</v>
      </c>
      <c r="J308">
        <v>3</v>
      </c>
      <c r="K308" s="16">
        <v>91080</v>
      </c>
      <c r="L308" s="16">
        <v>60042.34</v>
      </c>
      <c r="M308" s="16">
        <v>31037.66</v>
      </c>
      <c r="N308" t="s">
        <v>125</v>
      </c>
      <c r="O308" t="s">
        <v>113</v>
      </c>
      <c r="P308" t="str">
        <f t="shared" si="4"/>
        <v>Noida|Tablet X</v>
      </c>
    </row>
    <row r="309" spans="1:16" x14ac:dyDescent="0.3">
      <c r="A309" s="15">
        <v>46060</v>
      </c>
      <c r="B309" t="s">
        <v>114</v>
      </c>
      <c r="C309" t="s">
        <v>152</v>
      </c>
      <c r="D309" t="s">
        <v>156</v>
      </c>
      <c r="E309" t="s">
        <v>157</v>
      </c>
      <c r="F309" t="s">
        <v>95</v>
      </c>
      <c r="G309" t="s">
        <v>72</v>
      </c>
      <c r="H309" t="s">
        <v>135</v>
      </c>
      <c r="I309" t="s">
        <v>321</v>
      </c>
      <c r="J309">
        <v>12</v>
      </c>
      <c r="K309" s="16">
        <v>33792</v>
      </c>
      <c r="L309" s="16">
        <v>26529.13</v>
      </c>
      <c r="M309" s="16">
        <v>7262.87</v>
      </c>
      <c r="N309" t="s">
        <v>141</v>
      </c>
      <c r="O309" t="s">
        <v>113</v>
      </c>
      <c r="P309" t="str">
        <f t="shared" si="4"/>
        <v>Mysuru|Keyboard</v>
      </c>
    </row>
    <row r="310" spans="1:16" x14ac:dyDescent="0.3">
      <c r="A310" s="15">
        <v>46251</v>
      </c>
      <c r="B310" t="s">
        <v>114</v>
      </c>
      <c r="C310" t="s">
        <v>126</v>
      </c>
      <c r="D310" t="s">
        <v>127</v>
      </c>
      <c r="E310" t="s">
        <v>128</v>
      </c>
      <c r="F310" t="s">
        <v>94</v>
      </c>
      <c r="G310" t="s">
        <v>67</v>
      </c>
      <c r="H310" t="s">
        <v>133</v>
      </c>
      <c r="I310" t="s">
        <v>330</v>
      </c>
      <c r="J310">
        <v>18</v>
      </c>
      <c r="K310" s="16">
        <v>546480</v>
      </c>
      <c r="L310" s="16">
        <v>414323.42</v>
      </c>
      <c r="M310" s="16">
        <v>132156.57999999999</v>
      </c>
      <c r="N310" t="s">
        <v>125</v>
      </c>
      <c r="O310" t="s">
        <v>119</v>
      </c>
      <c r="P310" t="str">
        <f t="shared" si="4"/>
        <v>Gurugram|Tablet X</v>
      </c>
    </row>
    <row r="311" spans="1:16" x14ac:dyDescent="0.3">
      <c r="A311" s="15">
        <v>46265</v>
      </c>
      <c r="B311" t="s">
        <v>34</v>
      </c>
      <c r="C311" t="s">
        <v>121</v>
      </c>
      <c r="D311" t="s">
        <v>137</v>
      </c>
      <c r="E311" t="s">
        <v>138</v>
      </c>
      <c r="F311" t="s">
        <v>97</v>
      </c>
      <c r="G311" t="s">
        <v>86</v>
      </c>
      <c r="H311" t="s">
        <v>139</v>
      </c>
      <c r="I311" t="s">
        <v>209</v>
      </c>
      <c r="J311">
        <v>3</v>
      </c>
      <c r="K311" s="16">
        <v>19500</v>
      </c>
      <c r="L311" s="16">
        <v>14930.8</v>
      </c>
      <c r="M311" s="16">
        <v>4569.2</v>
      </c>
      <c r="N311" t="s">
        <v>112</v>
      </c>
      <c r="O311" t="s">
        <v>119</v>
      </c>
      <c r="P311" t="str">
        <f t="shared" si="4"/>
        <v>Cuttack|Coffee Maker</v>
      </c>
    </row>
    <row r="312" spans="1:16" x14ac:dyDescent="0.3">
      <c r="A312" s="15">
        <v>46189</v>
      </c>
      <c r="B312" t="s">
        <v>114</v>
      </c>
      <c r="C312" t="s">
        <v>121</v>
      </c>
      <c r="D312" t="s">
        <v>146</v>
      </c>
      <c r="E312" t="s">
        <v>175</v>
      </c>
      <c r="F312" t="s">
        <v>97</v>
      </c>
      <c r="G312" t="s">
        <v>86</v>
      </c>
      <c r="H312" t="s">
        <v>117</v>
      </c>
      <c r="I312" t="s">
        <v>331</v>
      </c>
      <c r="J312">
        <v>5</v>
      </c>
      <c r="K312" s="16">
        <v>31525</v>
      </c>
      <c r="L312" s="16">
        <v>21385.94</v>
      </c>
      <c r="M312" s="16">
        <v>10139.06</v>
      </c>
      <c r="N312" t="s">
        <v>131</v>
      </c>
      <c r="O312" t="s">
        <v>142</v>
      </c>
      <c r="P312" t="str">
        <f t="shared" si="4"/>
        <v>Dibrugarh|Coffee Maker</v>
      </c>
    </row>
    <row r="313" spans="1:16" x14ac:dyDescent="0.3">
      <c r="A313" s="15">
        <v>46214</v>
      </c>
      <c r="B313" t="s">
        <v>34</v>
      </c>
      <c r="C313" t="s">
        <v>126</v>
      </c>
      <c r="D313" t="s">
        <v>162</v>
      </c>
      <c r="E313" t="s">
        <v>163</v>
      </c>
      <c r="F313" t="s">
        <v>96</v>
      </c>
      <c r="G313" t="s">
        <v>83</v>
      </c>
      <c r="H313" t="s">
        <v>173</v>
      </c>
      <c r="I313" t="s">
        <v>195</v>
      </c>
      <c r="J313">
        <v>10</v>
      </c>
      <c r="K313" s="16">
        <v>316800</v>
      </c>
      <c r="L313" s="16">
        <v>230570.08</v>
      </c>
      <c r="M313" s="16">
        <v>86229.92</v>
      </c>
      <c r="N313" t="s">
        <v>131</v>
      </c>
      <c r="O313" t="s">
        <v>142</v>
      </c>
      <c r="P313" t="str">
        <f t="shared" si="4"/>
        <v>Lucknow|Meeting Table</v>
      </c>
    </row>
    <row r="314" spans="1:16" x14ac:dyDescent="0.3">
      <c r="A314" s="15">
        <v>46222</v>
      </c>
      <c r="B314" t="s">
        <v>34</v>
      </c>
      <c r="C314" t="s">
        <v>121</v>
      </c>
      <c r="D314" t="s">
        <v>122</v>
      </c>
      <c r="E314" t="s">
        <v>166</v>
      </c>
      <c r="F314" t="s">
        <v>97</v>
      </c>
      <c r="G314" t="s">
        <v>85</v>
      </c>
      <c r="H314" t="s">
        <v>129</v>
      </c>
      <c r="I314" t="s">
        <v>332</v>
      </c>
      <c r="J314">
        <v>11</v>
      </c>
      <c r="K314" s="16">
        <v>198000</v>
      </c>
      <c r="L314" s="16">
        <v>134947.54999999999</v>
      </c>
      <c r="M314" s="16">
        <v>63052.45</v>
      </c>
      <c r="N314" t="s">
        <v>125</v>
      </c>
      <c r="O314" t="s">
        <v>119</v>
      </c>
      <c r="P314" t="str">
        <f t="shared" si="4"/>
        <v>Kolkata|Air Purifier</v>
      </c>
    </row>
    <row r="315" spans="1:16" x14ac:dyDescent="0.3">
      <c r="A315" s="15">
        <v>46229</v>
      </c>
      <c r="B315" t="s">
        <v>114</v>
      </c>
      <c r="C315" t="s">
        <v>152</v>
      </c>
      <c r="D315" t="s">
        <v>156</v>
      </c>
      <c r="E315" t="s">
        <v>157</v>
      </c>
      <c r="F315" t="s">
        <v>96</v>
      </c>
      <c r="G315" t="s">
        <v>83</v>
      </c>
      <c r="H315" t="s">
        <v>173</v>
      </c>
      <c r="I315" t="s">
        <v>216</v>
      </c>
      <c r="J315">
        <v>17</v>
      </c>
      <c r="K315" s="16">
        <v>612000</v>
      </c>
      <c r="L315" s="16">
        <v>435447.52</v>
      </c>
      <c r="M315" s="16">
        <v>176552.48</v>
      </c>
      <c r="N315" t="s">
        <v>131</v>
      </c>
      <c r="O315" t="s">
        <v>113</v>
      </c>
      <c r="P315" t="str">
        <f t="shared" si="4"/>
        <v>Mysuru|Meeting Table</v>
      </c>
    </row>
    <row r="316" spans="1:16" x14ac:dyDescent="0.3">
      <c r="A316" s="15">
        <v>46119</v>
      </c>
      <c r="B316" t="s">
        <v>120</v>
      </c>
      <c r="C316" t="s">
        <v>152</v>
      </c>
      <c r="D316" t="s">
        <v>156</v>
      </c>
      <c r="E316" t="s">
        <v>238</v>
      </c>
      <c r="F316" t="s">
        <v>96</v>
      </c>
      <c r="G316" t="s">
        <v>80</v>
      </c>
      <c r="H316" t="s">
        <v>184</v>
      </c>
      <c r="I316" t="s">
        <v>333</v>
      </c>
      <c r="J316">
        <v>3</v>
      </c>
      <c r="K316" s="16">
        <v>33000</v>
      </c>
      <c r="L316" s="16">
        <v>24021.42</v>
      </c>
      <c r="M316" s="16">
        <v>8978.58</v>
      </c>
      <c r="N316" t="s">
        <v>125</v>
      </c>
      <c r="O316" t="s">
        <v>113</v>
      </c>
      <c r="P316" t="str">
        <f t="shared" si="4"/>
        <v>Bengaluru|Office Chair</v>
      </c>
    </row>
    <row r="317" spans="1:16" x14ac:dyDescent="0.3">
      <c r="A317" s="15">
        <v>46153</v>
      </c>
      <c r="B317" t="s">
        <v>120</v>
      </c>
      <c r="C317" t="s">
        <v>152</v>
      </c>
      <c r="D317" t="s">
        <v>187</v>
      </c>
      <c r="E317" t="s">
        <v>199</v>
      </c>
      <c r="F317" t="s">
        <v>94</v>
      </c>
      <c r="G317" t="s">
        <v>70</v>
      </c>
      <c r="H317" t="s">
        <v>139</v>
      </c>
      <c r="I317" t="s">
        <v>151</v>
      </c>
      <c r="J317">
        <v>12</v>
      </c>
      <c r="K317" s="16">
        <v>176700</v>
      </c>
      <c r="L317" s="16">
        <v>124043.27</v>
      </c>
      <c r="M317" s="16">
        <v>52656.73</v>
      </c>
      <c r="N317" t="s">
        <v>141</v>
      </c>
      <c r="O317" t="s">
        <v>113</v>
      </c>
      <c r="P317" t="str">
        <f t="shared" si="4"/>
        <v>Hyderabad|Printer Pro</v>
      </c>
    </row>
    <row r="318" spans="1:16" x14ac:dyDescent="0.3">
      <c r="A318" s="15">
        <v>46037</v>
      </c>
      <c r="B318" t="s">
        <v>34</v>
      </c>
      <c r="C318" t="s">
        <v>121</v>
      </c>
      <c r="D318" t="s">
        <v>137</v>
      </c>
      <c r="E318" t="s">
        <v>138</v>
      </c>
      <c r="F318" t="s">
        <v>96</v>
      </c>
      <c r="G318" t="s">
        <v>80</v>
      </c>
      <c r="H318" t="s">
        <v>117</v>
      </c>
      <c r="I318" t="s">
        <v>334</v>
      </c>
      <c r="J318">
        <v>5</v>
      </c>
      <c r="K318" s="16">
        <v>57500</v>
      </c>
      <c r="L318" s="16">
        <v>46355.7</v>
      </c>
      <c r="M318" s="16">
        <v>11144.3</v>
      </c>
      <c r="N318" t="s">
        <v>131</v>
      </c>
      <c r="O318" t="s">
        <v>119</v>
      </c>
      <c r="P318" t="str">
        <f t="shared" si="4"/>
        <v>Cuttack|Office Chair</v>
      </c>
    </row>
    <row r="319" spans="1:16" x14ac:dyDescent="0.3">
      <c r="A319" s="15">
        <v>46112</v>
      </c>
      <c r="B319" t="s">
        <v>34</v>
      </c>
      <c r="C319" t="s">
        <v>152</v>
      </c>
      <c r="D319" t="s">
        <v>156</v>
      </c>
      <c r="E319" t="s">
        <v>238</v>
      </c>
      <c r="F319" t="s">
        <v>97</v>
      </c>
      <c r="G319" t="s">
        <v>87</v>
      </c>
      <c r="H319" t="s">
        <v>139</v>
      </c>
      <c r="I319" t="s">
        <v>209</v>
      </c>
      <c r="J319">
        <v>17</v>
      </c>
      <c r="K319" s="16">
        <v>206125</v>
      </c>
      <c r="L319" s="16">
        <v>165191.57</v>
      </c>
      <c r="M319" s="16">
        <v>40933.43</v>
      </c>
      <c r="N319" t="s">
        <v>125</v>
      </c>
      <c r="O319" t="s">
        <v>119</v>
      </c>
      <c r="P319" t="str">
        <f t="shared" si="4"/>
        <v>Bengaluru|Microwave</v>
      </c>
    </row>
    <row r="320" spans="1:16" x14ac:dyDescent="0.3">
      <c r="A320" s="15">
        <v>46174</v>
      </c>
      <c r="B320" t="s">
        <v>114</v>
      </c>
      <c r="C320" t="s">
        <v>152</v>
      </c>
      <c r="D320" t="s">
        <v>187</v>
      </c>
      <c r="E320" t="s">
        <v>199</v>
      </c>
      <c r="F320" t="s">
        <v>94</v>
      </c>
      <c r="G320" t="s">
        <v>70</v>
      </c>
      <c r="H320" t="s">
        <v>117</v>
      </c>
      <c r="I320" t="s">
        <v>335</v>
      </c>
      <c r="J320">
        <v>2</v>
      </c>
      <c r="K320" s="16">
        <v>31000</v>
      </c>
      <c r="L320" s="16">
        <v>19618.240000000002</v>
      </c>
      <c r="M320" s="16">
        <v>11381.76</v>
      </c>
      <c r="N320" t="s">
        <v>131</v>
      </c>
      <c r="O320" t="s">
        <v>113</v>
      </c>
      <c r="P320" t="str">
        <f t="shared" si="4"/>
        <v>Hyderabad|Printer Pro</v>
      </c>
    </row>
    <row r="321" spans="1:16" x14ac:dyDescent="0.3">
      <c r="A321" s="15">
        <v>46061</v>
      </c>
      <c r="B321" t="s">
        <v>120</v>
      </c>
      <c r="C321" t="s">
        <v>121</v>
      </c>
      <c r="D321" t="s">
        <v>122</v>
      </c>
      <c r="E321" t="s">
        <v>166</v>
      </c>
      <c r="F321" t="s">
        <v>95</v>
      </c>
      <c r="G321" t="s">
        <v>78</v>
      </c>
      <c r="H321" t="s">
        <v>117</v>
      </c>
      <c r="I321" t="s">
        <v>164</v>
      </c>
      <c r="J321">
        <v>9</v>
      </c>
      <c r="K321" s="16">
        <v>36666</v>
      </c>
      <c r="L321" s="16">
        <v>28885.98</v>
      </c>
      <c r="M321" s="16">
        <v>7780.02</v>
      </c>
      <c r="N321" t="s">
        <v>112</v>
      </c>
      <c r="O321" t="s">
        <v>113</v>
      </c>
      <c r="P321" t="str">
        <f t="shared" si="4"/>
        <v>Kolkata|Webcam</v>
      </c>
    </row>
    <row r="322" spans="1:16" x14ac:dyDescent="0.3">
      <c r="A322" s="15">
        <v>46032</v>
      </c>
      <c r="B322" t="s">
        <v>34</v>
      </c>
      <c r="C322" t="s">
        <v>152</v>
      </c>
      <c r="D322" t="s">
        <v>153</v>
      </c>
      <c r="E322" t="s">
        <v>154</v>
      </c>
      <c r="F322" t="s">
        <v>96</v>
      </c>
      <c r="G322" t="s">
        <v>82</v>
      </c>
      <c r="H322" t="s">
        <v>139</v>
      </c>
      <c r="I322" t="s">
        <v>305</v>
      </c>
      <c r="J322">
        <v>9</v>
      </c>
      <c r="K322" s="16">
        <v>256500</v>
      </c>
      <c r="L322" s="16">
        <v>166200.07999999999</v>
      </c>
      <c r="M322" s="16">
        <v>90299.92</v>
      </c>
      <c r="N322" t="s">
        <v>141</v>
      </c>
      <c r="O322" t="s">
        <v>113</v>
      </c>
      <c r="P322" t="str">
        <f t="shared" si="4"/>
        <v>Coimbatore|Standing Desk</v>
      </c>
    </row>
    <row r="323" spans="1:16" x14ac:dyDescent="0.3">
      <c r="A323" s="15">
        <v>46177</v>
      </c>
      <c r="B323" t="s">
        <v>34</v>
      </c>
      <c r="C323" t="s">
        <v>121</v>
      </c>
      <c r="D323" t="s">
        <v>146</v>
      </c>
      <c r="E323" t="s">
        <v>175</v>
      </c>
      <c r="F323" t="s">
        <v>97</v>
      </c>
      <c r="G323" t="s">
        <v>85</v>
      </c>
      <c r="H323" t="s">
        <v>129</v>
      </c>
      <c r="I323" t="s">
        <v>198</v>
      </c>
      <c r="J323">
        <v>9</v>
      </c>
      <c r="K323" s="16">
        <v>153900</v>
      </c>
      <c r="L323" s="16">
        <v>123306.29</v>
      </c>
      <c r="M323" s="16">
        <v>30593.71</v>
      </c>
      <c r="N323" t="s">
        <v>125</v>
      </c>
      <c r="O323" t="s">
        <v>113</v>
      </c>
      <c r="P323" t="str">
        <f t="shared" si="4"/>
        <v>Dibrugarh|Air Purifier</v>
      </c>
    </row>
    <row r="324" spans="1:16" x14ac:dyDescent="0.3">
      <c r="A324" s="15">
        <v>46088</v>
      </c>
      <c r="B324" t="s">
        <v>34</v>
      </c>
      <c r="C324" t="s">
        <v>152</v>
      </c>
      <c r="D324" t="s">
        <v>153</v>
      </c>
      <c r="E324" t="s">
        <v>154</v>
      </c>
      <c r="F324" t="s">
        <v>94</v>
      </c>
      <c r="G324" t="s">
        <v>64</v>
      </c>
      <c r="H324" t="s">
        <v>133</v>
      </c>
      <c r="I324" t="s">
        <v>336</v>
      </c>
      <c r="J324">
        <v>8</v>
      </c>
      <c r="K324" s="16">
        <v>147840</v>
      </c>
      <c r="L324" s="16">
        <v>91974.51</v>
      </c>
      <c r="M324" s="16">
        <v>55865.49</v>
      </c>
      <c r="N324" t="s">
        <v>125</v>
      </c>
      <c r="O324" t="s">
        <v>113</v>
      </c>
      <c r="P324" t="str">
        <f t="shared" si="4"/>
        <v>Coimbatore|Monitor 27</v>
      </c>
    </row>
    <row r="325" spans="1:16" x14ac:dyDescent="0.3">
      <c r="A325" s="15">
        <v>46058</v>
      </c>
      <c r="B325" t="s">
        <v>34</v>
      </c>
      <c r="C325" t="s">
        <v>107</v>
      </c>
      <c r="D325" t="s">
        <v>108</v>
      </c>
      <c r="E325" t="s">
        <v>132</v>
      </c>
      <c r="F325" t="s">
        <v>95</v>
      </c>
      <c r="G325" t="s">
        <v>76</v>
      </c>
      <c r="H325" t="s">
        <v>184</v>
      </c>
      <c r="I325" t="s">
        <v>283</v>
      </c>
      <c r="J325">
        <v>16</v>
      </c>
      <c r="K325" s="16">
        <v>27936</v>
      </c>
      <c r="L325" s="16">
        <v>17944.7</v>
      </c>
      <c r="M325" s="16">
        <v>9991.2999999999993</v>
      </c>
      <c r="N325" t="s">
        <v>131</v>
      </c>
      <c r="O325" t="s">
        <v>113</v>
      </c>
      <c r="P325" t="str">
        <f t="shared" ref="P325:P388" si="5">E325&amp;"|"&amp;G325</f>
        <v>Jaipur|Mouse</v>
      </c>
    </row>
    <row r="326" spans="1:16" x14ac:dyDescent="0.3">
      <c r="A326" s="15">
        <v>46120</v>
      </c>
      <c r="B326" t="s">
        <v>34</v>
      </c>
      <c r="C326" t="s">
        <v>121</v>
      </c>
      <c r="D326" t="s">
        <v>137</v>
      </c>
      <c r="E326" t="s">
        <v>171</v>
      </c>
      <c r="F326" t="s">
        <v>97</v>
      </c>
      <c r="G326" t="s">
        <v>87</v>
      </c>
      <c r="H326" t="s">
        <v>184</v>
      </c>
      <c r="I326" t="s">
        <v>174</v>
      </c>
      <c r="J326">
        <v>14</v>
      </c>
      <c r="K326" s="16">
        <v>175000</v>
      </c>
      <c r="L326" s="16">
        <v>133890.07999999999</v>
      </c>
      <c r="M326" s="16">
        <v>41109.919999999998</v>
      </c>
      <c r="N326" t="s">
        <v>141</v>
      </c>
      <c r="O326" t="s">
        <v>113</v>
      </c>
      <c r="P326" t="str">
        <f t="shared" si="5"/>
        <v>Bhubaneswar|Microwave</v>
      </c>
    </row>
    <row r="327" spans="1:16" x14ac:dyDescent="0.3">
      <c r="A327" s="15">
        <v>46226</v>
      </c>
      <c r="B327" t="s">
        <v>120</v>
      </c>
      <c r="C327" t="s">
        <v>121</v>
      </c>
      <c r="D327" t="s">
        <v>137</v>
      </c>
      <c r="E327" t="s">
        <v>171</v>
      </c>
      <c r="F327" t="s">
        <v>95</v>
      </c>
      <c r="G327" t="s">
        <v>72</v>
      </c>
      <c r="H327" t="s">
        <v>173</v>
      </c>
      <c r="I327" t="s">
        <v>172</v>
      </c>
      <c r="J327">
        <v>7</v>
      </c>
      <c r="K327" s="16">
        <v>22400</v>
      </c>
      <c r="L327" s="16">
        <v>15528.45</v>
      </c>
      <c r="M327" s="16">
        <v>6871.55</v>
      </c>
      <c r="N327" t="s">
        <v>141</v>
      </c>
      <c r="O327" t="s">
        <v>113</v>
      </c>
      <c r="P327" t="str">
        <f t="shared" si="5"/>
        <v>Bhubaneswar|Keyboard</v>
      </c>
    </row>
    <row r="328" spans="1:16" x14ac:dyDescent="0.3">
      <c r="A328" s="15">
        <v>46029</v>
      </c>
      <c r="B328" t="s">
        <v>34</v>
      </c>
      <c r="C328" t="s">
        <v>152</v>
      </c>
      <c r="D328" t="s">
        <v>156</v>
      </c>
      <c r="E328" t="s">
        <v>157</v>
      </c>
      <c r="F328" t="s">
        <v>94</v>
      </c>
      <c r="G328" t="s">
        <v>61</v>
      </c>
      <c r="H328" t="s">
        <v>117</v>
      </c>
      <c r="I328" t="s">
        <v>329</v>
      </c>
      <c r="J328">
        <v>7</v>
      </c>
      <c r="K328" s="16">
        <v>518700</v>
      </c>
      <c r="L328" s="16">
        <v>365235.08</v>
      </c>
      <c r="M328" s="16">
        <v>153464.92000000001</v>
      </c>
      <c r="N328" t="s">
        <v>131</v>
      </c>
      <c r="O328" t="s">
        <v>142</v>
      </c>
      <c r="P328" t="str">
        <f t="shared" si="5"/>
        <v>Mysuru|Laptop Pro</v>
      </c>
    </row>
    <row r="329" spans="1:16" x14ac:dyDescent="0.3">
      <c r="A329" s="15">
        <v>46231</v>
      </c>
      <c r="B329" t="s">
        <v>34</v>
      </c>
      <c r="C329" t="s">
        <v>107</v>
      </c>
      <c r="D329" t="s">
        <v>115</v>
      </c>
      <c r="E329" t="s">
        <v>191</v>
      </c>
      <c r="F329" t="s">
        <v>94</v>
      </c>
      <c r="G329" t="s">
        <v>64</v>
      </c>
      <c r="H329" t="s">
        <v>135</v>
      </c>
      <c r="I329" t="s">
        <v>333</v>
      </c>
      <c r="J329">
        <v>3</v>
      </c>
      <c r="K329" s="16">
        <v>63000</v>
      </c>
      <c r="L329" s="16">
        <v>47613.49</v>
      </c>
      <c r="M329" s="16">
        <v>15386.51</v>
      </c>
      <c r="N329" t="s">
        <v>125</v>
      </c>
      <c r="O329" t="s">
        <v>113</v>
      </c>
      <c r="P329" t="str">
        <f t="shared" si="5"/>
        <v>Surat|Monitor 27</v>
      </c>
    </row>
    <row r="330" spans="1:16" x14ac:dyDescent="0.3">
      <c r="A330" s="15">
        <v>46195</v>
      </c>
      <c r="B330" t="s">
        <v>34</v>
      </c>
      <c r="C330" t="s">
        <v>126</v>
      </c>
      <c r="D330" t="s">
        <v>162</v>
      </c>
      <c r="E330" t="s">
        <v>163</v>
      </c>
      <c r="F330" t="s">
        <v>96</v>
      </c>
      <c r="G330" t="s">
        <v>82</v>
      </c>
      <c r="H330" t="s">
        <v>129</v>
      </c>
      <c r="I330" t="s">
        <v>177</v>
      </c>
      <c r="J330">
        <v>13</v>
      </c>
      <c r="K330" s="16">
        <v>340860</v>
      </c>
      <c r="L330" s="16">
        <v>271532.82</v>
      </c>
      <c r="M330" s="16">
        <v>69327.179999999993</v>
      </c>
      <c r="N330" t="s">
        <v>112</v>
      </c>
      <c r="O330" t="s">
        <v>113</v>
      </c>
      <c r="P330" t="str">
        <f t="shared" si="5"/>
        <v>Lucknow|Standing Desk</v>
      </c>
    </row>
    <row r="331" spans="1:16" x14ac:dyDescent="0.3">
      <c r="A331" s="15">
        <v>46256</v>
      </c>
      <c r="B331" t="s">
        <v>34</v>
      </c>
      <c r="C331" t="s">
        <v>121</v>
      </c>
      <c r="D331" t="s">
        <v>137</v>
      </c>
      <c r="E331" t="s">
        <v>138</v>
      </c>
      <c r="F331" t="s">
        <v>96</v>
      </c>
      <c r="G331" t="s">
        <v>84</v>
      </c>
      <c r="H331" t="s">
        <v>117</v>
      </c>
      <c r="I331" t="s">
        <v>309</v>
      </c>
      <c r="J331">
        <v>15</v>
      </c>
      <c r="K331" s="16">
        <v>210975</v>
      </c>
      <c r="L331" s="16">
        <v>132631.93</v>
      </c>
      <c r="M331" s="16">
        <v>78343.070000000007</v>
      </c>
      <c r="N331" t="s">
        <v>141</v>
      </c>
      <c r="O331" t="s">
        <v>119</v>
      </c>
      <c r="P331" t="str">
        <f t="shared" si="5"/>
        <v>Cuttack|Filing Cabinet</v>
      </c>
    </row>
    <row r="332" spans="1:16" x14ac:dyDescent="0.3">
      <c r="A332" s="15">
        <v>46154</v>
      </c>
      <c r="B332" t="s">
        <v>120</v>
      </c>
      <c r="C332" t="s">
        <v>152</v>
      </c>
      <c r="D332" t="s">
        <v>156</v>
      </c>
      <c r="E332" t="s">
        <v>157</v>
      </c>
      <c r="F332" t="s">
        <v>96</v>
      </c>
      <c r="G332" t="s">
        <v>84</v>
      </c>
      <c r="H332" t="s">
        <v>139</v>
      </c>
      <c r="I332" t="s">
        <v>261</v>
      </c>
      <c r="J332">
        <v>7</v>
      </c>
      <c r="K332" s="16">
        <v>98455</v>
      </c>
      <c r="L332" s="16">
        <v>76676.679999999993</v>
      </c>
      <c r="M332" s="16">
        <v>21778.32</v>
      </c>
      <c r="N332" t="s">
        <v>125</v>
      </c>
      <c r="O332" t="s">
        <v>119</v>
      </c>
      <c r="P332" t="str">
        <f t="shared" si="5"/>
        <v>Mysuru|Filing Cabinet</v>
      </c>
    </row>
    <row r="333" spans="1:16" x14ac:dyDescent="0.3">
      <c r="A333" s="15">
        <v>46161</v>
      </c>
      <c r="B333" t="s">
        <v>34</v>
      </c>
      <c r="C333" t="s">
        <v>121</v>
      </c>
      <c r="D333" t="s">
        <v>122</v>
      </c>
      <c r="E333" t="s">
        <v>123</v>
      </c>
      <c r="F333" t="s">
        <v>95</v>
      </c>
      <c r="G333" t="s">
        <v>74</v>
      </c>
      <c r="H333" t="s">
        <v>129</v>
      </c>
      <c r="I333" t="s">
        <v>337</v>
      </c>
      <c r="J333">
        <v>15</v>
      </c>
      <c r="K333" s="16">
        <v>68400</v>
      </c>
      <c r="L333" s="16">
        <v>51985.36</v>
      </c>
      <c r="M333" s="16">
        <v>16414.64</v>
      </c>
      <c r="N333" t="s">
        <v>131</v>
      </c>
      <c r="O333" t="s">
        <v>142</v>
      </c>
      <c r="P333" t="str">
        <f t="shared" si="5"/>
        <v>Durgapur|Headset</v>
      </c>
    </row>
    <row r="334" spans="1:16" x14ac:dyDescent="0.3">
      <c r="A334" s="15">
        <v>46144</v>
      </c>
      <c r="B334" t="s">
        <v>34</v>
      </c>
      <c r="C334" t="s">
        <v>107</v>
      </c>
      <c r="D334" t="s">
        <v>108</v>
      </c>
      <c r="E334" t="s">
        <v>109</v>
      </c>
      <c r="F334" t="s">
        <v>95</v>
      </c>
      <c r="G334" t="s">
        <v>72</v>
      </c>
      <c r="H334" t="s">
        <v>129</v>
      </c>
      <c r="I334" t="s">
        <v>176</v>
      </c>
      <c r="J334">
        <v>16</v>
      </c>
      <c r="K334" s="16">
        <v>49664</v>
      </c>
      <c r="L334" s="16">
        <v>38990.44</v>
      </c>
      <c r="M334" s="16">
        <v>10673.56</v>
      </c>
      <c r="N334" t="s">
        <v>112</v>
      </c>
      <c r="O334" t="s">
        <v>119</v>
      </c>
      <c r="P334" t="str">
        <f t="shared" si="5"/>
        <v>Udaipur|Keyboard</v>
      </c>
    </row>
    <row r="335" spans="1:16" x14ac:dyDescent="0.3">
      <c r="A335" s="15">
        <v>46143</v>
      </c>
      <c r="B335" t="s">
        <v>34</v>
      </c>
      <c r="C335" t="s">
        <v>107</v>
      </c>
      <c r="D335" t="s">
        <v>149</v>
      </c>
      <c r="E335" t="s">
        <v>150</v>
      </c>
      <c r="F335" t="s">
        <v>97</v>
      </c>
      <c r="G335" t="s">
        <v>85</v>
      </c>
      <c r="H335" t="s">
        <v>117</v>
      </c>
      <c r="I335" t="s">
        <v>249</v>
      </c>
      <c r="J335">
        <v>6</v>
      </c>
      <c r="K335" s="16">
        <v>99360</v>
      </c>
      <c r="L335" s="16">
        <v>67940.820000000007</v>
      </c>
      <c r="M335" s="16">
        <v>31419.18</v>
      </c>
      <c r="N335" t="s">
        <v>131</v>
      </c>
      <c r="O335" t="s">
        <v>113</v>
      </c>
      <c r="P335" t="str">
        <f t="shared" si="5"/>
        <v>Mumbai|Air Purifier</v>
      </c>
    </row>
    <row r="336" spans="1:16" x14ac:dyDescent="0.3">
      <c r="A336" s="15">
        <v>46244</v>
      </c>
      <c r="B336" t="s">
        <v>34</v>
      </c>
      <c r="C336" t="s">
        <v>126</v>
      </c>
      <c r="D336" t="s">
        <v>127</v>
      </c>
      <c r="E336" t="s">
        <v>128</v>
      </c>
      <c r="F336" t="s">
        <v>97</v>
      </c>
      <c r="G336" t="s">
        <v>86</v>
      </c>
      <c r="H336" t="s">
        <v>129</v>
      </c>
      <c r="I336" t="s">
        <v>255</v>
      </c>
      <c r="J336">
        <v>8</v>
      </c>
      <c r="K336" s="16">
        <v>52000</v>
      </c>
      <c r="L336" s="16">
        <v>35768.230000000003</v>
      </c>
      <c r="M336" s="16">
        <v>16231.77</v>
      </c>
      <c r="N336" t="s">
        <v>112</v>
      </c>
      <c r="O336" t="s">
        <v>119</v>
      </c>
      <c r="P336" t="str">
        <f t="shared" si="5"/>
        <v>Gurugram|Coffee Maker</v>
      </c>
    </row>
    <row r="337" spans="1:16" x14ac:dyDescent="0.3">
      <c r="A337" s="15">
        <v>46222</v>
      </c>
      <c r="B337" t="s">
        <v>120</v>
      </c>
      <c r="C337" t="s">
        <v>152</v>
      </c>
      <c r="D337" t="s">
        <v>156</v>
      </c>
      <c r="E337" t="s">
        <v>238</v>
      </c>
      <c r="F337" t="s">
        <v>94</v>
      </c>
      <c r="G337" t="s">
        <v>70</v>
      </c>
      <c r="H337" t="s">
        <v>139</v>
      </c>
      <c r="I337" t="s">
        <v>218</v>
      </c>
      <c r="J337">
        <v>15</v>
      </c>
      <c r="K337" s="16">
        <v>225525</v>
      </c>
      <c r="L337" s="16">
        <v>157965.89000000001</v>
      </c>
      <c r="M337" s="16">
        <v>67559.11</v>
      </c>
      <c r="N337" t="s">
        <v>131</v>
      </c>
      <c r="O337" t="s">
        <v>113</v>
      </c>
      <c r="P337" t="str">
        <f t="shared" si="5"/>
        <v>Bengaluru|Printer Pro</v>
      </c>
    </row>
    <row r="338" spans="1:16" x14ac:dyDescent="0.3">
      <c r="A338" s="15">
        <v>46231</v>
      </c>
      <c r="B338" t="s">
        <v>34</v>
      </c>
      <c r="C338" t="s">
        <v>107</v>
      </c>
      <c r="D338" t="s">
        <v>149</v>
      </c>
      <c r="E338" t="s">
        <v>159</v>
      </c>
      <c r="F338" t="s">
        <v>95</v>
      </c>
      <c r="G338" t="s">
        <v>76</v>
      </c>
      <c r="H338" t="s">
        <v>173</v>
      </c>
      <c r="I338" t="s">
        <v>338</v>
      </c>
      <c r="J338">
        <v>6</v>
      </c>
      <c r="K338" s="16">
        <v>10800</v>
      </c>
      <c r="L338" s="16">
        <v>8153.75</v>
      </c>
      <c r="M338" s="16">
        <v>2646.25</v>
      </c>
      <c r="N338" t="s">
        <v>141</v>
      </c>
      <c r="O338" t="s">
        <v>113</v>
      </c>
      <c r="P338" t="str">
        <f t="shared" si="5"/>
        <v>Pune|Mouse</v>
      </c>
    </row>
    <row r="339" spans="1:16" x14ac:dyDescent="0.3">
      <c r="A339" s="15">
        <v>46073</v>
      </c>
      <c r="B339" t="s">
        <v>34</v>
      </c>
      <c r="C339" t="s">
        <v>107</v>
      </c>
      <c r="D339" t="s">
        <v>115</v>
      </c>
      <c r="E339" t="s">
        <v>116</v>
      </c>
      <c r="F339" t="s">
        <v>95</v>
      </c>
      <c r="G339" t="s">
        <v>74</v>
      </c>
      <c r="H339" t="s">
        <v>129</v>
      </c>
      <c r="I339" t="s">
        <v>296</v>
      </c>
      <c r="J339">
        <v>19</v>
      </c>
      <c r="K339" s="16">
        <v>83904</v>
      </c>
      <c r="L339" s="16">
        <v>52403.86</v>
      </c>
      <c r="M339" s="16">
        <v>31500.14</v>
      </c>
      <c r="N339" t="s">
        <v>125</v>
      </c>
      <c r="O339" t="s">
        <v>113</v>
      </c>
      <c r="P339" t="str">
        <f t="shared" si="5"/>
        <v>Ahmedabad|Headset</v>
      </c>
    </row>
    <row r="340" spans="1:16" x14ac:dyDescent="0.3">
      <c r="A340" s="15">
        <v>46215</v>
      </c>
      <c r="B340" t="s">
        <v>34</v>
      </c>
      <c r="C340" t="s">
        <v>107</v>
      </c>
      <c r="D340" t="s">
        <v>149</v>
      </c>
      <c r="E340" t="s">
        <v>150</v>
      </c>
      <c r="F340" t="s">
        <v>94</v>
      </c>
      <c r="G340" t="s">
        <v>67</v>
      </c>
      <c r="H340" t="s">
        <v>117</v>
      </c>
      <c r="I340" t="s">
        <v>339</v>
      </c>
      <c r="J340">
        <v>8</v>
      </c>
      <c r="K340" s="16">
        <v>250800</v>
      </c>
      <c r="L340" s="16">
        <v>203517.48</v>
      </c>
      <c r="M340" s="16">
        <v>47282.52</v>
      </c>
      <c r="N340" t="s">
        <v>125</v>
      </c>
      <c r="O340" t="s">
        <v>113</v>
      </c>
      <c r="P340" t="str">
        <f t="shared" si="5"/>
        <v>Mumbai|Tablet X</v>
      </c>
    </row>
    <row r="341" spans="1:16" x14ac:dyDescent="0.3">
      <c r="A341" s="15">
        <v>46118</v>
      </c>
      <c r="B341" t="s">
        <v>120</v>
      </c>
      <c r="C341" t="s">
        <v>121</v>
      </c>
      <c r="D341" t="s">
        <v>146</v>
      </c>
      <c r="E341" t="s">
        <v>147</v>
      </c>
      <c r="F341" t="s">
        <v>96</v>
      </c>
      <c r="G341" t="s">
        <v>80</v>
      </c>
      <c r="H341" t="s">
        <v>135</v>
      </c>
      <c r="I341" t="s">
        <v>231</v>
      </c>
      <c r="J341">
        <v>2</v>
      </c>
      <c r="K341" s="16">
        <v>25000</v>
      </c>
      <c r="L341" s="16">
        <v>18142.080000000002</v>
      </c>
      <c r="M341" s="16">
        <v>6857.92</v>
      </c>
      <c r="N341" t="s">
        <v>112</v>
      </c>
      <c r="O341" t="s">
        <v>113</v>
      </c>
      <c r="P341" t="str">
        <f t="shared" si="5"/>
        <v>Guwahati|Office Chair</v>
      </c>
    </row>
    <row r="342" spans="1:16" x14ac:dyDescent="0.3">
      <c r="A342" s="15">
        <v>46147</v>
      </c>
      <c r="B342" t="s">
        <v>34</v>
      </c>
      <c r="C342" t="s">
        <v>107</v>
      </c>
      <c r="D342" t="s">
        <v>149</v>
      </c>
      <c r="E342" t="s">
        <v>159</v>
      </c>
      <c r="F342" t="s">
        <v>97</v>
      </c>
      <c r="G342" t="s">
        <v>88</v>
      </c>
      <c r="H342" t="s">
        <v>135</v>
      </c>
      <c r="I342" t="s">
        <v>307</v>
      </c>
      <c r="J342">
        <v>14</v>
      </c>
      <c r="K342" s="16">
        <v>196910</v>
      </c>
      <c r="L342" s="16">
        <v>156002.66</v>
      </c>
      <c r="M342" s="16">
        <v>40907.339999999997</v>
      </c>
      <c r="N342" t="s">
        <v>112</v>
      </c>
      <c r="O342" t="s">
        <v>113</v>
      </c>
      <c r="P342" t="str">
        <f t="shared" si="5"/>
        <v>Pune|Vacuum Cleaner</v>
      </c>
    </row>
    <row r="343" spans="1:16" x14ac:dyDescent="0.3">
      <c r="A343" s="15">
        <v>46099</v>
      </c>
      <c r="B343" t="s">
        <v>34</v>
      </c>
      <c r="C343" t="s">
        <v>126</v>
      </c>
      <c r="D343" t="s">
        <v>127</v>
      </c>
      <c r="E343" t="s">
        <v>143</v>
      </c>
      <c r="F343" t="s">
        <v>96</v>
      </c>
      <c r="G343" t="s">
        <v>80</v>
      </c>
      <c r="H343" t="s">
        <v>133</v>
      </c>
      <c r="I343" t="s">
        <v>216</v>
      </c>
      <c r="J343">
        <v>4</v>
      </c>
      <c r="K343" s="16">
        <v>48500</v>
      </c>
      <c r="L343" s="16">
        <v>33781.040000000001</v>
      </c>
      <c r="M343" s="16">
        <v>14718.96</v>
      </c>
      <c r="N343" t="s">
        <v>125</v>
      </c>
      <c r="O343" t="s">
        <v>142</v>
      </c>
      <c r="P343" t="str">
        <f t="shared" si="5"/>
        <v>Faridabad|Office Chair</v>
      </c>
    </row>
    <row r="344" spans="1:16" x14ac:dyDescent="0.3">
      <c r="A344" s="15">
        <v>46144</v>
      </c>
      <c r="B344" t="s">
        <v>34</v>
      </c>
      <c r="C344" t="s">
        <v>107</v>
      </c>
      <c r="D344" t="s">
        <v>115</v>
      </c>
      <c r="E344" t="s">
        <v>116</v>
      </c>
      <c r="F344" t="s">
        <v>95</v>
      </c>
      <c r="G344" t="s">
        <v>74</v>
      </c>
      <c r="H344" t="s">
        <v>139</v>
      </c>
      <c r="I344" t="s">
        <v>340</v>
      </c>
      <c r="J344">
        <v>19</v>
      </c>
      <c r="K344" s="16">
        <v>91200</v>
      </c>
      <c r="L344" s="16">
        <v>63347.96</v>
      </c>
      <c r="M344" s="16">
        <v>27852.04</v>
      </c>
      <c r="N344" t="s">
        <v>112</v>
      </c>
      <c r="O344" t="s">
        <v>113</v>
      </c>
      <c r="P344" t="str">
        <f t="shared" si="5"/>
        <v>Ahmedabad|Headset</v>
      </c>
    </row>
    <row r="345" spans="1:16" x14ac:dyDescent="0.3">
      <c r="A345" s="15">
        <v>46077</v>
      </c>
      <c r="B345" t="s">
        <v>34</v>
      </c>
      <c r="C345" t="s">
        <v>126</v>
      </c>
      <c r="D345" t="s">
        <v>196</v>
      </c>
      <c r="E345" t="s">
        <v>197</v>
      </c>
      <c r="F345" t="s">
        <v>97</v>
      </c>
      <c r="G345" t="s">
        <v>87</v>
      </c>
      <c r="H345" t="s">
        <v>110</v>
      </c>
      <c r="I345" t="s">
        <v>292</v>
      </c>
      <c r="J345">
        <v>11</v>
      </c>
      <c r="K345" s="16">
        <v>121000</v>
      </c>
      <c r="L345" s="16">
        <v>86393.76</v>
      </c>
      <c r="M345" s="16">
        <v>34606.239999999998</v>
      </c>
      <c r="N345" t="s">
        <v>131</v>
      </c>
      <c r="O345" t="s">
        <v>113</v>
      </c>
      <c r="P345" t="str">
        <f t="shared" si="5"/>
        <v>Dwarka|Microwave</v>
      </c>
    </row>
    <row r="346" spans="1:16" x14ac:dyDescent="0.3">
      <c r="A346" s="15">
        <v>46221</v>
      </c>
      <c r="B346" t="s">
        <v>34</v>
      </c>
      <c r="C346" t="s">
        <v>126</v>
      </c>
      <c r="D346" t="s">
        <v>196</v>
      </c>
      <c r="E346" t="s">
        <v>208</v>
      </c>
      <c r="F346" t="s">
        <v>97</v>
      </c>
      <c r="G346" t="s">
        <v>86</v>
      </c>
      <c r="H346" t="s">
        <v>139</v>
      </c>
      <c r="I346" t="s">
        <v>193</v>
      </c>
      <c r="J346">
        <v>7</v>
      </c>
      <c r="K346" s="16">
        <v>44135</v>
      </c>
      <c r="L346" s="16">
        <v>30541.39</v>
      </c>
      <c r="M346" s="16">
        <v>13593.61</v>
      </c>
      <c r="N346" t="s">
        <v>112</v>
      </c>
      <c r="O346" t="s">
        <v>113</v>
      </c>
      <c r="P346" t="str">
        <f t="shared" si="5"/>
        <v>New Delhi|Coffee Maker</v>
      </c>
    </row>
    <row r="347" spans="1:16" x14ac:dyDescent="0.3">
      <c r="A347" s="15">
        <v>46143</v>
      </c>
      <c r="B347" t="s">
        <v>34</v>
      </c>
      <c r="C347" t="s">
        <v>152</v>
      </c>
      <c r="D347" t="s">
        <v>156</v>
      </c>
      <c r="E347" t="s">
        <v>238</v>
      </c>
      <c r="F347" t="s">
        <v>96</v>
      </c>
      <c r="G347" t="s">
        <v>82</v>
      </c>
      <c r="H347" t="s">
        <v>139</v>
      </c>
      <c r="I347" t="s">
        <v>341</v>
      </c>
      <c r="J347">
        <v>9</v>
      </c>
      <c r="K347" s="16">
        <v>256500</v>
      </c>
      <c r="L347" s="16">
        <v>179840.42</v>
      </c>
      <c r="M347" s="16">
        <v>76659.58</v>
      </c>
      <c r="N347" t="s">
        <v>141</v>
      </c>
      <c r="O347" t="s">
        <v>113</v>
      </c>
      <c r="P347" t="str">
        <f t="shared" si="5"/>
        <v>Bengaluru|Standing Desk</v>
      </c>
    </row>
    <row r="348" spans="1:16" x14ac:dyDescent="0.3">
      <c r="A348" s="15">
        <v>46169</v>
      </c>
      <c r="B348" t="s">
        <v>34</v>
      </c>
      <c r="C348" t="s">
        <v>152</v>
      </c>
      <c r="D348" t="s">
        <v>153</v>
      </c>
      <c r="E348" t="s">
        <v>154</v>
      </c>
      <c r="F348" t="s">
        <v>95</v>
      </c>
      <c r="G348" t="s">
        <v>76</v>
      </c>
      <c r="H348" t="s">
        <v>135</v>
      </c>
      <c r="I348" t="s">
        <v>276</v>
      </c>
      <c r="J348">
        <v>14</v>
      </c>
      <c r="K348" s="16">
        <v>25200</v>
      </c>
      <c r="L348" s="16">
        <v>18069</v>
      </c>
      <c r="M348" s="16">
        <v>7131</v>
      </c>
      <c r="N348" t="s">
        <v>141</v>
      </c>
      <c r="O348" t="s">
        <v>142</v>
      </c>
      <c r="P348" t="str">
        <f t="shared" si="5"/>
        <v>Coimbatore|Mouse</v>
      </c>
    </row>
    <row r="349" spans="1:16" x14ac:dyDescent="0.3">
      <c r="A349" s="15">
        <v>46059</v>
      </c>
      <c r="B349" t="s">
        <v>34</v>
      </c>
      <c r="C349" t="s">
        <v>152</v>
      </c>
      <c r="D349" t="s">
        <v>156</v>
      </c>
      <c r="E349" t="s">
        <v>157</v>
      </c>
      <c r="F349" t="s">
        <v>95</v>
      </c>
      <c r="G349" t="s">
        <v>76</v>
      </c>
      <c r="H349" t="s">
        <v>117</v>
      </c>
      <c r="I349" t="s">
        <v>218</v>
      </c>
      <c r="J349">
        <v>3</v>
      </c>
      <c r="K349" s="16">
        <v>5400</v>
      </c>
      <c r="L349" s="16">
        <v>3725.31</v>
      </c>
      <c r="M349" s="16">
        <v>1674.69</v>
      </c>
      <c r="N349" t="s">
        <v>112</v>
      </c>
      <c r="O349" t="s">
        <v>119</v>
      </c>
      <c r="P349" t="str">
        <f t="shared" si="5"/>
        <v>Mysuru|Mouse</v>
      </c>
    </row>
    <row r="350" spans="1:16" x14ac:dyDescent="0.3">
      <c r="A350" s="15">
        <v>46097</v>
      </c>
      <c r="B350" t="s">
        <v>34</v>
      </c>
      <c r="C350" t="s">
        <v>126</v>
      </c>
      <c r="D350" t="s">
        <v>127</v>
      </c>
      <c r="E350" t="s">
        <v>143</v>
      </c>
      <c r="F350" t="s">
        <v>97</v>
      </c>
      <c r="G350" t="s">
        <v>87</v>
      </c>
      <c r="H350" t="s">
        <v>139</v>
      </c>
      <c r="I350" t="s">
        <v>331</v>
      </c>
      <c r="J350">
        <v>15</v>
      </c>
      <c r="K350" s="16">
        <v>172500</v>
      </c>
      <c r="L350" s="16">
        <v>132992.78</v>
      </c>
      <c r="M350" s="16">
        <v>39507.22</v>
      </c>
      <c r="N350" t="s">
        <v>125</v>
      </c>
      <c r="O350" t="s">
        <v>113</v>
      </c>
      <c r="P350" t="str">
        <f t="shared" si="5"/>
        <v>Faridabad|Microwave</v>
      </c>
    </row>
    <row r="351" spans="1:16" x14ac:dyDescent="0.3">
      <c r="A351" s="15">
        <v>46055</v>
      </c>
      <c r="B351" t="s">
        <v>120</v>
      </c>
      <c r="C351" t="s">
        <v>121</v>
      </c>
      <c r="D351" t="s">
        <v>137</v>
      </c>
      <c r="E351" t="s">
        <v>171</v>
      </c>
      <c r="F351" t="s">
        <v>94</v>
      </c>
      <c r="G351" t="s">
        <v>70</v>
      </c>
      <c r="H351" t="s">
        <v>133</v>
      </c>
      <c r="I351" t="s">
        <v>342</v>
      </c>
      <c r="J351">
        <v>1</v>
      </c>
      <c r="K351" s="16">
        <v>14725</v>
      </c>
      <c r="L351" s="16">
        <v>9166.07</v>
      </c>
      <c r="M351" s="16">
        <v>5558.93</v>
      </c>
      <c r="N351" t="s">
        <v>141</v>
      </c>
      <c r="O351" t="s">
        <v>113</v>
      </c>
      <c r="P351" t="str">
        <f t="shared" si="5"/>
        <v>Bhubaneswar|Printer Pro</v>
      </c>
    </row>
    <row r="352" spans="1:16" x14ac:dyDescent="0.3">
      <c r="A352" s="15">
        <v>46172</v>
      </c>
      <c r="B352" t="s">
        <v>34</v>
      </c>
      <c r="C352" t="s">
        <v>152</v>
      </c>
      <c r="D352" t="s">
        <v>156</v>
      </c>
      <c r="E352" t="s">
        <v>238</v>
      </c>
      <c r="F352" t="s">
        <v>96</v>
      </c>
      <c r="G352" t="s">
        <v>83</v>
      </c>
      <c r="H352" t="s">
        <v>173</v>
      </c>
      <c r="I352" t="s">
        <v>343</v>
      </c>
      <c r="J352">
        <v>5</v>
      </c>
      <c r="K352" s="16">
        <v>174600</v>
      </c>
      <c r="L352" s="16">
        <v>122274.32</v>
      </c>
      <c r="M352" s="16">
        <v>52325.68</v>
      </c>
      <c r="N352" t="s">
        <v>131</v>
      </c>
      <c r="O352" t="s">
        <v>119</v>
      </c>
      <c r="P352" t="str">
        <f t="shared" si="5"/>
        <v>Bengaluru|Meeting Table</v>
      </c>
    </row>
    <row r="353" spans="1:16" x14ac:dyDescent="0.3">
      <c r="A353" s="15">
        <v>46167</v>
      </c>
      <c r="B353" t="s">
        <v>114</v>
      </c>
      <c r="C353" t="s">
        <v>121</v>
      </c>
      <c r="D353" t="s">
        <v>146</v>
      </c>
      <c r="E353" t="s">
        <v>147</v>
      </c>
      <c r="F353" t="s">
        <v>97</v>
      </c>
      <c r="G353" t="s">
        <v>85</v>
      </c>
      <c r="H353" t="s">
        <v>184</v>
      </c>
      <c r="I353" t="s">
        <v>344</v>
      </c>
      <c r="J353">
        <v>18</v>
      </c>
      <c r="K353" s="16">
        <v>285120</v>
      </c>
      <c r="L353" s="16">
        <v>182608.88</v>
      </c>
      <c r="M353" s="16">
        <v>102511.12</v>
      </c>
      <c r="N353" t="s">
        <v>131</v>
      </c>
      <c r="O353" t="s">
        <v>119</v>
      </c>
      <c r="P353" t="str">
        <f t="shared" si="5"/>
        <v>Guwahati|Air Purifier</v>
      </c>
    </row>
    <row r="354" spans="1:16" x14ac:dyDescent="0.3">
      <c r="A354" s="15">
        <v>46156</v>
      </c>
      <c r="B354" t="s">
        <v>34</v>
      </c>
      <c r="C354" t="s">
        <v>121</v>
      </c>
      <c r="D354" t="s">
        <v>137</v>
      </c>
      <c r="E354" t="s">
        <v>138</v>
      </c>
      <c r="F354" t="s">
        <v>95</v>
      </c>
      <c r="G354" t="s">
        <v>74</v>
      </c>
      <c r="H354" t="s">
        <v>133</v>
      </c>
      <c r="I354" t="s">
        <v>345</v>
      </c>
      <c r="J354">
        <v>18</v>
      </c>
      <c r="K354" s="16">
        <v>86400</v>
      </c>
      <c r="L354" s="16">
        <v>68157.279999999999</v>
      </c>
      <c r="M354" s="16">
        <v>18242.72</v>
      </c>
      <c r="N354" t="s">
        <v>131</v>
      </c>
      <c r="O354" t="s">
        <v>142</v>
      </c>
      <c r="P354" t="str">
        <f t="shared" si="5"/>
        <v>Cuttack|Headset</v>
      </c>
    </row>
    <row r="355" spans="1:16" x14ac:dyDescent="0.3">
      <c r="A355" s="15">
        <v>46060</v>
      </c>
      <c r="B355" t="s">
        <v>34</v>
      </c>
      <c r="C355" t="s">
        <v>107</v>
      </c>
      <c r="D355" t="s">
        <v>149</v>
      </c>
      <c r="E355" t="s">
        <v>159</v>
      </c>
      <c r="F355" t="s">
        <v>94</v>
      </c>
      <c r="G355" t="s">
        <v>64</v>
      </c>
      <c r="H355" t="s">
        <v>129</v>
      </c>
      <c r="I355" t="s">
        <v>346</v>
      </c>
      <c r="J355">
        <v>19</v>
      </c>
      <c r="K355" s="16">
        <v>379050</v>
      </c>
      <c r="L355" s="16">
        <v>303449.15000000002</v>
      </c>
      <c r="M355" s="16">
        <v>75600.850000000006</v>
      </c>
      <c r="N355" t="s">
        <v>125</v>
      </c>
      <c r="O355" t="s">
        <v>113</v>
      </c>
      <c r="P355" t="str">
        <f t="shared" si="5"/>
        <v>Pune|Monitor 27</v>
      </c>
    </row>
    <row r="356" spans="1:16" x14ac:dyDescent="0.3">
      <c r="A356" s="15">
        <v>46255</v>
      </c>
      <c r="B356" t="s">
        <v>34</v>
      </c>
      <c r="C356" t="s">
        <v>121</v>
      </c>
      <c r="D356" t="s">
        <v>137</v>
      </c>
      <c r="E356" t="s">
        <v>138</v>
      </c>
      <c r="F356" t="s">
        <v>94</v>
      </c>
      <c r="G356" t="s">
        <v>64</v>
      </c>
      <c r="H356" t="s">
        <v>129</v>
      </c>
      <c r="I356" t="s">
        <v>341</v>
      </c>
      <c r="J356">
        <v>5</v>
      </c>
      <c r="K356" s="16">
        <v>105000</v>
      </c>
      <c r="L356" s="16">
        <v>80663.22</v>
      </c>
      <c r="M356" s="16">
        <v>24336.78</v>
      </c>
      <c r="N356" t="s">
        <v>112</v>
      </c>
      <c r="O356" t="s">
        <v>119</v>
      </c>
      <c r="P356" t="str">
        <f t="shared" si="5"/>
        <v>Cuttack|Monitor 27</v>
      </c>
    </row>
    <row r="357" spans="1:16" x14ac:dyDescent="0.3">
      <c r="A357" s="15">
        <v>46110</v>
      </c>
      <c r="B357" t="s">
        <v>34</v>
      </c>
      <c r="C357" t="s">
        <v>126</v>
      </c>
      <c r="D357" t="s">
        <v>162</v>
      </c>
      <c r="E357" t="s">
        <v>204</v>
      </c>
      <c r="F357" t="s">
        <v>97</v>
      </c>
      <c r="G357" t="s">
        <v>85</v>
      </c>
      <c r="H357" t="s">
        <v>129</v>
      </c>
      <c r="I357" t="s">
        <v>254</v>
      </c>
      <c r="J357">
        <v>3</v>
      </c>
      <c r="K357" s="16">
        <v>52380</v>
      </c>
      <c r="L357" s="16">
        <v>41070.639999999999</v>
      </c>
      <c r="M357" s="16">
        <v>11309.36</v>
      </c>
      <c r="N357" t="s">
        <v>112</v>
      </c>
      <c r="O357" t="s">
        <v>113</v>
      </c>
      <c r="P357" t="str">
        <f t="shared" si="5"/>
        <v>Noida|Air Purifier</v>
      </c>
    </row>
    <row r="358" spans="1:16" x14ac:dyDescent="0.3">
      <c r="A358" s="15">
        <v>46257</v>
      </c>
      <c r="B358" t="s">
        <v>34</v>
      </c>
      <c r="C358" t="s">
        <v>126</v>
      </c>
      <c r="D358" t="s">
        <v>127</v>
      </c>
      <c r="E358" t="s">
        <v>143</v>
      </c>
      <c r="F358" t="s">
        <v>94</v>
      </c>
      <c r="G358" t="s">
        <v>61</v>
      </c>
      <c r="H358" t="s">
        <v>135</v>
      </c>
      <c r="I358" t="s">
        <v>155</v>
      </c>
      <c r="J358">
        <v>7</v>
      </c>
      <c r="K358" s="16">
        <v>529620</v>
      </c>
      <c r="L358" s="16">
        <v>419123.29</v>
      </c>
      <c r="M358" s="16">
        <v>110496.71</v>
      </c>
      <c r="N358" t="s">
        <v>125</v>
      </c>
      <c r="O358" t="s">
        <v>142</v>
      </c>
      <c r="P358" t="str">
        <f t="shared" si="5"/>
        <v>Faridabad|Laptop Pro</v>
      </c>
    </row>
    <row r="359" spans="1:16" x14ac:dyDescent="0.3">
      <c r="A359" s="15">
        <v>46032</v>
      </c>
      <c r="B359" t="s">
        <v>114</v>
      </c>
      <c r="C359" t="s">
        <v>107</v>
      </c>
      <c r="D359" t="s">
        <v>108</v>
      </c>
      <c r="E359" t="s">
        <v>132</v>
      </c>
      <c r="F359" t="s">
        <v>96</v>
      </c>
      <c r="G359" t="s">
        <v>82</v>
      </c>
      <c r="H359" t="s">
        <v>173</v>
      </c>
      <c r="I359" t="s">
        <v>220</v>
      </c>
      <c r="J359">
        <v>19</v>
      </c>
      <c r="K359" s="16">
        <v>541500</v>
      </c>
      <c r="L359" s="16">
        <v>351094.71</v>
      </c>
      <c r="M359" s="16">
        <v>190405.29</v>
      </c>
      <c r="N359" t="s">
        <v>131</v>
      </c>
      <c r="O359" t="s">
        <v>113</v>
      </c>
      <c r="P359" t="str">
        <f t="shared" si="5"/>
        <v>Jaipur|Standing Desk</v>
      </c>
    </row>
    <row r="360" spans="1:16" x14ac:dyDescent="0.3">
      <c r="A360" s="15">
        <v>46205</v>
      </c>
      <c r="B360" t="s">
        <v>34</v>
      </c>
      <c r="C360" t="s">
        <v>107</v>
      </c>
      <c r="D360" t="s">
        <v>115</v>
      </c>
      <c r="E360" t="s">
        <v>191</v>
      </c>
      <c r="F360" t="s">
        <v>97</v>
      </c>
      <c r="G360" t="s">
        <v>86</v>
      </c>
      <c r="H360" t="s">
        <v>110</v>
      </c>
      <c r="I360" t="s">
        <v>230</v>
      </c>
      <c r="J360">
        <v>11</v>
      </c>
      <c r="K360" s="16">
        <v>67925</v>
      </c>
      <c r="L360" s="16">
        <v>48524.35</v>
      </c>
      <c r="M360" s="16">
        <v>19400.650000000001</v>
      </c>
      <c r="N360" t="s">
        <v>125</v>
      </c>
      <c r="O360" t="s">
        <v>113</v>
      </c>
      <c r="P360" t="str">
        <f t="shared" si="5"/>
        <v>Surat|Coffee Maker</v>
      </c>
    </row>
    <row r="361" spans="1:16" x14ac:dyDescent="0.3">
      <c r="A361" s="15">
        <v>46151</v>
      </c>
      <c r="B361" t="s">
        <v>34</v>
      </c>
      <c r="C361" t="s">
        <v>107</v>
      </c>
      <c r="D361" t="s">
        <v>108</v>
      </c>
      <c r="E361" t="s">
        <v>132</v>
      </c>
      <c r="F361" t="s">
        <v>96</v>
      </c>
      <c r="G361" t="s">
        <v>84</v>
      </c>
      <c r="H361" t="s">
        <v>139</v>
      </c>
      <c r="I361" t="s">
        <v>284</v>
      </c>
      <c r="J361">
        <v>2</v>
      </c>
      <c r="K361" s="16">
        <v>25520</v>
      </c>
      <c r="L361" s="16">
        <v>17541.27</v>
      </c>
      <c r="M361" s="16">
        <v>7978.73</v>
      </c>
      <c r="N361" t="s">
        <v>125</v>
      </c>
      <c r="O361" t="s">
        <v>113</v>
      </c>
      <c r="P361" t="str">
        <f t="shared" si="5"/>
        <v>Jaipur|Filing Cabinet</v>
      </c>
    </row>
    <row r="362" spans="1:16" x14ac:dyDescent="0.3">
      <c r="A362" s="15">
        <v>46251</v>
      </c>
      <c r="B362" t="s">
        <v>114</v>
      </c>
      <c r="C362" t="s">
        <v>107</v>
      </c>
      <c r="D362" t="s">
        <v>108</v>
      </c>
      <c r="E362" t="s">
        <v>109</v>
      </c>
      <c r="F362" t="s">
        <v>94</v>
      </c>
      <c r="G362" t="s">
        <v>61</v>
      </c>
      <c r="H362" t="s">
        <v>129</v>
      </c>
      <c r="I362" t="s">
        <v>243</v>
      </c>
      <c r="J362">
        <v>7</v>
      </c>
      <c r="K362" s="16">
        <v>518700</v>
      </c>
      <c r="L362" s="16">
        <v>399424.8</v>
      </c>
      <c r="M362" s="16">
        <v>119275.2</v>
      </c>
      <c r="N362" t="s">
        <v>112</v>
      </c>
      <c r="O362" t="s">
        <v>113</v>
      </c>
      <c r="P362" t="str">
        <f t="shared" si="5"/>
        <v>Udaipur|Laptop Pro</v>
      </c>
    </row>
    <row r="363" spans="1:16" x14ac:dyDescent="0.3">
      <c r="A363" s="15">
        <v>46205</v>
      </c>
      <c r="B363" t="s">
        <v>34</v>
      </c>
      <c r="C363" t="s">
        <v>126</v>
      </c>
      <c r="D363" t="s">
        <v>162</v>
      </c>
      <c r="E363" t="s">
        <v>163</v>
      </c>
      <c r="F363" t="s">
        <v>97</v>
      </c>
      <c r="G363" t="s">
        <v>86</v>
      </c>
      <c r="H363" t="s">
        <v>184</v>
      </c>
      <c r="I363" t="s">
        <v>320</v>
      </c>
      <c r="J363">
        <v>11</v>
      </c>
      <c r="K363" s="16">
        <v>69355</v>
      </c>
      <c r="L363" s="16">
        <v>44566.81</v>
      </c>
      <c r="M363" s="16">
        <v>24788.19</v>
      </c>
      <c r="N363" t="s">
        <v>141</v>
      </c>
      <c r="O363" t="s">
        <v>113</v>
      </c>
      <c r="P363" t="str">
        <f t="shared" si="5"/>
        <v>Lucknow|Coffee Maker</v>
      </c>
    </row>
    <row r="364" spans="1:16" x14ac:dyDescent="0.3">
      <c r="A364" s="15">
        <v>46101</v>
      </c>
      <c r="B364" t="s">
        <v>34</v>
      </c>
      <c r="C364" t="s">
        <v>121</v>
      </c>
      <c r="D364" t="s">
        <v>146</v>
      </c>
      <c r="E364" t="s">
        <v>175</v>
      </c>
      <c r="F364" t="s">
        <v>96</v>
      </c>
      <c r="G364" t="s">
        <v>84</v>
      </c>
      <c r="H364" t="s">
        <v>110</v>
      </c>
      <c r="I364" t="s">
        <v>250</v>
      </c>
      <c r="J364">
        <v>17</v>
      </c>
      <c r="K364" s="16">
        <v>246500</v>
      </c>
      <c r="L364" s="16">
        <v>187905.7</v>
      </c>
      <c r="M364" s="16">
        <v>58594.3</v>
      </c>
      <c r="N364" t="s">
        <v>125</v>
      </c>
      <c r="O364" t="s">
        <v>113</v>
      </c>
      <c r="P364" t="str">
        <f t="shared" si="5"/>
        <v>Dibrugarh|Filing Cabinet</v>
      </c>
    </row>
    <row r="365" spans="1:16" x14ac:dyDescent="0.3">
      <c r="A365" s="15">
        <v>46196</v>
      </c>
      <c r="B365" t="s">
        <v>34</v>
      </c>
      <c r="C365" t="s">
        <v>126</v>
      </c>
      <c r="D365" t="s">
        <v>196</v>
      </c>
      <c r="E365" t="s">
        <v>197</v>
      </c>
      <c r="F365" t="s">
        <v>96</v>
      </c>
      <c r="G365" t="s">
        <v>82</v>
      </c>
      <c r="H365" t="s">
        <v>184</v>
      </c>
      <c r="I365" t="s">
        <v>347</v>
      </c>
      <c r="J365">
        <v>4</v>
      </c>
      <c r="K365" s="16">
        <v>110580</v>
      </c>
      <c r="L365" s="16">
        <v>90007.61</v>
      </c>
      <c r="M365" s="16">
        <v>20572.39</v>
      </c>
      <c r="N365" t="s">
        <v>141</v>
      </c>
      <c r="O365" t="s">
        <v>113</v>
      </c>
      <c r="P365" t="str">
        <f t="shared" si="5"/>
        <v>Dwarka|Standing Desk</v>
      </c>
    </row>
    <row r="366" spans="1:16" x14ac:dyDescent="0.3">
      <c r="A366" s="15">
        <v>46034</v>
      </c>
      <c r="B366" t="s">
        <v>34</v>
      </c>
      <c r="C366" t="s">
        <v>126</v>
      </c>
      <c r="D366" t="s">
        <v>162</v>
      </c>
      <c r="E366" t="s">
        <v>163</v>
      </c>
      <c r="F366" t="s">
        <v>95</v>
      </c>
      <c r="G366" t="s">
        <v>72</v>
      </c>
      <c r="H366" t="s">
        <v>129</v>
      </c>
      <c r="I366" t="s">
        <v>193</v>
      </c>
      <c r="J366">
        <v>7</v>
      </c>
      <c r="K366" s="16">
        <v>22400</v>
      </c>
      <c r="L366" s="16">
        <v>18086.72</v>
      </c>
      <c r="M366" s="16">
        <v>4313.28</v>
      </c>
      <c r="N366" t="s">
        <v>141</v>
      </c>
      <c r="O366" t="s">
        <v>142</v>
      </c>
      <c r="P366" t="str">
        <f t="shared" si="5"/>
        <v>Lucknow|Keyboard</v>
      </c>
    </row>
    <row r="367" spans="1:16" x14ac:dyDescent="0.3">
      <c r="A367" s="15">
        <v>46066</v>
      </c>
      <c r="B367" t="s">
        <v>34</v>
      </c>
      <c r="C367" t="s">
        <v>121</v>
      </c>
      <c r="D367" t="s">
        <v>146</v>
      </c>
      <c r="E367" t="s">
        <v>147</v>
      </c>
      <c r="F367" t="s">
        <v>95</v>
      </c>
      <c r="G367" t="s">
        <v>78</v>
      </c>
      <c r="H367" t="s">
        <v>184</v>
      </c>
      <c r="I367" t="s">
        <v>158</v>
      </c>
      <c r="J367">
        <v>20</v>
      </c>
      <c r="K367" s="16">
        <v>77280</v>
      </c>
      <c r="L367" s="16">
        <v>62835.12</v>
      </c>
      <c r="M367" s="16">
        <v>14444.88</v>
      </c>
      <c r="N367" t="s">
        <v>125</v>
      </c>
      <c r="O367" t="s">
        <v>113</v>
      </c>
      <c r="P367" t="str">
        <f t="shared" si="5"/>
        <v>Guwahati|Webcam</v>
      </c>
    </row>
    <row r="368" spans="1:16" x14ac:dyDescent="0.3">
      <c r="A368" s="15">
        <v>46264</v>
      </c>
      <c r="B368" t="s">
        <v>114</v>
      </c>
      <c r="C368" t="s">
        <v>126</v>
      </c>
      <c r="D368" t="s">
        <v>196</v>
      </c>
      <c r="E368" t="s">
        <v>208</v>
      </c>
      <c r="F368" t="s">
        <v>96</v>
      </c>
      <c r="G368" t="s">
        <v>80</v>
      </c>
      <c r="H368" t="s">
        <v>173</v>
      </c>
      <c r="I368" t="s">
        <v>348</v>
      </c>
      <c r="J368">
        <v>19</v>
      </c>
      <c r="K368" s="16">
        <v>230375</v>
      </c>
      <c r="L368" s="16">
        <v>172469.75</v>
      </c>
      <c r="M368" s="16">
        <v>57905.25</v>
      </c>
      <c r="N368" t="s">
        <v>125</v>
      </c>
      <c r="O368" t="s">
        <v>113</v>
      </c>
      <c r="P368" t="str">
        <f t="shared" si="5"/>
        <v>New Delhi|Office Chair</v>
      </c>
    </row>
    <row r="369" spans="1:16" x14ac:dyDescent="0.3">
      <c r="A369" s="15">
        <v>46163</v>
      </c>
      <c r="B369" t="s">
        <v>34</v>
      </c>
      <c r="C369" t="s">
        <v>121</v>
      </c>
      <c r="D369" t="s">
        <v>137</v>
      </c>
      <c r="E369" t="s">
        <v>138</v>
      </c>
      <c r="F369" t="s">
        <v>97</v>
      </c>
      <c r="G369" t="s">
        <v>87</v>
      </c>
      <c r="H369" t="s">
        <v>133</v>
      </c>
      <c r="I369" t="s">
        <v>210</v>
      </c>
      <c r="J369">
        <v>15</v>
      </c>
      <c r="K369" s="16">
        <v>187500</v>
      </c>
      <c r="L369" s="16">
        <v>134937.49</v>
      </c>
      <c r="M369" s="16">
        <v>52562.51</v>
      </c>
      <c r="N369" t="s">
        <v>125</v>
      </c>
      <c r="O369" t="s">
        <v>113</v>
      </c>
      <c r="P369" t="str">
        <f t="shared" si="5"/>
        <v>Cuttack|Microwave</v>
      </c>
    </row>
    <row r="370" spans="1:16" x14ac:dyDescent="0.3">
      <c r="A370" s="15">
        <v>46219</v>
      </c>
      <c r="B370" t="s">
        <v>34</v>
      </c>
      <c r="C370" t="s">
        <v>121</v>
      </c>
      <c r="D370" t="s">
        <v>137</v>
      </c>
      <c r="E370" t="s">
        <v>138</v>
      </c>
      <c r="F370" t="s">
        <v>94</v>
      </c>
      <c r="G370" t="s">
        <v>70</v>
      </c>
      <c r="H370" t="s">
        <v>129</v>
      </c>
      <c r="I370" t="s">
        <v>273</v>
      </c>
      <c r="J370">
        <v>10</v>
      </c>
      <c r="K370" s="16">
        <v>155000</v>
      </c>
      <c r="L370" s="16">
        <v>100406.79</v>
      </c>
      <c r="M370" s="16">
        <v>54593.21</v>
      </c>
      <c r="N370" t="s">
        <v>131</v>
      </c>
      <c r="O370" t="s">
        <v>113</v>
      </c>
      <c r="P370" t="str">
        <f t="shared" si="5"/>
        <v>Cuttack|Printer Pro</v>
      </c>
    </row>
    <row r="371" spans="1:16" x14ac:dyDescent="0.3">
      <c r="A371" s="15">
        <v>46232</v>
      </c>
      <c r="B371" t="s">
        <v>34</v>
      </c>
      <c r="C371" t="s">
        <v>126</v>
      </c>
      <c r="D371" t="s">
        <v>127</v>
      </c>
      <c r="E371" t="s">
        <v>143</v>
      </c>
      <c r="F371" t="s">
        <v>94</v>
      </c>
      <c r="G371" t="s">
        <v>67</v>
      </c>
      <c r="H371" t="s">
        <v>110</v>
      </c>
      <c r="I371" t="s">
        <v>269</v>
      </c>
      <c r="J371">
        <v>12</v>
      </c>
      <c r="K371" s="16">
        <v>396000</v>
      </c>
      <c r="L371" s="16">
        <v>313774.83</v>
      </c>
      <c r="M371" s="16">
        <v>82225.17</v>
      </c>
      <c r="N371" t="s">
        <v>125</v>
      </c>
      <c r="O371" t="s">
        <v>113</v>
      </c>
      <c r="P371" t="str">
        <f t="shared" si="5"/>
        <v>Faridabad|Tablet X</v>
      </c>
    </row>
    <row r="372" spans="1:16" x14ac:dyDescent="0.3">
      <c r="A372" s="15">
        <v>46166</v>
      </c>
      <c r="B372" t="s">
        <v>34</v>
      </c>
      <c r="C372" t="s">
        <v>152</v>
      </c>
      <c r="D372" t="s">
        <v>153</v>
      </c>
      <c r="E372" t="s">
        <v>169</v>
      </c>
      <c r="F372" t="s">
        <v>94</v>
      </c>
      <c r="G372" t="s">
        <v>70</v>
      </c>
      <c r="H372" t="s">
        <v>133</v>
      </c>
      <c r="I372" t="s">
        <v>321</v>
      </c>
      <c r="J372">
        <v>6</v>
      </c>
      <c r="K372" s="16">
        <v>81840</v>
      </c>
      <c r="L372" s="16">
        <v>65536.61</v>
      </c>
      <c r="M372" s="16">
        <v>16303.39</v>
      </c>
      <c r="N372" t="s">
        <v>141</v>
      </c>
      <c r="O372" t="s">
        <v>119</v>
      </c>
      <c r="P372" t="str">
        <f t="shared" si="5"/>
        <v>Chennai|Printer Pro</v>
      </c>
    </row>
    <row r="373" spans="1:16" x14ac:dyDescent="0.3">
      <c r="A373" s="15">
        <v>46084</v>
      </c>
      <c r="B373" t="s">
        <v>34</v>
      </c>
      <c r="C373" t="s">
        <v>126</v>
      </c>
      <c r="D373" t="s">
        <v>127</v>
      </c>
      <c r="E373" t="s">
        <v>128</v>
      </c>
      <c r="F373" t="s">
        <v>94</v>
      </c>
      <c r="G373" t="s">
        <v>64</v>
      </c>
      <c r="H373" t="s">
        <v>184</v>
      </c>
      <c r="I373" t="s">
        <v>225</v>
      </c>
      <c r="J373">
        <v>1</v>
      </c>
      <c r="K373" s="16">
        <v>20370</v>
      </c>
      <c r="L373" s="16">
        <v>16386.18</v>
      </c>
      <c r="M373" s="16">
        <v>3983.82</v>
      </c>
      <c r="N373" t="s">
        <v>112</v>
      </c>
      <c r="O373" t="s">
        <v>113</v>
      </c>
      <c r="P373" t="str">
        <f t="shared" si="5"/>
        <v>Gurugram|Monitor 27</v>
      </c>
    </row>
    <row r="374" spans="1:16" x14ac:dyDescent="0.3">
      <c r="A374" s="15">
        <v>46257</v>
      </c>
      <c r="B374" t="s">
        <v>34</v>
      </c>
      <c r="C374" t="s">
        <v>152</v>
      </c>
      <c r="D374" t="s">
        <v>153</v>
      </c>
      <c r="E374" t="s">
        <v>154</v>
      </c>
      <c r="F374" t="s">
        <v>94</v>
      </c>
      <c r="G374" t="s">
        <v>70</v>
      </c>
      <c r="H374" t="s">
        <v>173</v>
      </c>
      <c r="I374" t="s">
        <v>231</v>
      </c>
      <c r="J374">
        <v>8</v>
      </c>
      <c r="K374" s="16">
        <v>124000</v>
      </c>
      <c r="L374" s="16">
        <v>86851.92</v>
      </c>
      <c r="M374" s="16">
        <v>37148.080000000002</v>
      </c>
      <c r="N374" t="s">
        <v>141</v>
      </c>
      <c r="O374" t="s">
        <v>113</v>
      </c>
      <c r="P374" t="str">
        <f t="shared" si="5"/>
        <v>Coimbatore|Printer Pro</v>
      </c>
    </row>
    <row r="375" spans="1:16" x14ac:dyDescent="0.3">
      <c r="A375" s="15">
        <v>46218</v>
      </c>
      <c r="B375" t="s">
        <v>34</v>
      </c>
      <c r="C375" t="s">
        <v>107</v>
      </c>
      <c r="D375" t="s">
        <v>149</v>
      </c>
      <c r="E375" t="s">
        <v>159</v>
      </c>
      <c r="F375" t="s">
        <v>94</v>
      </c>
      <c r="G375" t="s">
        <v>61</v>
      </c>
      <c r="H375" t="s">
        <v>173</v>
      </c>
      <c r="I375" t="s">
        <v>218</v>
      </c>
      <c r="J375">
        <v>7</v>
      </c>
      <c r="K375" s="16">
        <v>502320</v>
      </c>
      <c r="L375" s="16">
        <v>347366.71</v>
      </c>
      <c r="M375" s="16">
        <v>154953.29</v>
      </c>
      <c r="N375" t="s">
        <v>125</v>
      </c>
      <c r="O375" t="s">
        <v>113</v>
      </c>
      <c r="P375" t="str">
        <f t="shared" si="5"/>
        <v>Pune|Laptop Pro</v>
      </c>
    </row>
    <row r="376" spans="1:16" x14ac:dyDescent="0.3">
      <c r="A376" s="15">
        <v>46234</v>
      </c>
      <c r="B376" t="s">
        <v>34</v>
      </c>
      <c r="C376" t="s">
        <v>121</v>
      </c>
      <c r="D376" t="s">
        <v>146</v>
      </c>
      <c r="E376" t="s">
        <v>175</v>
      </c>
      <c r="F376" t="s">
        <v>96</v>
      </c>
      <c r="G376" t="s">
        <v>83</v>
      </c>
      <c r="H376" t="s">
        <v>184</v>
      </c>
      <c r="I376" t="s">
        <v>224</v>
      </c>
      <c r="J376">
        <v>13</v>
      </c>
      <c r="K376" s="16">
        <v>468000</v>
      </c>
      <c r="L376" s="16">
        <v>337073.55</v>
      </c>
      <c r="M376" s="16">
        <v>130926.45</v>
      </c>
      <c r="N376" t="s">
        <v>125</v>
      </c>
      <c r="O376" t="s">
        <v>119</v>
      </c>
      <c r="P376" t="str">
        <f t="shared" si="5"/>
        <v>Dibrugarh|Meeting Table</v>
      </c>
    </row>
    <row r="377" spans="1:16" x14ac:dyDescent="0.3">
      <c r="A377" s="15">
        <v>46044</v>
      </c>
      <c r="B377" t="s">
        <v>34</v>
      </c>
      <c r="C377" t="s">
        <v>121</v>
      </c>
      <c r="D377" t="s">
        <v>137</v>
      </c>
      <c r="E377" t="s">
        <v>138</v>
      </c>
      <c r="F377" t="s">
        <v>96</v>
      </c>
      <c r="G377" t="s">
        <v>84</v>
      </c>
      <c r="H377" t="s">
        <v>139</v>
      </c>
      <c r="I377" t="s">
        <v>178</v>
      </c>
      <c r="J377">
        <v>7</v>
      </c>
      <c r="K377" s="16">
        <v>89320</v>
      </c>
      <c r="L377" s="16">
        <v>69240.149999999994</v>
      </c>
      <c r="M377" s="16">
        <v>20079.849999999999</v>
      </c>
      <c r="N377" t="s">
        <v>125</v>
      </c>
      <c r="O377" t="s">
        <v>119</v>
      </c>
      <c r="P377" t="str">
        <f t="shared" si="5"/>
        <v>Cuttack|Filing Cabinet</v>
      </c>
    </row>
    <row r="378" spans="1:16" x14ac:dyDescent="0.3">
      <c r="A378" s="15">
        <v>46205</v>
      </c>
      <c r="B378" t="s">
        <v>34</v>
      </c>
      <c r="C378" t="s">
        <v>152</v>
      </c>
      <c r="D378" t="s">
        <v>187</v>
      </c>
      <c r="E378" t="s">
        <v>199</v>
      </c>
      <c r="F378" t="s">
        <v>97</v>
      </c>
      <c r="G378" t="s">
        <v>85</v>
      </c>
      <c r="H378" t="s">
        <v>173</v>
      </c>
      <c r="I378" t="s">
        <v>118</v>
      </c>
      <c r="J378">
        <v>9</v>
      </c>
      <c r="K378" s="16">
        <v>142560</v>
      </c>
      <c r="L378" s="16">
        <v>110494.21</v>
      </c>
      <c r="M378" s="16">
        <v>32065.79</v>
      </c>
      <c r="N378" t="s">
        <v>125</v>
      </c>
      <c r="O378" t="s">
        <v>113</v>
      </c>
      <c r="P378" t="str">
        <f t="shared" si="5"/>
        <v>Hyderabad|Air Purifier</v>
      </c>
    </row>
    <row r="379" spans="1:16" x14ac:dyDescent="0.3">
      <c r="A379" s="15">
        <v>46225</v>
      </c>
      <c r="B379" t="s">
        <v>120</v>
      </c>
      <c r="C379" t="s">
        <v>121</v>
      </c>
      <c r="D379" t="s">
        <v>122</v>
      </c>
      <c r="E379" t="s">
        <v>123</v>
      </c>
      <c r="F379" t="s">
        <v>97</v>
      </c>
      <c r="G379" t="s">
        <v>88</v>
      </c>
      <c r="H379" t="s">
        <v>110</v>
      </c>
      <c r="I379" t="s">
        <v>347</v>
      </c>
      <c r="J379">
        <v>20</v>
      </c>
      <c r="K379" s="16">
        <v>290000</v>
      </c>
      <c r="L379" s="16">
        <v>228190.59</v>
      </c>
      <c r="M379" s="16">
        <v>61809.41</v>
      </c>
      <c r="N379" t="s">
        <v>125</v>
      </c>
      <c r="O379" t="s">
        <v>119</v>
      </c>
      <c r="P379" t="str">
        <f t="shared" si="5"/>
        <v>Durgapur|Vacuum Cleaner</v>
      </c>
    </row>
    <row r="380" spans="1:16" x14ac:dyDescent="0.3">
      <c r="A380" s="15">
        <v>46197</v>
      </c>
      <c r="B380" t="s">
        <v>34</v>
      </c>
      <c r="C380" t="s">
        <v>152</v>
      </c>
      <c r="D380" t="s">
        <v>156</v>
      </c>
      <c r="E380" t="s">
        <v>238</v>
      </c>
      <c r="F380" t="s">
        <v>95</v>
      </c>
      <c r="G380" t="s">
        <v>72</v>
      </c>
      <c r="H380" t="s">
        <v>110</v>
      </c>
      <c r="I380" t="s">
        <v>190</v>
      </c>
      <c r="J380">
        <v>5</v>
      </c>
      <c r="K380" s="16">
        <v>14720</v>
      </c>
      <c r="L380" s="16">
        <v>9454.8700000000008</v>
      </c>
      <c r="M380" s="16">
        <v>5265.13</v>
      </c>
      <c r="N380" t="s">
        <v>125</v>
      </c>
      <c r="O380" t="s">
        <v>113</v>
      </c>
      <c r="P380" t="str">
        <f t="shared" si="5"/>
        <v>Bengaluru|Keyboard</v>
      </c>
    </row>
    <row r="381" spans="1:16" x14ac:dyDescent="0.3">
      <c r="A381" s="15">
        <v>46142</v>
      </c>
      <c r="B381" t="s">
        <v>34</v>
      </c>
      <c r="C381" t="s">
        <v>126</v>
      </c>
      <c r="D381" t="s">
        <v>196</v>
      </c>
      <c r="E381" t="s">
        <v>208</v>
      </c>
      <c r="F381" t="s">
        <v>97</v>
      </c>
      <c r="G381" t="s">
        <v>86</v>
      </c>
      <c r="H381" t="s">
        <v>110</v>
      </c>
      <c r="I381" t="s">
        <v>349</v>
      </c>
      <c r="J381">
        <v>6</v>
      </c>
      <c r="K381" s="16">
        <v>34320</v>
      </c>
      <c r="L381" s="16">
        <v>24788.6</v>
      </c>
      <c r="M381" s="16">
        <v>9531.4</v>
      </c>
      <c r="N381" t="s">
        <v>112</v>
      </c>
      <c r="O381" t="s">
        <v>119</v>
      </c>
      <c r="P381" t="str">
        <f t="shared" si="5"/>
        <v>New Delhi|Coffee Maker</v>
      </c>
    </row>
    <row r="382" spans="1:16" x14ac:dyDescent="0.3">
      <c r="A382" s="15">
        <v>46238</v>
      </c>
      <c r="B382" t="s">
        <v>34</v>
      </c>
      <c r="C382" t="s">
        <v>126</v>
      </c>
      <c r="D382" t="s">
        <v>196</v>
      </c>
      <c r="E382" t="s">
        <v>208</v>
      </c>
      <c r="F382" t="s">
        <v>96</v>
      </c>
      <c r="G382" t="s">
        <v>84</v>
      </c>
      <c r="H382" t="s">
        <v>184</v>
      </c>
      <c r="I382" t="s">
        <v>350</v>
      </c>
      <c r="J382">
        <v>19</v>
      </c>
      <c r="K382" s="16">
        <v>242440</v>
      </c>
      <c r="L382" s="16">
        <v>171635.28</v>
      </c>
      <c r="M382" s="16">
        <v>70804.72</v>
      </c>
      <c r="N382" t="s">
        <v>112</v>
      </c>
      <c r="O382" t="s">
        <v>142</v>
      </c>
      <c r="P382" t="str">
        <f t="shared" si="5"/>
        <v>New Delhi|Filing Cabinet</v>
      </c>
    </row>
    <row r="383" spans="1:16" x14ac:dyDescent="0.3">
      <c r="A383" s="15">
        <v>46257</v>
      </c>
      <c r="B383" t="s">
        <v>120</v>
      </c>
      <c r="C383" t="s">
        <v>152</v>
      </c>
      <c r="D383" t="s">
        <v>187</v>
      </c>
      <c r="E383" t="s">
        <v>199</v>
      </c>
      <c r="F383" t="s">
        <v>95</v>
      </c>
      <c r="G383" t="s">
        <v>76</v>
      </c>
      <c r="H383" t="s">
        <v>139</v>
      </c>
      <c r="I383" t="s">
        <v>202</v>
      </c>
      <c r="J383">
        <v>17</v>
      </c>
      <c r="K383" s="16">
        <v>26928</v>
      </c>
      <c r="L383" s="16">
        <v>20721.43</v>
      </c>
      <c r="M383" s="16">
        <v>6206.57</v>
      </c>
      <c r="N383" t="s">
        <v>112</v>
      </c>
      <c r="O383" t="s">
        <v>113</v>
      </c>
      <c r="P383" t="str">
        <f t="shared" si="5"/>
        <v>Hyderabad|Mouse</v>
      </c>
    </row>
    <row r="384" spans="1:16" x14ac:dyDescent="0.3">
      <c r="A384" s="15">
        <v>46023</v>
      </c>
      <c r="B384" t="s">
        <v>34</v>
      </c>
      <c r="C384" t="s">
        <v>107</v>
      </c>
      <c r="D384" t="s">
        <v>149</v>
      </c>
      <c r="E384" t="s">
        <v>150</v>
      </c>
      <c r="F384" t="s">
        <v>97</v>
      </c>
      <c r="G384" t="s">
        <v>87</v>
      </c>
      <c r="H384" t="s">
        <v>129</v>
      </c>
      <c r="I384" t="s">
        <v>200</v>
      </c>
      <c r="J384">
        <v>6</v>
      </c>
      <c r="K384" s="16">
        <v>75000</v>
      </c>
      <c r="L384" s="16">
        <v>55247.67</v>
      </c>
      <c r="M384" s="16">
        <v>19752.330000000002</v>
      </c>
      <c r="N384" t="s">
        <v>125</v>
      </c>
      <c r="O384" t="s">
        <v>142</v>
      </c>
      <c r="P384" t="str">
        <f t="shared" si="5"/>
        <v>Mumbai|Microwave</v>
      </c>
    </row>
    <row r="385" spans="1:16" x14ac:dyDescent="0.3">
      <c r="A385" s="15">
        <v>46028</v>
      </c>
      <c r="B385" t="s">
        <v>114</v>
      </c>
      <c r="C385" t="s">
        <v>152</v>
      </c>
      <c r="D385" t="s">
        <v>187</v>
      </c>
      <c r="E385" t="s">
        <v>199</v>
      </c>
      <c r="F385" t="s">
        <v>94</v>
      </c>
      <c r="G385" t="s">
        <v>70</v>
      </c>
      <c r="H385" t="s">
        <v>110</v>
      </c>
      <c r="I385" t="s">
        <v>246</v>
      </c>
      <c r="J385">
        <v>9</v>
      </c>
      <c r="K385" s="16">
        <v>128340</v>
      </c>
      <c r="L385" s="16">
        <v>86589.52</v>
      </c>
      <c r="M385" s="16">
        <v>41750.480000000003</v>
      </c>
      <c r="N385" t="s">
        <v>112</v>
      </c>
      <c r="O385" t="s">
        <v>113</v>
      </c>
      <c r="P385" t="str">
        <f t="shared" si="5"/>
        <v>Hyderabad|Printer Pro</v>
      </c>
    </row>
    <row r="386" spans="1:16" x14ac:dyDescent="0.3">
      <c r="A386" s="15">
        <v>46152</v>
      </c>
      <c r="B386" t="s">
        <v>34</v>
      </c>
      <c r="C386" t="s">
        <v>121</v>
      </c>
      <c r="D386" t="s">
        <v>146</v>
      </c>
      <c r="E386" t="s">
        <v>147</v>
      </c>
      <c r="F386" t="s">
        <v>96</v>
      </c>
      <c r="G386" t="s">
        <v>84</v>
      </c>
      <c r="H386" t="s">
        <v>110</v>
      </c>
      <c r="I386" t="s">
        <v>234</v>
      </c>
      <c r="J386">
        <v>10</v>
      </c>
      <c r="K386" s="16">
        <v>145000</v>
      </c>
      <c r="L386" s="16">
        <v>118746.36</v>
      </c>
      <c r="M386" s="16">
        <v>26253.64</v>
      </c>
      <c r="N386" t="s">
        <v>141</v>
      </c>
      <c r="O386" t="s">
        <v>142</v>
      </c>
      <c r="P386" t="str">
        <f t="shared" si="5"/>
        <v>Guwahati|Filing Cabinet</v>
      </c>
    </row>
    <row r="387" spans="1:16" x14ac:dyDescent="0.3">
      <c r="A387" s="15">
        <v>46241</v>
      </c>
      <c r="B387" t="s">
        <v>34</v>
      </c>
      <c r="C387" t="s">
        <v>121</v>
      </c>
      <c r="D387" t="s">
        <v>137</v>
      </c>
      <c r="E387" t="s">
        <v>171</v>
      </c>
      <c r="F387" t="s">
        <v>97</v>
      </c>
      <c r="G387" t="s">
        <v>87</v>
      </c>
      <c r="H387" t="s">
        <v>129</v>
      </c>
      <c r="I387" t="s">
        <v>287</v>
      </c>
      <c r="J387">
        <v>12</v>
      </c>
      <c r="K387" s="16">
        <v>150000</v>
      </c>
      <c r="L387" s="16">
        <v>104051.03</v>
      </c>
      <c r="M387" s="16">
        <v>45948.97</v>
      </c>
      <c r="N387" t="s">
        <v>112</v>
      </c>
      <c r="O387" t="s">
        <v>113</v>
      </c>
      <c r="P387" t="str">
        <f t="shared" si="5"/>
        <v>Bhubaneswar|Microwave</v>
      </c>
    </row>
    <row r="388" spans="1:16" x14ac:dyDescent="0.3">
      <c r="A388" s="15">
        <v>46186</v>
      </c>
      <c r="B388" t="s">
        <v>114</v>
      </c>
      <c r="C388" t="s">
        <v>126</v>
      </c>
      <c r="D388" t="s">
        <v>162</v>
      </c>
      <c r="E388" t="s">
        <v>163</v>
      </c>
      <c r="F388" t="s">
        <v>97</v>
      </c>
      <c r="G388" t="s">
        <v>85</v>
      </c>
      <c r="H388" t="s">
        <v>139</v>
      </c>
      <c r="I388" t="s">
        <v>295</v>
      </c>
      <c r="J388">
        <v>2</v>
      </c>
      <c r="K388" s="16">
        <v>34200</v>
      </c>
      <c r="L388" s="16">
        <v>22953.67</v>
      </c>
      <c r="M388" s="16">
        <v>11246.33</v>
      </c>
      <c r="N388" t="s">
        <v>131</v>
      </c>
      <c r="O388" t="s">
        <v>113</v>
      </c>
      <c r="P388" t="str">
        <f t="shared" si="5"/>
        <v>Lucknow|Air Purifier</v>
      </c>
    </row>
    <row r="389" spans="1:16" x14ac:dyDescent="0.3">
      <c r="A389" s="15">
        <v>46229</v>
      </c>
      <c r="B389" t="s">
        <v>34</v>
      </c>
      <c r="C389" t="s">
        <v>126</v>
      </c>
      <c r="D389" t="s">
        <v>162</v>
      </c>
      <c r="E389" t="s">
        <v>163</v>
      </c>
      <c r="F389" t="s">
        <v>94</v>
      </c>
      <c r="G389" t="s">
        <v>64</v>
      </c>
      <c r="H389" t="s">
        <v>133</v>
      </c>
      <c r="I389" t="s">
        <v>280</v>
      </c>
      <c r="J389">
        <v>15</v>
      </c>
      <c r="K389" s="16">
        <v>299250</v>
      </c>
      <c r="L389" s="16">
        <v>209571.18</v>
      </c>
      <c r="M389" s="16">
        <v>89678.82</v>
      </c>
      <c r="N389" t="s">
        <v>131</v>
      </c>
      <c r="O389" t="s">
        <v>113</v>
      </c>
      <c r="P389" t="str">
        <f t="shared" ref="P389:P452" si="6">E389&amp;"|"&amp;G389</f>
        <v>Lucknow|Monitor 27</v>
      </c>
    </row>
    <row r="390" spans="1:16" x14ac:dyDescent="0.3">
      <c r="A390" s="15">
        <v>46081</v>
      </c>
      <c r="B390" t="s">
        <v>34</v>
      </c>
      <c r="C390" t="s">
        <v>121</v>
      </c>
      <c r="D390" t="s">
        <v>122</v>
      </c>
      <c r="E390" t="s">
        <v>166</v>
      </c>
      <c r="F390" t="s">
        <v>96</v>
      </c>
      <c r="G390" t="s">
        <v>83</v>
      </c>
      <c r="H390" t="s">
        <v>135</v>
      </c>
      <c r="I390" t="s">
        <v>349</v>
      </c>
      <c r="J390">
        <v>4</v>
      </c>
      <c r="K390" s="16">
        <v>136800</v>
      </c>
      <c r="L390" s="16">
        <v>106424.2</v>
      </c>
      <c r="M390" s="16">
        <v>30375.8</v>
      </c>
      <c r="N390" t="s">
        <v>112</v>
      </c>
      <c r="O390" t="s">
        <v>119</v>
      </c>
      <c r="P390" t="str">
        <f t="shared" si="6"/>
        <v>Kolkata|Meeting Table</v>
      </c>
    </row>
    <row r="391" spans="1:16" x14ac:dyDescent="0.3">
      <c r="A391" s="15">
        <v>46134</v>
      </c>
      <c r="B391" t="s">
        <v>34</v>
      </c>
      <c r="C391" t="s">
        <v>121</v>
      </c>
      <c r="D391" t="s">
        <v>122</v>
      </c>
      <c r="E391" t="s">
        <v>166</v>
      </c>
      <c r="F391" t="s">
        <v>96</v>
      </c>
      <c r="G391" t="s">
        <v>80</v>
      </c>
      <c r="H391" t="s">
        <v>173</v>
      </c>
      <c r="I391" t="s">
        <v>351</v>
      </c>
      <c r="J391">
        <v>13</v>
      </c>
      <c r="K391" s="16">
        <v>157625</v>
      </c>
      <c r="L391" s="16">
        <v>110446.69</v>
      </c>
      <c r="M391" s="16">
        <v>47178.31</v>
      </c>
      <c r="N391" t="s">
        <v>112</v>
      </c>
      <c r="O391" t="s">
        <v>142</v>
      </c>
      <c r="P391" t="str">
        <f t="shared" si="6"/>
        <v>Kolkata|Office Chair</v>
      </c>
    </row>
    <row r="392" spans="1:16" x14ac:dyDescent="0.3">
      <c r="A392" s="15">
        <v>46050</v>
      </c>
      <c r="B392" t="s">
        <v>34</v>
      </c>
      <c r="C392" t="s">
        <v>121</v>
      </c>
      <c r="D392" t="s">
        <v>137</v>
      </c>
      <c r="E392" t="s">
        <v>138</v>
      </c>
      <c r="F392" t="s">
        <v>97</v>
      </c>
      <c r="G392" t="s">
        <v>87</v>
      </c>
      <c r="H392" t="s">
        <v>184</v>
      </c>
      <c r="I392" t="s">
        <v>314</v>
      </c>
      <c r="J392">
        <v>11</v>
      </c>
      <c r="K392" s="16">
        <v>133375</v>
      </c>
      <c r="L392" s="16">
        <v>108220.96</v>
      </c>
      <c r="M392" s="16">
        <v>25154.04</v>
      </c>
      <c r="N392" t="s">
        <v>141</v>
      </c>
      <c r="O392" t="s">
        <v>113</v>
      </c>
      <c r="P392" t="str">
        <f t="shared" si="6"/>
        <v>Cuttack|Microwave</v>
      </c>
    </row>
    <row r="393" spans="1:16" x14ac:dyDescent="0.3">
      <c r="A393" s="15">
        <v>46142</v>
      </c>
      <c r="B393" t="s">
        <v>34</v>
      </c>
      <c r="C393" t="s">
        <v>126</v>
      </c>
      <c r="D393" t="s">
        <v>127</v>
      </c>
      <c r="E393" t="s">
        <v>128</v>
      </c>
      <c r="F393" t="s">
        <v>96</v>
      </c>
      <c r="G393" t="s">
        <v>84</v>
      </c>
      <c r="H393" t="s">
        <v>173</v>
      </c>
      <c r="I393" t="s">
        <v>330</v>
      </c>
      <c r="J393">
        <v>11</v>
      </c>
      <c r="K393" s="16">
        <v>146740</v>
      </c>
      <c r="L393" s="16">
        <v>114635.31</v>
      </c>
      <c r="M393" s="16">
        <v>32104.69</v>
      </c>
      <c r="N393" t="s">
        <v>112</v>
      </c>
      <c r="O393" t="s">
        <v>113</v>
      </c>
      <c r="P393" t="str">
        <f t="shared" si="6"/>
        <v>Gurugram|Filing Cabinet</v>
      </c>
    </row>
    <row r="394" spans="1:16" x14ac:dyDescent="0.3">
      <c r="A394" s="15">
        <v>46236</v>
      </c>
      <c r="B394" t="s">
        <v>34</v>
      </c>
      <c r="C394" t="s">
        <v>107</v>
      </c>
      <c r="D394" t="s">
        <v>115</v>
      </c>
      <c r="E394" t="s">
        <v>116</v>
      </c>
      <c r="F394" t="s">
        <v>97</v>
      </c>
      <c r="G394" t="s">
        <v>86</v>
      </c>
      <c r="H394" t="s">
        <v>139</v>
      </c>
      <c r="I394" t="s">
        <v>296</v>
      </c>
      <c r="J394">
        <v>9</v>
      </c>
      <c r="K394" s="16">
        <v>53820</v>
      </c>
      <c r="L394" s="16">
        <v>42777.31</v>
      </c>
      <c r="M394" s="16">
        <v>11042.69</v>
      </c>
      <c r="N394" t="s">
        <v>141</v>
      </c>
      <c r="O394" t="s">
        <v>113</v>
      </c>
      <c r="P394" t="str">
        <f t="shared" si="6"/>
        <v>Ahmedabad|Coffee Maker</v>
      </c>
    </row>
    <row r="395" spans="1:16" x14ac:dyDescent="0.3">
      <c r="A395" s="15">
        <v>46254</v>
      </c>
      <c r="B395" t="s">
        <v>34</v>
      </c>
      <c r="C395" t="s">
        <v>107</v>
      </c>
      <c r="D395" t="s">
        <v>108</v>
      </c>
      <c r="E395" t="s">
        <v>132</v>
      </c>
      <c r="F395" t="s">
        <v>97</v>
      </c>
      <c r="G395" t="s">
        <v>87</v>
      </c>
      <c r="H395" t="s">
        <v>173</v>
      </c>
      <c r="I395" t="s">
        <v>277</v>
      </c>
      <c r="J395">
        <v>12</v>
      </c>
      <c r="K395" s="16">
        <v>132000</v>
      </c>
      <c r="L395" s="16">
        <v>98962.47</v>
      </c>
      <c r="M395" s="16">
        <v>33037.53</v>
      </c>
      <c r="N395" t="s">
        <v>125</v>
      </c>
      <c r="O395" t="s">
        <v>142</v>
      </c>
      <c r="P395" t="str">
        <f t="shared" si="6"/>
        <v>Jaipur|Microwave</v>
      </c>
    </row>
    <row r="396" spans="1:16" x14ac:dyDescent="0.3">
      <c r="A396" s="15">
        <v>46023</v>
      </c>
      <c r="B396" t="s">
        <v>34</v>
      </c>
      <c r="C396" t="s">
        <v>152</v>
      </c>
      <c r="D396" t="s">
        <v>156</v>
      </c>
      <c r="E396" t="s">
        <v>238</v>
      </c>
      <c r="F396" t="s">
        <v>95</v>
      </c>
      <c r="G396" t="s">
        <v>78</v>
      </c>
      <c r="H396" t="s">
        <v>117</v>
      </c>
      <c r="I396" t="s">
        <v>352</v>
      </c>
      <c r="J396">
        <v>20</v>
      </c>
      <c r="K396" s="16">
        <v>81480</v>
      </c>
      <c r="L396" s="16">
        <v>59362.559999999998</v>
      </c>
      <c r="M396" s="16">
        <v>22117.439999999999</v>
      </c>
      <c r="N396" t="s">
        <v>125</v>
      </c>
      <c r="O396" t="s">
        <v>113</v>
      </c>
      <c r="P396" t="str">
        <f t="shared" si="6"/>
        <v>Bengaluru|Webcam</v>
      </c>
    </row>
    <row r="397" spans="1:16" x14ac:dyDescent="0.3">
      <c r="A397" s="15">
        <v>46031</v>
      </c>
      <c r="B397" t="s">
        <v>34</v>
      </c>
      <c r="C397" t="s">
        <v>107</v>
      </c>
      <c r="D397" t="s">
        <v>108</v>
      </c>
      <c r="E397" t="s">
        <v>109</v>
      </c>
      <c r="F397" t="s">
        <v>94</v>
      </c>
      <c r="G397" t="s">
        <v>64</v>
      </c>
      <c r="H397" t="s">
        <v>117</v>
      </c>
      <c r="I397" t="s">
        <v>209</v>
      </c>
      <c r="J397">
        <v>16</v>
      </c>
      <c r="K397" s="16">
        <v>325920</v>
      </c>
      <c r="L397" s="16">
        <v>206965.37</v>
      </c>
      <c r="M397" s="16">
        <v>118954.63</v>
      </c>
      <c r="N397" t="s">
        <v>125</v>
      </c>
      <c r="O397" t="s">
        <v>113</v>
      </c>
      <c r="P397" t="str">
        <f t="shared" si="6"/>
        <v>Udaipur|Monitor 27</v>
      </c>
    </row>
    <row r="398" spans="1:16" x14ac:dyDescent="0.3">
      <c r="A398" s="15">
        <v>46182</v>
      </c>
      <c r="B398" t="s">
        <v>34</v>
      </c>
      <c r="C398" t="s">
        <v>107</v>
      </c>
      <c r="D398" t="s">
        <v>149</v>
      </c>
      <c r="E398" t="s">
        <v>150</v>
      </c>
      <c r="F398" t="s">
        <v>95</v>
      </c>
      <c r="G398" t="s">
        <v>76</v>
      </c>
      <c r="H398" t="s">
        <v>117</v>
      </c>
      <c r="I398" t="s">
        <v>302</v>
      </c>
      <c r="J398">
        <v>9</v>
      </c>
      <c r="K398" s="16">
        <v>14904</v>
      </c>
      <c r="L398" s="16">
        <v>10883.96</v>
      </c>
      <c r="M398" s="16">
        <v>4020.04</v>
      </c>
      <c r="N398" t="s">
        <v>131</v>
      </c>
      <c r="O398" t="s">
        <v>119</v>
      </c>
      <c r="P398" t="str">
        <f t="shared" si="6"/>
        <v>Mumbai|Mouse</v>
      </c>
    </row>
    <row r="399" spans="1:16" x14ac:dyDescent="0.3">
      <c r="A399" s="15">
        <v>46045</v>
      </c>
      <c r="B399" t="s">
        <v>34</v>
      </c>
      <c r="C399" t="s">
        <v>152</v>
      </c>
      <c r="D399" t="s">
        <v>156</v>
      </c>
      <c r="E399" t="s">
        <v>238</v>
      </c>
      <c r="F399" t="s">
        <v>96</v>
      </c>
      <c r="G399" t="s">
        <v>83</v>
      </c>
      <c r="H399" t="s">
        <v>110</v>
      </c>
      <c r="I399" t="s">
        <v>295</v>
      </c>
      <c r="J399">
        <v>8</v>
      </c>
      <c r="K399" s="16">
        <v>264960</v>
      </c>
      <c r="L399" s="16">
        <v>209947.95</v>
      </c>
      <c r="M399" s="16">
        <v>55012.05</v>
      </c>
      <c r="N399" t="s">
        <v>112</v>
      </c>
      <c r="O399" t="s">
        <v>113</v>
      </c>
      <c r="P399" t="str">
        <f t="shared" si="6"/>
        <v>Bengaluru|Meeting Table</v>
      </c>
    </row>
    <row r="400" spans="1:16" x14ac:dyDescent="0.3">
      <c r="A400" s="15">
        <v>46153</v>
      </c>
      <c r="B400" t="s">
        <v>120</v>
      </c>
      <c r="C400" t="s">
        <v>121</v>
      </c>
      <c r="D400" t="s">
        <v>122</v>
      </c>
      <c r="E400" t="s">
        <v>123</v>
      </c>
      <c r="F400" t="s">
        <v>95</v>
      </c>
      <c r="G400" t="s">
        <v>76</v>
      </c>
      <c r="H400" t="s">
        <v>129</v>
      </c>
      <c r="I400" t="s">
        <v>342</v>
      </c>
      <c r="J400">
        <v>2</v>
      </c>
      <c r="K400" s="16">
        <v>3492</v>
      </c>
      <c r="L400" s="16">
        <v>2848.36</v>
      </c>
      <c r="M400" s="16">
        <v>643.64</v>
      </c>
      <c r="N400" t="s">
        <v>125</v>
      </c>
      <c r="O400" t="s">
        <v>113</v>
      </c>
      <c r="P400" t="str">
        <f t="shared" si="6"/>
        <v>Durgapur|Mouse</v>
      </c>
    </row>
    <row r="401" spans="1:16" x14ac:dyDescent="0.3">
      <c r="A401" s="15">
        <v>46057</v>
      </c>
      <c r="B401" t="s">
        <v>34</v>
      </c>
      <c r="C401" t="s">
        <v>152</v>
      </c>
      <c r="D401" t="s">
        <v>156</v>
      </c>
      <c r="E401" t="s">
        <v>238</v>
      </c>
      <c r="F401" t="s">
        <v>97</v>
      </c>
      <c r="G401" t="s">
        <v>87</v>
      </c>
      <c r="H401" t="s">
        <v>184</v>
      </c>
      <c r="I401" t="s">
        <v>211</v>
      </c>
      <c r="J401">
        <v>11</v>
      </c>
      <c r="K401" s="16">
        <v>133375</v>
      </c>
      <c r="L401" s="16">
        <v>100387.1</v>
      </c>
      <c r="M401" s="16">
        <v>32987.9</v>
      </c>
      <c r="N401" t="s">
        <v>141</v>
      </c>
      <c r="O401" t="s">
        <v>113</v>
      </c>
      <c r="P401" t="str">
        <f t="shared" si="6"/>
        <v>Bengaluru|Microwave</v>
      </c>
    </row>
    <row r="402" spans="1:16" x14ac:dyDescent="0.3">
      <c r="A402" s="15">
        <v>46210</v>
      </c>
      <c r="B402" t="s">
        <v>114</v>
      </c>
      <c r="C402" t="s">
        <v>107</v>
      </c>
      <c r="D402" t="s">
        <v>108</v>
      </c>
      <c r="E402" t="s">
        <v>132</v>
      </c>
      <c r="F402" t="s">
        <v>96</v>
      </c>
      <c r="G402" t="s">
        <v>82</v>
      </c>
      <c r="H402" t="s">
        <v>110</v>
      </c>
      <c r="I402" t="s">
        <v>346</v>
      </c>
      <c r="J402">
        <v>10</v>
      </c>
      <c r="K402" s="16">
        <v>250800</v>
      </c>
      <c r="L402" s="16">
        <v>160038.57</v>
      </c>
      <c r="M402" s="16">
        <v>90761.43</v>
      </c>
      <c r="N402" t="s">
        <v>131</v>
      </c>
      <c r="O402" t="s">
        <v>142</v>
      </c>
      <c r="P402" t="str">
        <f t="shared" si="6"/>
        <v>Jaipur|Standing Desk</v>
      </c>
    </row>
    <row r="403" spans="1:16" x14ac:dyDescent="0.3">
      <c r="A403" s="15">
        <v>46206</v>
      </c>
      <c r="B403" t="s">
        <v>34</v>
      </c>
      <c r="C403" t="s">
        <v>126</v>
      </c>
      <c r="D403" t="s">
        <v>127</v>
      </c>
      <c r="E403" t="s">
        <v>143</v>
      </c>
      <c r="F403" t="s">
        <v>97</v>
      </c>
      <c r="G403" t="s">
        <v>87</v>
      </c>
      <c r="H403" t="s">
        <v>117</v>
      </c>
      <c r="I403" t="s">
        <v>227</v>
      </c>
      <c r="J403">
        <v>3</v>
      </c>
      <c r="K403" s="16">
        <v>37500</v>
      </c>
      <c r="L403" s="16">
        <v>23939.22</v>
      </c>
      <c r="M403" s="16">
        <v>13560.78</v>
      </c>
      <c r="N403" t="s">
        <v>131</v>
      </c>
      <c r="O403" t="s">
        <v>113</v>
      </c>
      <c r="P403" t="str">
        <f t="shared" si="6"/>
        <v>Faridabad|Microwave</v>
      </c>
    </row>
    <row r="404" spans="1:16" x14ac:dyDescent="0.3">
      <c r="A404" s="15">
        <v>46024</v>
      </c>
      <c r="B404" t="s">
        <v>34</v>
      </c>
      <c r="C404" t="s">
        <v>107</v>
      </c>
      <c r="D404" t="s">
        <v>115</v>
      </c>
      <c r="E404" t="s">
        <v>191</v>
      </c>
      <c r="F404" t="s">
        <v>94</v>
      </c>
      <c r="G404" t="s">
        <v>70</v>
      </c>
      <c r="H404" t="s">
        <v>110</v>
      </c>
      <c r="I404" t="s">
        <v>267</v>
      </c>
      <c r="J404">
        <v>8</v>
      </c>
      <c r="K404" s="16">
        <v>124000</v>
      </c>
      <c r="L404" s="16">
        <v>94798.3</v>
      </c>
      <c r="M404" s="16">
        <v>29201.7</v>
      </c>
      <c r="N404" t="s">
        <v>131</v>
      </c>
      <c r="O404" t="s">
        <v>142</v>
      </c>
      <c r="P404" t="str">
        <f t="shared" si="6"/>
        <v>Surat|Printer Pro</v>
      </c>
    </row>
    <row r="405" spans="1:16" x14ac:dyDescent="0.3">
      <c r="A405" s="15">
        <v>46121</v>
      </c>
      <c r="B405" t="s">
        <v>120</v>
      </c>
      <c r="C405" t="s">
        <v>126</v>
      </c>
      <c r="D405" t="s">
        <v>127</v>
      </c>
      <c r="E405" t="s">
        <v>143</v>
      </c>
      <c r="F405" t="s">
        <v>94</v>
      </c>
      <c r="G405" t="s">
        <v>67</v>
      </c>
      <c r="H405" t="s">
        <v>135</v>
      </c>
      <c r="I405" t="s">
        <v>298</v>
      </c>
      <c r="J405">
        <v>19</v>
      </c>
      <c r="K405" s="16">
        <v>576840</v>
      </c>
      <c r="L405" s="16">
        <v>397356.74</v>
      </c>
      <c r="M405" s="16">
        <v>179483.26</v>
      </c>
      <c r="N405" t="s">
        <v>141</v>
      </c>
      <c r="O405" t="s">
        <v>142</v>
      </c>
      <c r="P405" t="str">
        <f t="shared" si="6"/>
        <v>Faridabad|Tablet X</v>
      </c>
    </row>
    <row r="406" spans="1:16" x14ac:dyDescent="0.3">
      <c r="A406" s="15">
        <v>46104</v>
      </c>
      <c r="B406" t="s">
        <v>114</v>
      </c>
      <c r="C406" t="s">
        <v>107</v>
      </c>
      <c r="D406" t="s">
        <v>149</v>
      </c>
      <c r="E406" t="s">
        <v>150</v>
      </c>
      <c r="F406" t="s">
        <v>94</v>
      </c>
      <c r="G406" t="s">
        <v>70</v>
      </c>
      <c r="H406" t="s">
        <v>173</v>
      </c>
      <c r="I406" t="s">
        <v>288</v>
      </c>
      <c r="J406">
        <v>6</v>
      </c>
      <c r="K406" s="16">
        <v>88350</v>
      </c>
      <c r="L406" s="16">
        <v>60071.8</v>
      </c>
      <c r="M406" s="16">
        <v>28278.2</v>
      </c>
      <c r="N406" t="s">
        <v>125</v>
      </c>
      <c r="O406" t="s">
        <v>119</v>
      </c>
      <c r="P406" t="str">
        <f t="shared" si="6"/>
        <v>Mumbai|Printer Pro</v>
      </c>
    </row>
    <row r="407" spans="1:16" x14ac:dyDescent="0.3">
      <c r="A407" s="15">
        <v>46121</v>
      </c>
      <c r="B407" t="s">
        <v>34</v>
      </c>
      <c r="C407" t="s">
        <v>121</v>
      </c>
      <c r="D407" t="s">
        <v>122</v>
      </c>
      <c r="E407" t="s">
        <v>123</v>
      </c>
      <c r="F407" t="s">
        <v>96</v>
      </c>
      <c r="G407" t="s">
        <v>82</v>
      </c>
      <c r="H407" t="s">
        <v>117</v>
      </c>
      <c r="I407" t="s">
        <v>353</v>
      </c>
      <c r="J407">
        <v>2</v>
      </c>
      <c r="K407" s="16">
        <v>54150</v>
      </c>
      <c r="L407" s="16">
        <v>37136.99</v>
      </c>
      <c r="M407" s="16">
        <v>17013.009999999998</v>
      </c>
      <c r="N407" t="s">
        <v>125</v>
      </c>
      <c r="O407" t="s">
        <v>113</v>
      </c>
      <c r="P407" t="str">
        <f t="shared" si="6"/>
        <v>Durgapur|Standing Desk</v>
      </c>
    </row>
    <row r="408" spans="1:16" x14ac:dyDescent="0.3">
      <c r="A408" s="15">
        <v>46206</v>
      </c>
      <c r="B408" t="s">
        <v>34</v>
      </c>
      <c r="C408" t="s">
        <v>152</v>
      </c>
      <c r="D408" t="s">
        <v>156</v>
      </c>
      <c r="E408" t="s">
        <v>157</v>
      </c>
      <c r="F408" t="s">
        <v>96</v>
      </c>
      <c r="G408" t="s">
        <v>84</v>
      </c>
      <c r="H408" t="s">
        <v>129</v>
      </c>
      <c r="I408" t="s">
        <v>288</v>
      </c>
      <c r="J408">
        <v>2</v>
      </c>
      <c r="K408" s="16">
        <v>26680</v>
      </c>
      <c r="L408" s="16">
        <v>20772.12</v>
      </c>
      <c r="M408" s="16">
        <v>5907.88</v>
      </c>
      <c r="N408" t="s">
        <v>131</v>
      </c>
      <c r="O408" t="s">
        <v>119</v>
      </c>
      <c r="P408" t="str">
        <f t="shared" si="6"/>
        <v>Mysuru|Filing Cabinet</v>
      </c>
    </row>
    <row r="409" spans="1:16" x14ac:dyDescent="0.3">
      <c r="A409" s="15">
        <v>46215</v>
      </c>
      <c r="B409" t="s">
        <v>34</v>
      </c>
      <c r="C409" t="s">
        <v>121</v>
      </c>
      <c r="D409" t="s">
        <v>137</v>
      </c>
      <c r="E409" t="s">
        <v>171</v>
      </c>
      <c r="F409" t="s">
        <v>95</v>
      </c>
      <c r="G409" t="s">
        <v>72</v>
      </c>
      <c r="H409" t="s">
        <v>135</v>
      </c>
      <c r="I409" t="s">
        <v>241</v>
      </c>
      <c r="J409">
        <v>2</v>
      </c>
      <c r="K409" s="16">
        <v>5632</v>
      </c>
      <c r="L409" s="16">
        <v>4466.26</v>
      </c>
      <c r="M409" s="16">
        <v>1165.74</v>
      </c>
      <c r="N409" t="s">
        <v>141</v>
      </c>
      <c r="O409" t="s">
        <v>113</v>
      </c>
      <c r="P409" t="str">
        <f t="shared" si="6"/>
        <v>Bhubaneswar|Keyboard</v>
      </c>
    </row>
    <row r="410" spans="1:16" x14ac:dyDescent="0.3">
      <c r="A410" s="15">
        <v>46181</v>
      </c>
      <c r="B410" t="s">
        <v>120</v>
      </c>
      <c r="C410" t="s">
        <v>126</v>
      </c>
      <c r="D410" t="s">
        <v>127</v>
      </c>
      <c r="E410" t="s">
        <v>128</v>
      </c>
      <c r="F410" t="s">
        <v>96</v>
      </c>
      <c r="G410" t="s">
        <v>80</v>
      </c>
      <c r="H410" t="s">
        <v>110</v>
      </c>
      <c r="I410" t="s">
        <v>354</v>
      </c>
      <c r="J410">
        <v>2</v>
      </c>
      <c r="K410" s="16">
        <v>23750</v>
      </c>
      <c r="L410" s="16">
        <v>18589.78</v>
      </c>
      <c r="M410" s="16">
        <v>5160.22</v>
      </c>
      <c r="N410" t="s">
        <v>131</v>
      </c>
      <c r="O410" t="s">
        <v>119</v>
      </c>
      <c r="P410" t="str">
        <f t="shared" si="6"/>
        <v>Gurugram|Office Chair</v>
      </c>
    </row>
    <row r="411" spans="1:16" x14ac:dyDescent="0.3">
      <c r="A411" s="15">
        <v>46160</v>
      </c>
      <c r="B411" t="s">
        <v>34</v>
      </c>
      <c r="C411" t="s">
        <v>152</v>
      </c>
      <c r="D411" t="s">
        <v>156</v>
      </c>
      <c r="E411" t="s">
        <v>157</v>
      </c>
      <c r="F411" t="s">
        <v>94</v>
      </c>
      <c r="G411" t="s">
        <v>61</v>
      </c>
      <c r="H411" t="s">
        <v>117</v>
      </c>
      <c r="I411" t="s">
        <v>182</v>
      </c>
      <c r="J411">
        <v>7</v>
      </c>
      <c r="K411" s="16">
        <v>518700</v>
      </c>
      <c r="L411" s="16">
        <v>361519.83</v>
      </c>
      <c r="M411" s="16">
        <v>157180.17000000001</v>
      </c>
      <c r="N411" t="s">
        <v>112</v>
      </c>
      <c r="O411" t="s">
        <v>142</v>
      </c>
      <c r="P411" t="str">
        <f t="shared" si="6"/>
        <v>Mysuru|Laptop Pro</v>
      </c>
    </row>
    <row r="412" spans="1:16" x14ac:dyDescent="0.3">
      <c r="A412" s="15">
        <v>46090</v>
      </c>
      <c r="B412" t="s">
        <v>34</v>
      </c>
      <c r="C412" t="s">
        <v>107</v>
      </c>
      <c r="D412" t="s">
        <v>149</v>
      </c>
      <c r="E412" t="s">
        <v>150</v>
      </c>
      <c r="F412" t="s">
        <v>96</v>
      </c>
      <c r="G412" t="s">
        <v>82</v>
      </c>
      <c r="H412" t="s">
        <v>110</v>
      </c>
      <c r="I412" t="s">
        <v>355</v>
      </c>
      <c r="J412">
        <v>1</v>
      </c>
      <c r="K412" s="16">
        <v>25080</v>
      </c>
      <c r="L412" s="16">
        <v>19384.73</v>
      </c>
      <c r="M412" s="16">
        <v>5695.27</v>
      </c>
      <c r="N412" t="s">
        <v>131</v>
      </c>
      <c r="O412" t="s">
        <v>142</v>
      </c>
      <c r="P412" t="str">
        <f t="shared" si="6"/>
        <v>Mumbai|Standing Desk</v>
      </c>
    </row>
    <row r="413" spans="1:16" x14ac:dyDescent="0.3">
      <c r="A413" s="15">
        <v>46070</v>
      </c>
      <c r="B413" t="s">
        <v>34</v>
      </c>
      <c r="C413" t="s">
        <v>152</v>
      </c>
      <c r="D413" t="s">
        <v>156</v>
      </c>
      <c r="E413" t="s">
        <v>238</v>
      </c>
      <c r="F413" t="s">
        <v>95</v>
      </c>
      <c r="G413" t="s">
        <v>72</v>
      </c>
      <c r="H413" t="s">
        <v>139</v>
      </c>
      <c r="I413" t="s">
        <v>356</v>
      </c>
      <c r="J413">
        <v>8</v>
      </c>
      <c r="K413" s="16">
        <v>25600</v>
      </c>
      <c r="L413" s="16">
        <v>17246.28</v>
      </c>
      <c r="M413" s="16">
        <v>8353.7199999999993</v>
      </c>
      <c r="N413" t="s">
        <v>141</v>
      </c>
      <c r="O413" t="s">
        <v>113</v>
      </c>
      <c r="P413" t="str">
        <f t="shared" si="6"/>
        <v>Bengaluru|Keyboard</v>
      </c>
    </row>
    <row r="414" spans="1:16" x14ac:dyDescent="0.3">
      <c r="A414" s="15">
        <v>46108</v>
      </c>
      <c r="B414" t="s">
        <v>34</v>
      </c>
      <c r="C414" t="s">
        <v>126</v>
      </c>
      <c r="D414" t="s">
        <v>162</v>
      </c>
      <c r="E414" t="s">
        <v>163</v>
      </c>
      <c r="F414" t="s">
        <v>94</v>
      </c>
      <c r="G414" t="s">
        <v>64</v>
      </c>
      <c r="H414" t="s">
        <v>129</v>
      </c>
      <c r="I414" t="s">
        <v>357</v>
      </c>
      <c r="J414">
        <v>17</v>
      </c>
      <c r="K414" s="16">
        <v>357000</v>
      </c>
      <c r="L414" s="16">
        <v>285486.53000000003</v>
      </c>
      <c r="M414" s="16">
        <v>71513.47</v>
      </c>
      <c r="N414" t="s">
        <v>131</v>
      </c>
      <c r="O414" t="s">
        <v>113</v>
      </c>
      <c r="P414" t="str">
        <f t="shared" si="6"/>
        <v>Lucknow|Monitor 27</v>
      </c>
    </row>
    <row r="415" spans="1:16" x14ac:dyDescent="0.3">
      <c r="A415" s="15">
        <v>46094</v>
      </c>
      <c r="B415" t="s">
        <v>34</v>
      </c>
      <c r="C415" t="s">
        <v>126</v>
      </c>
      <c r="D415" t="s">
        <v>162</v>
      </c>
      <c r="E415" t="s">
        <v>204</v>
      </c>
      <c r="F415" t="s">
        <v>97</v>
      </c>
      <c r="G415" t="s">
        <v>86</v>
      </c>
      <c r="H415" t="s">
        <v>129</v>
      </c>
      <c r="I415" t="s">
        <v>358</v>
      </c>
      <c r="J415">
        <v>11</v>
      </c>
      <c r="K415" s="16">
        <v>65780</v>
      </c>
      <c r="L415" s="16">
        <v>46208.31</v>
      </c>
      <c r="M415" s="16">
        <v>19571.689999999999</v>
      </c>
      <c r="N415" t="s">
        <v>131</v>
      </c>
      <c r="O415" t="s">
        <v>119</v>
      </c>
      <c r="P415" t="str">
        <f t="shared" si="6"/>
        <v>Noida|Coffee Maker</v>
      </c>
    </row>
    <row r="416" spans="1:16" x14ac:dyDescent="0.3">
      <c r="A416" s="15">
        <v>46060</v>
      </c>
      <c r="B416" t="s">
        <v>34</v>
      </c>
      <c r="C416" t="s">
        <v>152</v>
      </c>
      <c r="D416" t="s">
        <v>153</v>
      </c>
      <c r="E416" t="s">
        <v>154</v>
      </c>
      <c r="F416" t="s">
        <v>94</v>
      </c>
      <c r="G416" t="s">
        <v>70</v>
      </c>
      <c r="H416" t="s">
        <v>184</v>
      </c>
      <c r="I416" t="s">
        <v>359</v>
      </c>
      <c r="J416">
        <v>17</v>
      </c>
      <c r="K416" s="16">
        <v>255595</v>
      </c>
      <c r="L416" s="16">
        <v>198183.76</v>
      </c>
      <c r="M416" s="16">
        <v>57411.24</v>
      </c>
      <c r="N416" t="s">
        <v>125</v>
      </c>
      <c r="O416" t="s">
        <v>142</v>
      </c>
      <c r="P416" t="str">
        <f t="shared" si="6"/>
        <v>Coimbatore|Printer Pro</v>
      </c>
    </row>
    <row r="417" spans="1:16" x14ac:dyDescent="0.3">
      <c r="A417" s="15">
        <v>46138</v>
      </c>
      <c r="B417" t="s">
        <v>34</v>
      </c>
      <c r="C417" t="s">
        <v>121</v>
      </c>
      <c r="D417" t="s">
        <v>122</v>
      </c>
      <c r="E417" t="s">
        <v>123</v>
      </c>
      <c r="F417" t="s">
        <v>97</v>
      </c>
      <c r="G417" t="s">
        <v>88</v>
      </c>
      <c r="H417" t="s">
        <v>184</v>
      </c>
      <c r="I417" t="s">
        <v>209</v>
      </c>
      <c r="J417">
        <v>10</v>
      </c>
      <c r="K417" s="16">
        <v>133400</v>
      </c>
      <c r="L417" s="16">
        <v>107131.21</v>
      </c>
      <c r="M417" s="16">
        <v>26268.79</v>
      </c>
      <c r="N417" t="s">
        <v>125</v>
      </c>
      <c r="O417" t="s">
        <v>113</v>
      </c>
      <c r="P417" t="str">
        <f t="shared" si="6"/>
        <v>Durgapur|Vacuum Cleaner</v>
      </c>
    </row>
    <row r="418" spans="1:16" x14ac:dyDescent="0.3">
      <c r="A418" s="15">
        <v>46260</v>
      </c>
      <c r="B418" t="s">
        <v>34</v>
      </c>
      <c r="C418" t="s">
        <v>152</v>
      </c>
      <c r="D418" t="s">
        <v>187</v>
      </c>
      <c r="E418" t="s">
        <v>188</v>
      </c>
      <c r="F418" t="s">
        <v>96</v>
      </c>
      <c r="G418" t="s">
        <v>83</v>
      </c>
      <c r="H418" t="s">
        <v>129</v>
      </c>
      <c r="I418" t="s">
        <v>271</v>
      </c>
      <c r="J418">
        <v>13</v>
      </c>
      <c r="K418" s="16">
        <v>444600</v>
      </c>
      <c r="L418" s="16">
        <v>332269.2</v>
      </c>
      <c r="M418" s="16">
        <v>112330.8</v>
      </c>
      <c r="N418" t="s">
        <v>141</v>
      </c>
      <c r="O418" t="s">
        <v>113</v>
      </c>
      <c r="P418" t="str">
        <f t="shared" si="6"/>
        <v>Warangal|Meeting Table</v>
      </c>
    </row>
    <row r="419" spans="1:16" x14ac:dyDescent="0.3">
      <c r="A419" s="15">
        <v>46195</v>
      </c>
      <c r="B419" t="s">
        <v>114</v>
      </c>
      <c r="C419" t="s">
        <v>126</v>
      </c>
      <c r="D419" t="s">
        <v>162</v>
      </c>
      <c r="E419" t="s">
        <v>163</v>
      </c>
      <c r="F419" t="s">
        <v>96</v>
      </c>
      <c r="G419" t="s">
        <v>82</v>
      </c>
      <c r="H419" t="s">
        <v>139</v>
      </c>
      <c r="I419" t="s">
        <v>276</v>
      </c>
      <c r="J419">
        <v>4</v>
      </c>
      <c r="K419" s="16">
        <v>100320</v>
      </c>
      <c r="L419" s="16">
        <v>73023.81</v>
      </c>
      <c r="M419" s="16">
        <v>27296.19</v>
      </c>
      <c r="N419" t="s">
        <v>131</v>
      </c>
      <c r="O419" t="s">
        <v>113</v>
      </c>
      <c r="P419" t="str">
        <f t="shared" si="6"/>
        <v>Lucknow|Standing Desk</v>
      </c>
    </row>
    <row r="420" spans="1:16" x14ac:dyDescent="0.3">
      <c r="A420" s="15">
        <v>46206</v>
      </c>
      <c r="B420" t="s">
        <v>34</v>
      </c>
      <c r="C420" t="s">
        <v>152</v>
      </c>
      <c r="D420" t="s">
        <v>156</v>
      </c>
      <c r="E420" t="s">
        <v>238</v>
      </c>
      <c r="F420" t="s">
        <v>95</v>
      </c>
      <c r="G420" t="s">
        <v>76</v>
      </c>
      <c r="H420" t="s">
        <v>184</v>
      </c>
      <c r="I420" t="s">
        <v>355</v>
      </c>
      <c r="J420">
        <v>3</v>
      </c>
      <c r="K420" s="16">
        <v>5238</v>
      </c>
      <c r="L420" s="16">
        <v>3598.42</v>
      </c>
      <c r="M420" s="16">
        <v>1639.58</v>
      </c>
      <c r="N420" t="s">
        <v>125</v>
      </c>
      <c r="O420" t="s">
        <v>119</v>
      </c>
      <c r="P420" t="str">
        <f t="shared" si="6"/>
        <v>Bengaluru|Mouse</v>
      </c>
    </row>
    <row r="421" spans="1:16" x14ac:dyDescent="0.3">
      <c r="A421" s="15">
        <v>46226</v>
      </c>
      <c r="B421" t="s">
        <v>34</v>
      </c>
      <c r="C421" t="s">
        <v>107</v>
      </c>
      <c r="D421" t="s">
        <v>115</v>
      </c>
      <c r="E421" t="s">
        <v>191</v>
      </c>
      <c r="F421" t="s">
        <v>95</v>
      </c>
      <c r="G421" t="s">
        <v>72</v>
      </c>
      <c r="H421" t="s">
        <v>184</v>
      </c>
      <c r="I421" t="s">
        <v>289</v>
      </c>
      <c r="J421">
        <v>3</v>
      </c>
      <c r="K421" s="16">
        <v>9312</v>
      </c>
      <c r="L421" s="16">
        <v>5775.08</v>
      </c>
      <c r="M421" s="16">
        <v>3536.92</v>
      </c>
      <c r="N421" t="s">
        <v>141</v>
      </c>
      <c r="O421" t="s">
        <v>119</v>
      </c>
      <c r="P421" t="str">
        <f t="shared" si="6"/>
        <v>Surat|Keyboard</v>
      </c>
    </row>
    <row r="422" spans="1:16" x14ac:dyDescent="0.3">
      <c r="A422" s="15">
        <v>46144</v>
      </c>
      <c r="B422" t="s">
        <v>120</v>
      </c>
      <c r="C422" t="s">
        <v>121</v>
      </c>
      <c r="D422" t="s">
        <v>146</v>
      </c>
      <c r="E422" t="s">
        <v>147</v>
      </c>
      <c r="F422" t="s">
        <v>96</v>
      </c>
      <c r="G422" t="s">
        <v>84</v>
      </c>
      <c r="H422" t="s">
        <v>135</v>
      </c>
      <c r="I422" t="s">
        <v>212</v>
      </c>
      <c r="J422">
        <v>20</v>
      </c>
      <c r="K422" s="16">
        <v>290000</v>
      </c>
      <c r="L422" s="16">
        <v>200783.56</v>
      </c>
      <c r="M422" s="16">
        <v>89216.44</v>
      </c>
      <c r="N422" t="s">
        <v>131</v>
      </c>
      <c r="O422" t="s">
        <v>142</v>
      </c>
      <c r="P422" t="str">
        <f t="shared" si="6"/>
        <v>Guwahati|Filing Cabinet</v>
      </c>
    </row>
    <row r="423" spans="1:16" x14ac:dyDescent="0.3">
      <c r="A423" s="15">
        <v>46059</v>
      </c>
      <c r="B423" t="s">
        <v>120</v>
      </c>
      <c r="C423" t="s">
        <v>121</v>
      </c>
      <c r="D423" t="s">
        <v>146</v>
      </c>
      <c r="E423" t="s">
        <v>175</v>
      </c>
      <c r="F423" t="s">
        <v>95</v>
      </c>
      <c r="G423" t="s">
        <v>76</v>
      </c>
      <c r="H423" t="s">
        <v>135</v>
      </c>
      <c r="I423" t="s">
        <v>167</v>
      </c>
      <c r="J423">
        <v>9</v>
      </c>
      <c r="K423" s="16">
        <v>14256</v>
      </c>
      <c r="L423" s="16">
        <v>11408.78</v>
      </c>
      <c r="M423" s="16">
        <v>2847.22</v>
      </c>
      <c r="N423" t="s">
        <v>131</v>
      </c>
      <c r="O423" t="s">
        <v>119</v>
      </c>
      <c r="P423" t="str">
        <f t="shared" si="6"/>
        <v>Dibrugarh|Mouse</v>
      </c>
    </row>
    <row r="424" spans="1:16" x14ac:dyDescent="0.3">
      <c r="A424" s="15">
        <v>46158</v>
      </c>
      <c r="B424" t="s">
        <v>34</v>
      </c>
      <c r="C424" t="s">
        <v>126</v>
      </c>
      <c r="D424" t="s">
        <v>127</v>
      </c>
      <c r="E424" t="s">
        <v>143</v>
      </c>
      <c r="F424" t="s">
        <v>94</v>
      </c>
      <c r="G424" t="s">
        <v>67</v>
      </c>
      <c r="H424" t="s">
        <v>135</v>
      </c>
      <c r="I424" t="s">
        <v>214</v>
      </c>
      <c r="J424">
        <v>15</v>
      </c>
      <c r="K424" s="16">
        <v>470250</v>
      </c>
      <c r="L424" s="16">
        <v>338460.36</v>
      </c>
      <c r="M424" s="16">
        <v>131789.64000000001</v>
      </c>
      <c r="N424" t="s">
        <v>141</v>
      </c>
      <c r="O424" t="s">
        <v>113</v>
      </c>
      <c r="P424" t="str">
        <f t="shared" si="6"/>
        <v>Faridabad|Tablet X</v>
      </c>
    </row>
    <row r="425" spans="1:16" x14ac:dyDescent="0.3">
      <c r="A425" s="15">
        <v>46244</v>
      </c>
      <c r="B425" t="s">
        <v>114</v>
      </c>
      <c r="C425" t="s">
        <v>121</v>
      </c>
      <c r="D425" t="s">
        <v>122</v>
      </c>
      <c r="E425" t="s">
        <v>123</v>
      </c>
      <c r="F425" t="s">
        <v>94</v>
      </c>
      <c r="G425" t="s">
        <v>64</v>
      </c>
      <c r="H425" t="s">
        <v>110</v>
      </c>
      <c r="I425" t="s">
        <v>360</v>
      </c>
      <c r="J425">
        <v>9</v>
      </c>
      <c r="K425" s="16">
        <v>166320</v>
      </c>
      <c r="L425" s="16">
        <v>113774.09</v>
      </c>
      <c r="M425" s="16">
        <v>52545.91</v>
      </c>
      <c r="N425" t="s">
        <v>141</v>
      </c>
      <c r="O425" t="s">
        <v>113</v>
      </c>
      <c r="P425" t="str">
        <f t="shared" si="6"/>
        <v>Durgapur|Monitor 27</v>
      </c>
    </row>
    <row r="426" spans="1:16" x14ac:dyDescent="0.3">
      <c r="A426" s="15">
        <v>46126</v>
      </c>
      <c r="B426" t="s">
        <v>34</v>
      </c>
      <c r="C426" t="s">
        <v>121</v>
      </c>
      <c r="D426" t="s">
        <v>137</v>
      </c>
      <c r="E426" t="s">
        <v>138</v>
      </c>
      <c r="F426" t="s">
        <v>96</v>
      </c>
      <c r="G426" t="s">
        <v>83</v>
      </c>
      <c r="H426" t="s">
        <v>117</v>
      </c>
      <c r="I426" t="s">
        <v>337</v>
      </c>
      <c r="J426">
        <v>15</v>
      </c>
      <c r="K426" s="16">
        <v>475200</v>
      </c>
      <c r="L426" s="16">
        <v>323474.77</v>
      </c>
      <c r="M426" s="16">
        <v>151725.23000000001</v>
      </c>
      <c r="N426" t="s">
        <v>112</v>
      </c>
      <c r="O426" t="s">
        <v>113</v>
      </c>
      <c r="P426" t="str">
        <f t="shared" si="6"/>
        <v>Cuttack|Meeting Table</v>
      </c>
    </row>
    <row r="427" spans="1:16" x14ac:dyDescent="0.3">
      <c r="A427" s="15">
        <v>46112</v>
      </c>
      <c r="B427" t="s">
        <v>114</v>
      </c>
      <c r="C427" t="s">
        <v>121</v>
      </c>
      <c r="D427" t="s">
        <v>122</v>
      </c>
      <c r="E427" t="s">
        <v>166</v>
      </c>
      <c r="F427" t="s">
        <v>94</v>
      </c>
      <c r="G427" t="s">
        <v>61</v>
      </c>
      <c r="H427" t="s">
        <v>184</v>
      </c>
      <c r="I427" t="s">
        <v>230</v>
      </c>
      <c r="J427">
        <v>17</v>
      </c>
      <c r="K427" s="16">
        <v>1219920</v>
      </c>
      <c r="L427" s="16">
        <v>870246.47</v>
      </c>
      <c r="M427" s="16">
        <v>349673.53</v>
      </c>
      <c r="N427" t="s">
        <v>131</v>
      </c>
      <c r="O427" t="s">
        <v>119</v>
      </c>
      <c r="P427" t="str">
        <f t="shared" si="6"/>
        <v>Kolkata|Laptop Pro</v>
      </c>
    </row>
    <row r="428" spans="1:16" x14ac:dyDescent="0.3">
      <c r="A428" s="15">
        <v>46177</v>
      </c>
      <c r="B428" t="s">
        <v>114</v>
      </c>
      <c r="C428" t="s">
        <v>152</v>
      </c>
      <c r="D428" t="s">
        <v>187</v>
      </c>
      <c r="E428" t="s">
        <v>188</v>
      </c>
      <c r="F428" t="s">
        <v>96</v>
      </c>
      <c r="G428" t="s">
        <v>82</v>
      </c>
      <c r="H428" t="s">
        <v>117</v>
      </c>
      <c r="I428" t="s">
        <v>223</v>
      </c>
      <c r="J428">
        <v>9</v>
      </c>
      <c r="K428" s="16">
        <v>248805</v>
      </c>
      <c r="L428" s="16">
        <v>199995.79</v>
      </c>
      <c r="M428" s="16">
        <v>48809.21</v>
      </c>
      <c r="N428" t="s">
        <v>125</v>
      </c>
      <c r="O428" t="s">
        <v>113</v>
      </c>
      <c r="P428" t="str">
        <f t="shared" si="6"/>
        <v>Warangal|Standing Desk</v>
      </c>
    </row>
    <row r="429" spans="1:16" x14ac:dyDescent="0.3">
      <c r="A429" s="15">
        <v>46034</v>
      </c>
      <c r="B429" t="s">
        <v>120</v>
      </c>
      <c r="C429" t="s">
        <v>107</v>
      </c>
      <c r="D429" t="s">
        <v>149</v>
      </c>
      <c r="E429" t="s">
        <v>159</v>
      </c>
      <c r="F429" t="s">
        <v>95</v>
      </c>
      <c r="G429" t="s">
        <v>76</v>
      </c>
      <c r="H429" t="s">
        <v>139</v>
      </c>
      <c r="I429" t="s">
        <v>361</v>
      </c>
      <c r="J429">
        <v>5</v>
      </c>
      <c r="K429" s="16">
        <v>9000</v>
      </c>
      <c r="L429" s="16">
        <v>6561.16</v>
      </c>
      <c r="M429" s="16">
        <v>2438.84</v>
      </c>
      <c r="N429" t="s">
        <v>125</v>
      </c>
      <c r="O429" t="s">
        <v>142</v>
      </c>
      <c r="P429" t="str">
        <f t="shared" si="6"/>
        <v>Pune|Mouse</v>
      </c>
    </row>
    <row r="430" spans="1:16" x14ac:dyDescent="0.3">
      <c r="A430" s="15">
        <v>46158</v>
      </c>
      <c r="B430" t="s">
        <v>34</v>
      </c>
      <c r="C430" t="s">
        <v>152</v>
      </c>
      <c r="D430" t="s">
        <v>187</v>
      </c>
      <c r="E430" t="s">
        <v>188</v>
      </c>
      <c r="F430" t="s">
        <v>97</v>
      </c>
      <c r="G430" t="s">
        <v>85</v>
      </c>
      <c r="H430" t="s">
        <v>173</v>
      </c>
      <c r="I430" t="s">
        <v>267</v>
      </c>
      <c r="J430">
        <v>5</v>
      </c>
      <c r="K430" s="16">
        <v>90000</v>
      </c>
      <c r="L430" s="16">
        <v>73586.86</v>
      </c>
      <c r="M430" s="16">
        <v>16413.14</v>
      </c>
      <c r="N430" t="s">
        <v>141</v>
      </c>
      <c r="O430" t="s">
        <v>119</v>
      </c>
      <c r="P430" t="str">
        <f t="shared" si="6"/>
        <v>Warangal|Air Purifier</v>
      </c>
    </row>
    <row r="431" spans="1:16" x14ac:dyDescent="0.3">
      <c r="A431" s="15">
        <v>46034</v>
      </c>
      <c r="B431" t="s">
        <v>34</v>
      </c>
      <c r="C431" t="s">
        <v>152</v>
      </c>
      <c r="D431" t="s">
        <v>156</v>
      </c>
      <c r="E431" t="s">
        <v>238</v>
      </c>
      <c r="F431" t="s">
        <v>95</v>
      </c>
      <c r="G431" t="s">
        <v>76</v>
      </c>
      <c r="H431" t="s">
        <v>133</v>
      </c>
      <c r="I431" t="s">
        <v>362</v>
      </c>
      <c r="J431">
        <v>3</v>
      </c>
      <c r="K431" s="16">
        <v>5130</v>
      </c>
      <c r="L431" s="16">
        <v>3636.32</v>
      </c>
      <c r="M431" s="16">
        <v>1493.68</v>
      </c>
      <c r="N431" t="s">
        <v>141</v>
      </c>
      <c r="O431" t="s">
        <v>113</v>
      </c>
      <c r="P431" t="str">
        <f t="shared" si="6"/>
        <v>Bengaluru|Mouse</v>
      </c>
    </row>
    <row r="432" spans="1:16" x14ac:dyDescent="0.3">
      <c r="A432" s="15">
        <v>46243</v>
      </c>
      <c r="B432" t="s">
        <v>34</v>
      </c>
      <c r="C432" t="s">
        <v>121</v>
      </c>
      <c r="D432" t="s">
        <v>137</v>
      </c>
      <c r="E432" t="s">
        <v>171</v>
      </c>
      <c r="F432" t="s">
        <v>96</v>
      </c>
      <c r="G432" t="s">
        <v>80</v>
      </c>
      <c r="H432" t="s">
        <v>173</v>
      </c>
      <c r="I432" t="s">
        <v>363</v>
      </c>
      <c r="J432">
        <v>12</v>
      </c>
      <c r="K432" s="16">
        <v>138000</v>
      </c>
      <c r="L432" s="16">
        <v>94030.19</v>
      </c>
      <c r="M432" s="16">
        <v>43969.81</v>
      </c>
      <c r="N432" t="s">
        <v>141</v>
      </c>
      <c r="O432" t="s">
        <v>119</v>
      </c>
      <c r="P432" t="str">
        <f t="shared" si="6"/>
        <v>Bhubaneswar|Office Chair</v>
      </c>
    </row>
    <row r="433" spans="1:16" x14ac:dyDescent="0.3">
      <c r="A433" s="15">
        <v>46169</v>
      </c>
      <c r="B433" t="s">
        <v>34</v>
      </c>
      <c r="C433" t="s">
        <v>126</v>
      </c>
      <c r="D433" t="s">
        <v>127</v>
      </c>
      <c r="E433" t="s">
        <v>143</v>
      </c>
      <c r="F433" t="s">
        <v>94</v>
      </c>
      <c r="G433" t="s">
        <v>67</v>
      </c>
      <c r="H433" t="s">
        <v>139</v>
      </c>
      <c r="I433" t="s">
        <v>307</v>
      </c>
      <c r="J433">
        <v>16</v>
      </c>
      <c r="K433" s="16">
        <v>528000</v>
      </c>
      <c r="L433" s="16">
        <v>327856.98</v>
      </c>
      <c r="M433" s="16">
        <v>200143.02</v>
      </c>
      <c r="N433" t="s">
        <v>125</v>
      </c>
      <c r="O433" t="s">
        <v>142</v>
      </c>
      <c r="P433" t="str">
        <f t="shared" si="6"/>
        <v>Faridabad|Tablet X</v>
      </c>
    </row>
    <row r="434" spans="1:16" x14ac:dyDescent="0.3">
      <c r="A434" s="15">
        <v>46061</v>
      </c>
      <c r="B434" t="s">
        <v>114</v>
      </c>
      <c r="C434" t="s">
        <v>152</v>
      </c>
      <c r="D434" t="s">
        <v>187</v>
      </c>
      <c r="E434" t="s">
        <v>188</v>
      </c>
      <c r="F434" t="s">
        <v>97</v>
      </c>
      <c r="G434" t="s">
        <v>85</v>
      </c>
      <c r="H434" t="s">
        <v>117</v>
      </c>
      <c r="I434" t="s">
        <v>257</v>
      </c>
      <c r="J434">
        <v>6</v>
      </c>
      <c r="K434" s="16">
        <v>95040</v>
      </c>
      <c r="L434" s="16">
        <v>70658.649999999994</v>
      </c>
      <c r="M434" s="16">
        <v>24381.35</v>
      </c>
      <c r="N434" t="s">
        <v>131</v>
      </c>
      <c r="O434" t="s">
        <v>119</v>
      </c>
      <c r="P434" t="str">
        <f t="shared" si="6"/>
        <v>Warangal|Air Purifier</v>
      </c>
    </row>
    <row r="435" spans="1:16" x14ac:dyDescent="0.3">
      <c r="A435" s="15">
        <v>46121</v>
      </c>
      <c r="B435" t="s">
        <v>34</v>
      </c>
      <c r="C435" t="s">
        <v>152</v>
      </c>
      <c r="D435" t="s">
        <v>156</v>
      </c>
      <c r="E435" t="s">
        <v>157</v>
      </c>
      <c r="F435" t="s">
        <v>95</v>
      </c>
      <c r="G435" t="s">
        <v>74</v>
      </c>
      <c r="H435" t="s">
        <v>133</v>
      </c>
      <c r="I435" t="s">
        <v>364</v>
      </c>
      <c r="J435">
        <v>17</v>
      </c>
      <c r="K435" s="16">
        <v>81600</v>
      </c>
      <c r="L435" s="16">
        <v>55112.06</v>
      </c>
      <c r="M435" s="16">
        <v>26487.94</v>
      </c>
      <c r="N435" t="s">
        <v>131</v>
      </c>
      <c r="O435" t="s">
        <v>113</v>
      </c>
      <c r="P435" t="str">
        <f t="shared" si="6"/>
        <v>Mysuru|Headset</v>
      </c>
    </row>
    <row r="436" spans="1:16" x14ac:dyDescent="0.3">
      <c r="A436" s="15">
        <v>46256</v>
      </c>
      <c r="B436" t="s">
        <v>34</v>
      </c>
      <c r="C436" t="s">
        <v>126</v>
      </c>
      <c r="D436" t="s">
        <v>162</v>
      </c>
      <c r="E436" t="s">
        <v>204</v>
      </c>
      <c r="F436" t="s">
        <v>96</v>
      </c>
      <c r="G436" t="s">
        <v>80</v>
      </c>
      <c r="H436" t="s">
        <v>173</v>
      </c>
      <c r="I436" t="s">
        <v>183</v>
      </c>
      <c r="J436">
        <v>12</v>
      </c>
      <c r="K436" s="16">
        <v>150000</v>
      </c>
      <c r="L436" s="16">
        <v>117010.11</v>
      </c>
      <c r="M436" s="16">
        <v>32989.89</v>
      </c>
      <c r="N436" t="s">
        <v>141</v>
      </c>
      <c r="O436" t="s">
        <v>119</v>
      </c>
      <c r="P436" t="str">
        <f t="shared" si="6"/>
        <v>Noida|Office Chair</v>
      </c>
    </row>
    <row r="437" spans="1:16" x14ac:dyDescent="0.3">
      <c r="A437" s="15">
        <v>46185</v>
      </c>
      <c r="B437" t="s">
        <v>114</v>
      </c>
      <c r="C437" t="s">
        <v>107</v>
      </c>
      <c r="D437" t="s">
        <v>115</v>
      </c>
      <c r="E437" t="s">
        <v>116</v>
      </c>
      <c r="F437" t="s">
        <v>96</v>
      </c>
      <c r="G437" t="s">
        <v>84</v>
      </c>
      <c r="H437" t="s">
        <v>139</v>
      </c>
      <c r="I437" t="s">
        <v>254</v>
      </c>
      <c r="J437">
        <v>8</v>
      </c>
      <c r="K437" s="16">
        <v>116000</v>
      </c>
      <c r="L437" s="16">
        <v>84603.45</v>
      </c>
      <c r="M437" s="16">
        <v>31396.55</v>
      </c>
      <c r="N437" t="s">
        <v>131</v>
      </c>
      <c r="O437" t="s">
        <v>113</v>
      </c>
      <c r="P437" t="str">
        <f t="shared" si="6"/>
        <v>Ahmedabad|Filing Cabinet</v>
      </c>
    </row>
    <row r="438" spans="1:16" x14ac:dyDescent="0.3">
      <c r="A438" s="15">
        <v>46193</v>
      </c>
      <c r="B438" t="s">
        <v>34</v>
      </c>
      <c r="C438" t="s">
        <v>121</v>
      </c>
      <c r="D438" t="s">
        <v>122</v>
      </c>
      <c r="E438" t="s">
        <v>123</v>
      </c>
      <c r="F438" t="s">
        <v>96</v>
      </c>
      <c r="G438" t="s">
        <v>80</v>
      </c>
      <c r="H438" t="s">
        <v>133</v>
      </c>
      <c r="I438" t="s">
        <v>193</v>
      </c>
      <c r="J438">
        <v>20</v>
      </c>
      <c r="K438" s="16">
        <v>242500</v>
      </c>
      <c r="L438" s="16">
        <v>180332.43</v>
      </c>
      <c r="M438" s="16">
        <v>62167.57</v>
      </c>
      <c r="N438" t="s">
        <v>112</v>
      </c>
      <c r="O438" t="s">
        <v>119</v>
      </c>
      <c r="P438" t="str">
        <f t="shared" si="6"/>
        <v>Durgapur|Office Chair</v>
      </c>
    </row>
    <row r="439" spans="1:16" x14ac:dyDescent="0.3">
      <c r="A439" s="15">
        <v>46047</v>
      </c>
      <c r="B439" t="s">
        <v>120</v>
      </c>
      <c r="C439" t="s">
        <v>121</v>
      </c>
      <c r="D439" t="s">
        <v>146</v>
      </c>
      <c r="E439" t="s">
        <v>147</v>
      </c>
      <c r="F439" t="s">
        <v>96</v>
      </c>
      <c r="G439" t="s">
        <v>82</v>
      </c>
      <c r="H439" t="s">
        <v>139</v>
      </c>
      <c r="I439" t="s">
        <v>219</v>
      </c>
      <c r="J439">
        <v>8</v>
      </c>
      <c r="K439" s="16">
        <v>216600</v>
      </c>
      <c r="L439" s="16">
        <v>151285.57999999999</v>
      </c>
      <c r="M439" s="16">
        <v>65314.42</v>
      </c>
      <c r="N439" t="s">
        <v>131</v>
      </c>
      <c r="O439" t="s">
        <v>142</v>
      </c>
      <c r="P439" t="str">
        <f t="shared" si="6"/>
        <v>Guwahati|Standing Desk</v>
      </c>
    </row>
    <row r="440" spans="1:16" x14ac:dyDescent="0.3">
      <c r="A440" s="15">
        <v>46110</v>
      </c>
      <c r="B440" t="s">
        <v>34</v>
      </c>
      <c r="C440" t="s">
        <v>121</v>
      </c>
      <c r="D440" t="s">
        <v>137</v>
      </c>
      <c r="E440" t="s">
        <v>171</v>
      </c>
      <c r="F440" t="s">
        <v>97</v>
      </c>
      <c r="G440" t="s">
        <v>85</v>
      </c>
      <c r="H440" t="s">
        <v>173</v>
      </c>
      <c r="I440" t="s">
        <v>254</v>
      </c>
      <c r="J440">
        <v>20</v>
      </c>
      <c r="K440" s="16">
        <v>349200</v>
      </c>
      <c r="L440" s="16">
        <v>226222.38</v>
      </c>
      <c r="M440" s="16">
        <v>122977.62</v>
      </c>
      <c r="N440" t="s">
        <v>131</v>
      </c>
      <c r="O440" t="s">
        <v>113</v>
      </c>
      <c r="P440" t="str">
        <f t="shared" si="6"/>
        <v>Bhubaneswar|Air Purifier</v>
      </c>
    </row>
    <row r="441" spans="1:16" x14ac:dyDescent="0.3">
      <c r="A441" s="15">
        <v>46231</v>
      </c>
      <c r="B441" t="s">
        <v>34</v>
      </c>
      <c r="C441" t="s">
        <v>126</v>
      </c>
      <c r="D441" t="s">
        <v>127</v>
      </c>
      <c r="E441" t="s">
        <v>143</v>
      </c>
      <c r="F441" t="s">
        <v>97</v>
      </c>
      <c r="G441" t="s">
        <v>88</v>
      </c>
      <c r="H441" t="s">
        <v>133</v>
      </c>
      <c r="I441" t="s">
        <v>145</v>
      </c>
      <c r="J441">
        <v>14</v>
      </c>
      <c r="K441" s="16">
        <v>203000</v>
      </c>
      <c r="L441" s="16">
        <v>152039.48000000001</v>
      </c>
      <c r="M441" s="16">
        <v>50960.52</v>
      </c>
      <c r="N441" t="s">
        <v>125</v>
      </c>
      <c r="O441" t="s">
        <v>142</v>
      </c>
      <c r="P441" t="str">
        <f t="shared" si="6"/>
        <v>Faridabad|Vacuum Cleaner</v>
      </c>
    </row>
    <row r="442" spans="1:16" x14ac:dyDescent="0.3">
      <c r="A442" s="15">
        <v>46060</v>
      </c>
      <c r="B442" t="s">
        <v>120</v>
      </c>
      <c r="C442" t="s">
        <v>126</v>
      </c>
      <c r="D442" t="s">
        <v>196</v>
      </c>
      <c r="E442" t="s">
        <v>208</v>
      </c>
      <c r="F442" t="s">
        <v>94</v>
      </c>
      <c r="G442" t="s">
        <v>67</v>
      </c>
      <c r="H442" t="s">
        <v>110</v>
      </c>
      <c r="I442" t="s">
        <v>313</v>
      </c>
      <c r="J442">
        <v>20</v>
      </c>
      <c r="K442" s="16">
        <v>607200</v>
      </c>
      <c r="L442" s="16">
        <v>408444</v>
      </c>
      <c r="M442" s="16">
        <v>198756</v>
      </c>
      <c r="N442" t="s">
        <v>112</v>
      </c>
      <c r="O442" t="s">
        <v>113</v>
      </c>
      <c r="P442" t="str">
        <f t="shared" si="6"/>
        <v>New Delhi|Tablet X</v>
      </c>
    </row>
    <row r="443" spans="1:16" x14ac:dyDescent="0.3">
      <c r="A443" s="15">
        <v>46225</v>
      </c>
      <c r="B443" t="s">
        <v>34</v>
      </c>
      <c r="C443" t="s">
        <v>121</v>
      </c>
      <c r="D443" t="s">
        <v>137</v>
      </c>
      <c r="E443" t="s">
        <v>138</v>
      </c>
      <c r="F443" t="s">
        <v>95</v>
      </c>
      <c r="G443" t="s">
        <v>76</v>
      </c>
      <c r="H443" t="s">
        <v>129</v>
      </c>
      <c r="I443" t="s">
        <v>183</v>
      </c>
      <c r="J443">
        <v>15</v>
      </c>
      <c r="K443" s="16">
        <v>27000</v>
      </c>
      <c r="L443" s="16">
        <v>20617.28</v>
      </c>
      <c r="M443" s="16">
        <v>6382.72</v>
      </c>
      <c r="N443" t="s">
        <v>141</v>
      </c>
      <c r="O443" t="s">
        <v>113</v>
      </c>
      <c r="P443" t="str">
        <f t="shared" si="6"/>
        <v>Cuttack|Mouse</v>
      </c>
    </row>
    <row r="444" spans="1:16" x14ac:dyDescent="0.3">
      <c r="A444" s="15">
        <v>46158</v>
      </c>
      <c r="B444" t="s">
        <v>34</v>
      </c>
      <c r="C444" t="s">
        <v>107</v>
      </c>
      <c r="D444" t="s">
        <v>108</v>
      </c>
      <c r="E444" t="s">
        <v>132</v>
      </c>
      <c r="F444" t="s">
        <v>97</v>
      </c>
      <c r="G444" t="s">
        <v>88</v>
      </c>
      <c r="H444" t="s">
        <v>173</v>
      </c>
      <c r="I444" t="s">
        <v>341</v>
      </c>
      <c r="J444">
        <v>18</v>
      </c>
      <c r="K444" s="16">
        <v>261000</v>
      </c>
      <c r="L444" s="16">
        <v>169577.71</v>
      </c>
      <c r="M444" s="16">
        <v>91422.29</v>
      </c>
      <c r="N444" t="s">
        <v>125</v>
      </c>
      <c r="O444" t="s">
        <v>119</v>
      </c>
      <c r="P444" t="str">
        <f t="shared" si="6"/>
        <v>Jaipur|Vacuum Cleaner</v>
      </c>
    </row>
    <row r="445" spans="1:16" x14ac:dyDescent="0.3">
      <c r="A445" s="15">
        <v>46252</v>
      </c>
      <c r="B445" t="s">
        <v>34</v>
      </c>
      <c r="C445" t="s">
        <v>107</v>
      </c>
      <c r="D445" t="s">
        <v>108</v>
      </c>
      <c r="E445" t="s">
        <v>109</v>
      </c>
      <c r="F445" t="s">
        <v>94</v>
      </c>
      <c r="G445" t="s">
        <v>61</v>
      </c>
      <c r="H445" t="s">
        <v>133</v>
      </c>
      <c r="I445" t="s">
        <v>268</v>
      </c>
      <c r="J445">
        <v>11</v>
      </c>
      <c r="K445" s="16">
        <v>755040</v>
      </c>
      <c r="L445" s="16">
        <v>575597.97</v>
      </c>
      <c r="M445" s="16">
        <v>179442.03</v>
      </c>
      <c r="N445" t="s">
        <v>131</v>
      </c>
      <c r="O445" t="s">
        <v>113</v>
      </c>
      <c r="P445" t="str">
        <f t="shared" si="6"/>
        <v>Udaipur|Laptop Pro</v>
      </c>
    </row>
    <row r="446" spans="1:16" x14ac:dyDescent="0.3">
      <c r="A446" s="15">
        <v>46099</v>
      </c>
      <c r="B446" t="s">
        <v>114</v>
      </c>
      <c r="C446" t="s">
        <v>126</v>
      </c>
      <c r="D446" t="s">
        <v>196</v>
      </c>
      <c r="E446" t="s">
        <v>197</v>
      </c>
      <c r="F446" t="s">
        <v>97</v>
      </c>
      <c r="G446" t="s">
        <v>88</v>
      </c>
      <c r="H446" t="s">
        <v>117</v>
      </c>
      <c r="I446" t="s">
        <v>289</v>
      </c>
      <c r="J446">
        <v>18</v>
      </c>
      <c r="K446" s="16">
        <v>247950</v>
      </c>
      <c r="L446" s="16">
        <v>200544.79</v>
      </c>
      <c r="M446" s="16">
        <v>47405.21</v>
      </c>
      <c r="N446" t="s">
        <v>125</v>
      </c>
      <c r="O446" t="s">
        <v>113</v>
      </c>
      <c r="P446" t="str">
        <f t="shared" si="6"/>
        <v>Dwarka|Vacuum Cleaner</v>
      </c>
    </row>
    <row r="447" spans="1:16" x14ac:dyDescent="0.3">
      <c r="A447" s="15">
        <v>46194</v>
      </c>
      <c r="B447" t="s">
        <v>120</v>
      </c>
      <c r="C447" t="s">
        <v>152</v>
      </c>
      <c r="D447" t="s">
        <v>153</v>
      </c>
      <c r="E447" t="s">
        <v>169</v>
      </c>
      <c r="F447" t="s">
        <v>96</v>
      </c>
      <c r="G447" t="s">
        <v>80</v>
      </c>
      <c r="H447" t="s">
        <v>139</v>
      </c>
      <c r="I447" t="s">
        <v>307</v>
      </c>
      <c r="J447">
        <v>15</v>
      </c>
      <c r="K447" s="16">
        <v>165000</v>
      </c>
      <c r="L447" s="16">
        <v>118343.8</v>
      </c>
      <c r="M447" s="16">
        <v>46656.2</v>
      </c>
      <c r="N447" t="s">
        <v>141</v>
      </c>
      <c r="O447" t="s">
        <v>113</v>
      </c>
      <c r="P447" t="str">
        <f t="shared" si="6"/>
        <v>Chennai|Office Chair</v>
      </c>
    </row>
    <row r="448" spans="1:16" x14ac:dyDescent="0.3">
      <c r="A448" s="15">
        <v>46112</v>
      </c>
      <c r="B448" t="s">
        <v>34</v>
      </c>
      <c r="C448" t="s">
        <v>152</v>
      </c>
      <c r="D448" t="s">
        <v>187</v>
      </c>
      <c r="E448" t="s">
        <v>199</v>
      </c>
      <c r="F448" t="s">
        <v>94</v>
      </c>
      <c r="G448" t="s">
        <v>61</v>
      </c>
      <c r="H448" t="s">
        <v>133</v>
      </c>
      <c r="I448" t="s">
        <v>231</v>
      </c>
      <c r="J448">
        <v>2</v>
      </c>
      <c r="K448" s="16">
        <v>148200</v>
      </c>
      <c r="L448" s="16">
        <v>110628.2</v>
      </c>
      <c r="M448" s="16">
        <v>37571.800000000003</v>
      </c>
      <c r="N448" t="s">
        <v>141</v>
      </c>
      <c r="O448" t="s">
        <v>113</v>
      </c>
      <c r="P448" t="str">
        <f t="shared" si="6"/>
        <v>Hyderabad|Laptop Pro</v>
      </c>
    </row>
    <row r="449" spans="1:16" x14ac:dyDescent="0.3">
      <c r="A449" s="15">
        <v>46050</v>
      </c>
      <c r="B449" t="s">
        <v>34</v>
      </c>
      <c r="C449" t="s">
        <v>121</v>
      </c>
      <c r="D449" t="s">
        <v>137</v>
      </c>
      <c r="E449" t="s">
        <v>171</v>
      </c>
      <c r="F449" t="s">
        <v>96</v>
      </c>
      <c r="G449" t="s">
        <v>84</v>
      </c>
      <c r="H449" t="s">
        <v>133</v>
      </c>
      <c r="I449" t="s">
        <v>344</v>
      </c>
      <c r="J449">
        <v>7</v>
      </c>
      <c r="K449" s="16">
        <v>101500</v>
      </c>
      <c r="L449" s="16">
        <v>79847.31</v>
      </c>
      <c r="M449" s="16">
        <v>21652.69</v>
      </c>
      <c r="N449" t="s">
        <v>112</v>
      </c>
      <c r="O449" t="s">
        <v>113</v>
      </c>
      <c r="P449" t="str">
        <f t="shared" si="6"/>
        <v>Bhubaneswar|Filing Cabinet</v>
      </c>
    </row>
    <row r="450" spans="1:16" x14ac:dyDescent="0.3">
      <c r="A450" s="15">
        <v>46173</v>
      </c>
      <c r="B450" t="s">
        <v>34</v>
      </c>
      <c r="C450" t="s">
        <v>121</v>
      </c>
      <c r="D450" t="s">
        <v>137</v>
      </c>
      <c r="E450" t="s">
        <v>171</v>
      </c>
      <c r="F450" t="s">
        <v>95</v>
      </c>
      <c r="G450" t="s">
        <v>72</v>
      </c>
      <c r="H450" t="s">
        <v>129</v>
      </c>
      <c r="I450" t="s">
        <v>218</v>
      </c>
      <c r="J450">
        <v>20</v>
      </c>
      <c r="K450" s="16">
        <v>60800</v>
      </c>
      <c r="L450" s="16">
        <v>41640.339999999997</v>
      </c>
      <c r="M450" s="16">
        <v>19159.66</v>
      </c>
      <c r="N450" t="s">
        <v>125</v>
      </c>
      <c r="O450" t="s">
        <v>113</v>
      </c>
      <c r="P450" t="str">
        <f t="shared" si="6"/>
        <v>Bhubaneswar|Keyboard</v>
      </c>
    </row>
    <row r="451" spans="1:16" x14ac:dyDescent="0.3">
      <c r="A451" s="15">
        <v>46261</v>
      </c>
      <c r="B451" t="s">
        <v>34</v>
      </c>
      <c r="C451" t="s">
        <v>107</v>
      </c>
      <c r="D451" t="s">
        <v>108</v>
      </c>
      <c r="E451" t="s">
        <v>109</v>
      </c>
      <c r="F451" t="s">
        <v>96</v>
      </c>
      <c r="G451" t="s">
        <v>83</v>
      </c>
      <c r="H451" t="s">
        <v>173</v>
      </c>
      <c r="I451" t="s">
        <v>365</v>
      </c>
      <c r="J451">
        <v>17</v>
      </c>
      <c r="K451" s="16">
        <v>593640</v>
      </c>
      <c r="L451" s="16">
        <v>467687.79</v>
      </c>
      <c r="M451" s="16">
        <v>125952.21</v>
      </c>
      <c r="N451" t="s">
        <v>112</v>
      </c>
      <c r="O451" t="s">
        <v>142</v>
      </c>
      <c r="P451" t="str">
        <f t="shared" si="6"/>
        <v>Udaipur|Meeting Table</v>
      </c>
    </row>
    <row r="452" spans="1:16" x14ac:dyDescent="0.3">
      <c r="A452" s="15">
        <v>46045</v>
      </c>
      <c r="B452" t="s">
        <v>34</v>
      </c>
      <c r="C452" t="s">
        <v>121</v>
      </c>
      <c r="D452" t="s">
        <v>146</v>
      </c>
      <c r="E452" t="s">
        <v>175</v>
      </c>
      <c r="F452" t="s">
        <v>95</v>
      </c>
      <c r="G452" t="s">
        <v>78</v>
      </c>
      <c r="H452" t="s">
        <v>133</v>
      </c>
      <c r="I452" t="s">
        <v>345</v>
      </c>
      <c r="J452">
        <v>18</v>
      </c>
      <c r="K452" s="16">
        <v>73332</v>
      </c>
      <c r="L452" s="16">
        <v>52104.14</v>
      </c>
      <c r="M452" s="16">
        <v>21227.86</v>
      </c>
      <c r="N452" t="s">
        <v>141</v>
      </c>
      <c r="O452" t="s">
        <v>113</v>
      </c>
      <c r="P452" t="str">
        <f t="shared" si="6"/>
        <v>Dibrugarh|Webcam</v>
      </c>
    </row>
    <row r="453" spans="1:16" x14ac:dyDescent="0.3">
      <c r="A453" s="15">
        <v>46247</v>
      </c>
      <c r="B453" t="s">
        <v>34</v>
      </c>
      <c r="C453" t="s">
        <v>107</v>
      </c>
      <c r="D453" t="s">
        <v>115</v>
      </c>
      <c r="E453" t="s">
        <v>191</v>
      </c>
      <c r="F453" t="s">
        <v>95</v>
      </c>
      <c r="G453" t="s">
        <v>74</v>
      </c>
      <c r="H453" t="s">
        <v>135</v>
      </c>
      <c r="I453" t="s">
        <v>307</v>
      </c>
      <c r="J453">
        <v>17</v>
      </c>
      <c r="K453" s="16">
        <v>75072</v>
      </c>
      <c r="L453" s="16">
        <v>56187.6</v>
      </c>
      <c r="M453" s="16">
        <v>18884.400000000001</v>
      </c>
      <c r="N453" t="s">
        <v>131</v>
      </c>
      <c r="O453" t="s">
        <v>113</v>
      </c>
      <c r="P453" t="str">
        <f t="shared" ref="P453:P516" si="7">E453&amp;"|"&amp;G453</f>
        <v>Surat|Headset</v>
      </c>
    </row>
    <row r="454" spans="1:16" x14ac:dyDescent="0.3">
      <c r="A454" s="15">
        <v>46064</v>
      </c>
      <c r="B454" t="s">
        <v>34</v>
      </c>
      <c r="C454" t="s">
        <v>126</v>
      </c>
      <c r="D454" t="s">
        <v>196</v>
      </c>
      <c r="E454" t="s">
        <v>208</v>
      </c>
      <c r="F454" t="s">
        <v>97</v>
      </c>
      <c r="G454" t="s">
        <v>87</v>
      </c>
      <c r="H454" t="s">
        <v>110</v>
      </c>
      <c r="I454" t="s">
        <v>366</v>
      </c>
      <c r="J454">
        <v>18</v>
      </c>
      <c r="K454" s="16">
        <v>198000</v>
      </c>
      <c r="L454" s="16">
        <v>148482.81</v>
      </c>
      <c r="M454" s="16">
        <v>49517.19</v>
      </c>
      <c r="N454" t="s">
        <v>141</v>
      </c>
      <c r="O454" t="s">
        <v>113</v>
      </c>
      <c r="P454" t="str">
        <f t="shared" si="7"/>
        <v>New Delhi|Microwave</v>
      </c>
    </row>
    <row r="455" spans="1:16" x14ac:dyDescent="0.3">
      <c r="A455" s="15">
        <v>46119</v>
      </c>
      <c r="B455" t="s">
        <v>34</v>
      </c>
      <c r="C455" t="s">
        <v>107</v>
      </c>
      <c r="D455" t="s">
        <v>115</v>
      </c>
      <c r="E455" t="s">
        <v>191</v>
      </c>
      <c r="F455" t="s">
        <v>97</v>
      </c>
      <c r="G455" t="s">
        <v>86</v>
      </c>
      <c r="H455" t="s">
        <v>139</v>
      </c>
      <c r="I455" t="s">
        <v>236</v>
      </c>
      <c r="J455">
        <v>12</v>
      </c>
      <c r="K455" s="16">
        <v>71760</v>
      </c>
      <c r="L455" s="16">
        <v>55428.81</v>
      </c>
      <c r="M455" s="16">
        <v>16331.19</v>
      </c>
      <c r="N455" t="s">
        <v>131</v>
      </c>
      <c r="O455" t="s">
        <v>113</v>
      </c>
      <c r="P455" t="str">
        <f t="shared" si="7"/>
        <v>Surat|Coffee Maker</v>
      </c>
    </row>
    <row r="456" spans="1:16" x14ac:dyDescent="0.3">
      <c r="A456" s="15">
        <v>46106</v>
      </c>
      <c r="B456" t="s">
        <v>34</v>
      </c>
      <c r="C456" t="s">
        <v>121</v>
      </c>
      <c r="D456" t="s">
        <v>146</v>
      </c>
      <c r="E456" t="s">
        <v>147</v>
      </c>
      <c r="F456" t="s">
        <v>97</v>
      </c>
      <c r="G456" t="s">
        <v>85</v>
      </c>
      <c r="H456" t="s">
        <v>173</v>
      </c>
      <c r="I456" t="s">
        <v>216</v>
      </c>
      <c r="J456">
        <v>5</v>
      </c>
      <c r="K456" s="16">
        <v>90000</v>
      </c>
      <c r="L456" s="16">
        <v>61798.37</v>
      </c>
      <c r="M456" s="16">
        <v>28201.63</v>
      </c>
      <c r="N456" t="s">
        <v>112</v>
      </c>
      <c r="O456" t="s">
        <v>113</v>
      </c>
      <c r="P456" t="str">
        <f t="shared" si="7"/>
        <v>Guwahati|Air Purifier</v>
      </c>
    </row>
    <row r="457" spans="1:16" x14ac:dyDescent="0.3">
      <c r="A457" s="15">
        <v>46221</v>
      </c>
      <c r="B457" t="s">
        <v>120</v>
      </c>
      <c r="C457" t="s">
        <v>126</v>
      </c>
      <c r="D457" t="s">
        <v>162</v>
      </c>
      <c r="E457" t="s">
        <v>204</v>
      </c>
      <c r="F457" t="s">
        <v>95</v>
      </c>
      <c r="G457" t="s">
        <v>74</v>
      </c>
      <c r="H457" t="s">
        <v>129</v>
      </c>
      <c r="I457" t="s">
        <v>367</v>
      </c>
      <c r="J457">
        <v>16</v>
      </c>
      <c r="K457" s="16">
        <v>76800</v>
      </c>
      <c r="L457" s="16">
        <v>62597.29</v>
      </c>
      <c r="M457" s="16">
        <v>14202.71</v>
      </c>
      <c r="N457" t="s">
        <v>131</v>
      </c>
      <c r="O457" t="s">
        <v>113</v>
      </c>
      <c r="P457" t="str">
        <f t="shared" si="7"/>
        <v>Noida|Headset</v>
      </c>
    </row>
    <row r="458" spans="1:16" x14ac:dyDescent="0.3">
      <c r="A458" s="15">
        <v>46219</v>
      </c>
      <c r="B458" t="s">
        <v>34</v>
      </c>
      <c r="C458" t="s">
        <v>126</v>
      </c>
      <c r="D458" t="s">
        <v>127</v>
      </c>
      <c r="E458" t="s">
        <v>143</v>
      </c>
      <c r="F458" t="s">
        <v>95</v>
      </c>
      <c r="G458" t="s">
        <v>78</v>
      </c>
      <c r="H458" t="s">
        <v>129</v>
      </c>
      <c r="I458" t="s">
        <v>218</v>
      </c>
      <c r="J458">
        <v>20</v>
      </c>
      <c r="K458" s="16">
        <v>77280</v>
      </c>
      <c r="L458" s="16">
        <v>59926.49</v>
      </c>
      <c r="M458" s="16">
        <v>17353.509999999998</v>
      </c>
      <c r="N458" t="s">
        <v>141</v>
      </c>
      <c r="O458" t="s">
        <v>119</v>
      </c>
      <c r="P458" t="str">
        <f t="shared" si="7"/>
        <v>Faridabad|Webcam</v>
      </c>
    </row>
    <row r="459" spans="1:16" x14ac:dyDescent="0.3">
      <c r="A459" s="15">
        <v>46117</v>
      </c>
      <c r="B459" t="s">
        <v>34</v>
      </c>
      <c r="C459" t="s">
        <v>152</v>
      </c>
      <c r="D459" t="s">
        <v>187</v>
      </c>
      <c r="E459" t="s">
        <v>199</v>
      </c>
      <c r="F459" t="s">
        <v>97</v>
      </c>
      <c r="G459" t="s">
        <v>86</v>
      </c>
      <c r="H459" t="s">
        <v>173</v>
      </c>
      <c r="I459" t="s">
        <v>347</v>
      </c>
      <c r="J459">
        <v>15</v>
      </c>
      <c r="K459" s="16">
        <v>85800</v>
      </c>
      <c r="L459" s="16">
        <v>63076.95</v>
      </c>
      <c r="M459" s="16">
        <v>22723.05</v>
      </c>
      <c r="N459" t="s">
        <v>141</v>
      </c>
      <c r="O459" t="s">
        <v>113</v>
      </c>
      <c r="P459" t="str">
        <f t="shared" si="7"/>
        <v>Hyderabad|Coffee Maker</v>
      </c>
    </row>
    <row r="460" spans="1:16" x14ac:dyDescent="0.3">
      <c r="A460" s="15">
        <v>46206</v>
      </c>
      <c r="B460" t="s">
        <v>34</v>
      </c>
      <c r="C460" t="s">
        <v>152</v>
      </c>
      <c r="D460" t="s">
        <v>156</v>
      </c>
      <c r="E460" t="s">
        <v>157</v>
      </c>
      <c r="F460" t="s">
        <v>95</v>
      </c>
      <c r="G460" t="s">
        <v>78</v>
      </c>
      <c r="H460" t="s">
        <v>110</v>
      </c>
      <c r="I460" t="s">
        <v>251</v>
      </c>
      <c r="J460">
        <v>11</v>
      </c>
      <c r="K460" s="16">
        <v>44814</v>
      </c>
      <c r="L460" s="16">
        <v>29683.56</v>
      </c>
      <c r="M460" s="16">
        <v>15130.44</v>
      </c>
      <c r="N460" t="s">
        <v>125</v>
      </c>
      <c r="O460" t="s">
        <v>119</v>
      </c>
      <c r="P460" t="str">
        <f t="shared" si="7"/>
        <v>Mysuru|Webcam</v>
      </c>
    </row>
    <row r="461" spans="1:16" x14ac:dyDescent="0.3">
      <c r="A461" s="15">
        <v>46083</v>
      </c>
      <c r="B461" t="s">
        <v>34</v>
      </c>
      <c r="C461" t="s">
        <v>121</v>
      </c>
      <c r="D461" t="s">
        <v>146</v>
      </c>
      <c r="E461" t="s">
        <v>175</v>
      </c>
      <c r="F461" t="s">
        <v>97</v>
      </c>
      <c r="G461" t="s">
        <v>87</v>
      </c>
      <c r="H461" t="s">
        <v>117</v>
      </c>
      <c r="I461" t="s">
        <v>275</v>
      </c>
      <c r="J461">
        <v>14</v>
      </c>
      <c r="K461" s="16">
        <v>154000</v>
      </c>
      <c r="L461" s="16">
        <v>108012.8</v>
      </c>
      <c r="M461" s="16">
        <v>45987.199999999997</v>
      </c>
      <c r="N461" t="s">
        <v>131</v>
      </c>
      <c r="O461" t="s">
        <v>113</v>
      </c>
      <c r="P461" t="str">
        <f t="shared" si="7"/>
        <v>Dibrugarh|Microwave</v>
      </c>
    </row>
    <row r="462" spans="1:16" x14ac:dyDescent="0.3">
      <c r="A462" s="15">
        <v>46128</v>
      </c>
      <c r="B462" t="s">
        <v>34</v>
      </c>
      <c r="C462" t="s">
        <v>121</v>
      </c>
      <c r="D462" t="s">
        <v>137</v>
      </c>
      <c r="E462" t="s">
        <v>171</v>
      </c>
      <c r="F462" t="s">
        <v>94</v>
      </c>
      <c r="G462" t="s">
        <v>70</v>
      </c>
      <c r="H462" t="s">
        <v>173</v>
      </c>
      <c r="I462" t="s">
        <v>326</v>
      </c>
      <c r="J462">
        <v>8</v>
      </c>
      <c r="K462" s="16">
        <v>117800</v>
      </c>
      <c r="L462" s="16">
        <v>73667.960000000006</v>
      </c>
      <c r="M462" s="16">
        <v>44132.04</v>
      </c>
      <c r="N462" t="s">
        <v>131</v>
      </c>
      <c r="O462" t="s">
        <v>113</v>
      </c>
      <c r="P462" t="str">
        <f t="shared" si="7"/>
        <v>Bhubaneswar|Printer Pro</v>
      </c>
    </row>
    <row r="463" spans="1:16" x14ac:dyDescent="0.3">
      <c r="A463" s="15">
        <v>46112</v>
      </c>
      <c r="B463" t="s">
        <v>34</v>
      </c>
      <c r="C463" t="s">
        <v>126</v>
      </c>
      <c r="D463" t="s">
        <v>162</v>
      </c>
      <c r="E463" t="s">
        <v>163</v>
      </c>
      <c r="F463" t="s">
        <v>97</v>
      </c>
      <c r="G463" t="s">
        <v>86</v>
      </c>
      <c r="H463" t="s">
        <v>173</v>
      </c>
      <c r="I463" t="s">
        <v>167</v>
      </c>
      <c r="J463">
        <v>17</v>
      </c>
      <c r="K463" s="16">
        <v>110500</v>
      </c>
      <c r="L463" s="16">
        <v>89520.5</v>
      </c>
      <c r="M463" s="16">
        <v>20979.5</v>
      </c>
      <c r="N463" t="s">
        <v>141</v>
      </c>
      <c r="O463" t="s">
        <v>113</v>
      </c>
      <c r="P463" t="str">
        <f t="shared" si="7"/>
        <v>Lucknow|Coffee Maker</v>
      </c>
    </row>
    <row r="464" spans="1:16" x14ac:dyDescent="0.3">
      <c r="A464" s="15">
        <v>46100</v>
      </c>
      <c r="B464" t="s">
        <v>120</v>
      </c>
      <c r="C464" t="s">
        <v>126</v>
      </c>
      <c r="D464" t="s">
        <v>127</v>
      </c>
      <c r="E464" t="s">
        <v>128</v>
      </c>
      <c r="F464" t="s">
        <v>95</v>
      </c>
      <c r="G464" t="s">
        <v>76</v>
      </c>
      <c r="H464" t="s">
        <v>184</v>
      </c>
      <c r="I464" t="s">
        <v>140</v>
      </c>
      <c r="J464">
        <v>19</v>
      </c>
      <c r="K464" s="16">
        <v>34200</v>
      </c>
      <c r="L464" s="16">
        <v>21458.25</v>
      </c>
      <c r="M464" s="16">
        <v>12741.75</v>
      </c>
      <c r="N464" t="s">
        <v>125</v>
      </c>
      <c r="O464" t="s">
        <v>142</v>
      </c>
      <c r="P464" t="str">
        <f t="shared" si="7"/>
        <v>Gurugram|Mouse</v>
      </c>
    </row>
    <row r="465" spans="1:16" x14ac:dyDescent="0.3">
      <c r="A465" s="15">
        <v>46086</v>
      </c>
      <c r="B465" t="s">
        <v>34</v>
      </c>
      <c r="C465" t="s">
        <v>126</v>
      </c>
      <c r="D465" t="s">
        <v>162</v>
      </c>
      <c r="E465" t="s">
        <v>163</v>
      </c>
      <c r="F465" t="s">
        <v>96</v>
      </c>
      <c r="G465" t="s">
        <v>80</v>
      </c>
      <c r="H465" t="s">
        <v>135</v>
      </c>
      <c r="I465" t="s">
        <v>140</v>
      </c>
      <c r="J465">
        <v>8</v>
      </c>
      <c r="K465" s="16">
        <v>88000</v>
      </c>
      <c r="L465" s="16">
        <v>64050.94</v>
      </c>
      <c r="M465" s="16">
        <v>23949.06</v>
      </c>
      <c r="N465" t="s">
        <v>141</v>
      </c>
      <c r="O465" t="s">
        <v>142</v>
      </c>
      <c r="P465" t="str">
        <f t="shared" si="7"/>
        <v>Lucknow|Office Chair</v>
      </c>
    </row>
    <row r="466" spans="1:16" x14ac:dyDescent="0.3">
      <c r="A466" s="15">
        <v>46040</v>
      </c>
      <c r="B466" t="s">
        <v>34</v>
      </c>
      <c r="C466" t="s">
        <v>121</v>
      </c>
      <c r="D466" t="s">
        <v>146</v>
      </c>
      <c r="E466" t="s">
        <v>147</v>
      </c>
      <c r="F466" t="s">
        <v>94</v>
      </c>
      <c r="G466" t="s">
        <v>64</v>
      </c>
      <c r="H466" t="s">
        <v>129</v>
      </c>
      <c r="I466" t="s">
        <v>245</v>
      </c>
      <c r="J466">
        <v>2</v>
      </c>
      <c r="K466" s="16">
        <v>42000</v>
      </c>
      <c r="L466" s="16">
        <v>33911.94</v>
      </c>
      <c r="M466" s="16">
        <v>8088.06</v>
      </c>
      <c r="N466" t="s">
        <v>112</v>
      </c>
      <c r="O466" t="s">
        <v>113</v>
      </c>
      <c r="P466" t="str">
        <f t="shared" si="7"/>
        <v>Guwahati|Monitor 27</v>
      </c>
    </row>
    <row r="467" spans="1:16" x14ac:dyDescent="0.3">
      <c r="A467" s="15">
        <v>46255</v>
      </c>
      <c r="B467" t="s">
        <v>34</v>
      </c>
      <c r="C467" t="s">
        <v>121</v>
      </c>
      <c r="D467" t="s">
        <v>122</v>
      </c>
      <c r="E467" t="s">
        <v>123</v>
      </c>
      <c r="F467" t="s">
        <v>97</v>
      </c>
      <c r="G467" t="s">
        <v>87</v>
      </c>
      <c r="H467" t="s">
        <v>133</v>
      </c>
      <c r="I467" t="s">
        <v>334</v>
      </c>
      <c r="J467">
        <v>18</v>
      </c>
      <c r="K467" s="16">
        <v>218250</v>
      </c>
      <c r="L467" s="16">
        <v>158413.94</v>
      </c>
      <c r="M467" s="16">
        <v>59836.06</v>
      </c>
      <c r="N467" t="s">
        <v>112</v>
      </c>
      <c r="O467" t="s">
        <v>113</v>
      </c>
      <c r="P467" t="str">
        <f t="shared" si="7"/>
        <v>Durgapur|Microwave</v>
      </c>
    </row>
    <row r="468" spans="1:16" x14ac:dyDescent="0.3">
      <c r="A468" s="15">
        <v>46043</v>
      </c>
      <c r="B468" t="s">
        <v>34</v>
      </c>
      <c r="C468" t="s">
        <v>126</v>
      </c>
      <c r="D468" t="s">
        <v>162</v>
      </c>
      <c r="E468" t="s">
        <v>163</v>
      </c>
      <c r="F468" t="s">
        <v>94</v>
      </c>
      <c r="G468" t="s">
        <v>64</v>
      </c>
      <c r="H468" t="s">
        <v>133</v>
      </c>
      <c r="I468" t="s">
        <v>365</v>
      </c>
      <c r="J468">
        <v>8</v>
      </c>
      <c r="K468" s="16">
        <v>154560</v>
      </c>
      <c r="L468" s="16">
        <v>101113.11</v>
      </c>
      <c r="M468" s="16">
        <v>53446.89</v>
      </c>
      <c r="N468" t="s">
        <v>125</v>
      </c>
      <c r="O468" t="s">
        <v>142</v>
      </c>
      <c r="P468" t="str">
        <f t="shared" si="7"/>
        <v>Lucknow|Monitor 27</v>
      </c>
    </row>
    <row r="469" spans="1:16" x14ac:dyDescent="0.3">
      <c r="A469" s="15">
        <v>46215</v>
      </c>
      <c r="B469" t="s">
        <v>34</v>
      </c>
      <c r="C469" t="s">
        <v>152</v>
      </c>
      <c r="D469" t="s">
        <v>156</v>
      </c>
      <c r="E469" t="s">
        <v>157</v>
      </c>
      <c r="F469" t="s">
        <v>95</v>
      </c>
      <c r="G469" t="s">
        <v>76</v>
      </c>
      <c r="H469" t="s">
        <v>184</v>
      </c>
      <c r="I469" t="s">
        <v>368</v>
      </c>
      <c r="J469">
        <v>3</v>
      </c>
      <c r="K469" s="16">
        <v>5400</v>
      </c>
      <c r="L469" s="16">
        <v>3481.1</v>
      </c>
      <c r="M469" s="16">
        <v>1918.9</v>
      </c>
      <c r="N469" t="s">
        <v>141</v>
      </c>
      <c r="O469" t="s">
        <v>113</v>
      </c>
      <c r="P469" t="str">
        <f t="shared" si="7"/>
        <v>Mysuru|Mouse</v>
      </c>
    </row>
    <row r="470" spans="1:16" x14ac:dyDescent="0.3">
      <c r="A470" s="15">
        <v>46231</v>
      </c>
      <c r="B470" t="s">
        <v>114</v>
      </c>
      <c r="C470" t="s">
        <v>107</v>
      </c>
      <c r="D470" t="s">
        <v>108</v>
      </c>
      <c r="E470" t="s">
        <v>109</v>
      </c>
      <c r="F470" t="s">
        <v>97</v>
      </c>
      <c r="G470" t="s">
        <v>86</v>
      </c>
      <c r="H470" t="s">
        <v>133</v>
      </c>
      <c r="I470" t="s">
        <v>287</v>
      </c>
      <c r="J470">
        <v>19</v>
      </c>
      <c r="K470" s="16">
        <v>108680</v>
      </c>
      <c r="L470" s="16">
        <v>67932.66</v>
      </c>
      <c r="M470" s="16">
        <v>40747.339999999997</v>
      </c>
      <c r="N470" t="s">
        <v>125</v>
      </c>
      <c r="O470" t="s">
        <v>113</v>
      </c>
      <c r="P470" t="str">
        <f t="shared" si="7"/>
        <v>Udaipur|Coffee Maker</v>
      </c>
    </row>
    <row r="471" spans="1:16" x14ac:dyDescent="0.3">
      <c r="A471" s="15">
        <v>46072</v>
      </c>
      <c r="B471" t="s">
        <v>34</v>
      </c>
      <c r="C471" t="s">
        <v>121</v>
      </c>
      <c r="D471" t="s">
        <v>122</v>
      </c>
      <c r="E471" t="s">
        <v>123</v>
      </c>
      <c r="F471" t="s">
        <v>97</v>
      </c>
      <c r="G471" t="s">
        <v>86</v>
      </c>
      <c r="H471" t="s">
        <v>135</v>
      </c>
      <c r="I471" t="s">
        <v>285</v>
      </c>
      <c r="J471">
        <v>7</v>
      </c>
      <c r="K471" s="16">
        <v>40040</v>
      </c>
      <c r="L471" s="16">
        <v>27418.38</v>
      </c>
      <c r="M471" s="16">
        <v>12621.62</v>
      </c>
      <c r="N471" t="s">
        <v>131</v>
      </c>
      <c r="O471" t="s">
        <v>119</v>
      </c>
      <c r="P471" t="str">
        <f t="shared" si="7"/>
        <v>Durgapur|Coffee Maker</v>
      </c>
    </row>
    <row r="472" spans="1:16" x14ac:dyDescent="0.3">
      <c r="A472" s="15">
        <v>46105</v>
      </c>
      <c r="B472" t="s">
        <v>34</v>
      </c>
      <c r="C472" t="s">
        <v>107</v>
      </c>
      <c r="D472" t="s">
        <v>149</v>
      </c>
      <c r="E472" t="s">
        <v>159</v>
      </c>
      <c r="F472" t="s">
        <v>96</v>
      </c>
      <c r="G472" t="s">
        <v>80</v>
      </c>
      <c r="H472" t="s">
        <v>117</v>
      </c>
      <c r="I472" t="s">
        <v>369</v>
      </c>
      <c r="J472">
        <v>12</v>
      </c>
      <c r="K472" s="16">
        <v>138000</v>
      </c>
      <c r="L472" s="16">
        <v>97578.58</v>
      </c>
      <c r="M472" s="16">
        <v>40421.42</v>
      </c>
      <c r="N472" t="s">
        <v>112</v>
      </c>
      <c r="O472" t="s">
        <v>113</v>
      </c>
      <c r="P472" t="str">
        <f t="shared" si="7"/>
        <v>Pune|Office Chair</v>
      </c>
    </row>
    <row r="473" spans="1:16" x14ac:dyDescent="0.3">
      <c r="A473" s="15">
        <v>46197</v>
      </c>
      <c r="B473" t="s">
        <v>120</v>
      </c>
      <c r="C473" t="s">
        <v>126</v>
      </c>
      <c r="D473" t="s">
        <v>196</v>
      </c>
      <c r="E473" t="s">
        <v>208</v>
      </c>
      <c r="F473" t="s">
        <v>97</v>
      </c>
      <c r="G473" t="s">
        <v>86</v>
      </c>
      <c r="H473" t="s">
        <v>173</v>
      </c>
      <c r="I473" t="s">
        <v>144</v>
      </c>
      <c r="J473">
        <v>19</v>
      </c>
      <c r="K473" s="16">
        <v>123500</v>
      </c>
      <c r="L473" s="16">
        <v>78639.360000000001</v>
      </c>
      <c r="M473" s="16">
        <v>44860.639999999999</v>
      </c>
      <c r="N473" t="s">
        <v>131</v>
      </c>
      <c r="O473" t="s">
        <v>113</v>
      </c>
      <c r="P473" t="str">
        <f t="shared" si="7"/>
        <v>New Delhi|Coffee Maker</v>
      </c>
    </row>
    <row r="474" spans="1:16" x14ac:dyDescent="0.3">
      <c r="A474" s="15">
        <v>46163</v>
      </c>
      <c r="B474" t="s">
        <v>114</v>
      </c>
      <c r="C474" t="s">
        <v>126</v>
      </c>
      <c r="D474" t="s">
        <v>127</v>
      </c>
      <c r="E474" t="s">
        <v>128</v>
      </c>
      <c r="F474" t="s">
        <v>97</v>
      </c>
      <c r="G474" t="s">
        <v>87</v>
      </c>
      <c r="H474" t="s">
        <v>173</v>
      </c>
      <c r="I474" t="s">
        <v>267</v>
      </c>
      <c r="J474">
        <v>19</v>
      </c>
      <c r="K474" s="16">
        <v>209000</v>
      </c>
      <c r="L474" s="16">
        <v>133140.74</v>
      </c>
      <c r="M474" s="16">
        <v>75859.259999999995</v>
      </c>
      <c r="N474" t="s">
        <v>141</v>
      </c>
      <c r="O474" t="s">
        <v>119</v>
      </c>
      <c r="P474" t="str">
        <f t="shared" si="7"/>
        <v>Gurugram|Microwave</v>
      </c>
    </row>
    <row r="475" spans="1:16" x14ac:dyDescent="0.3">
      <c r="A475" s="15">
        <v>46213</v>
      </c>
      <c r="B475" t="s">
        <v>34</v>
      </c>
      <c r="C475" t="s">
        <v>126</v>
      </c>
      <c r="D475" t="s">
        <v>127</v>
      </c>
      <c r="E475" t="s">
        <v>143</v>
      </c>
      <c r="F475" t="s">
        <v>95</v>
      </c>
      <c r="G475" t="s">
        <v>76</v>
      </c>
      <c r="H475" t="s">
        <v>117</v>
      </c>
      <c r="I475" t="s">
        <v>174</v>
      </c>
      <c r="J475">
        <v>12</v>
      </c>
      <c r="K475" s="16">
        <v>21600</v>
      </c>
      <c r="L475" s="16">
        <v>16023.51</v>
      </c>
      <c r="M475" s="16">
        <v>5576.49</v>
      </c>
      <c r="N475" t="s">
        <v>125</v>
      </c>
      <c r="O475" t="s">
        <v>119</v>
      </c>
      <c r="P475" t="str">
        <f t="shared" si="7"/>
        <v>Faridabad|Mouse</v>
      </c>
    </row>
    <row r="476" spans="1:16" x14ac:dyDescent="0.3">
      <c r="A476" s="15">
        <v>46194</v>
      </c>
      <c r="B476" t="s">
        <v>114</v>
      </c>
      <c r="C476" t="s">
        <v>121</v>
      </c>
      <c r="D476" t="s">
        <v>122</v>
      </c>
      <c r="E476" t="s">
        <v>166</v>
      </c>
      <c r="F476" t="s">
        <v>96</v>
      </c>
      <c r="G476" t="s">
        <v>84</v>
      </c>
      <c r="H476" t="s">
        <v>129</v>
      </c>
      <c r="I476" t="s">
        <v>334</v>
      </c>
      <c r="J476">
        <v>16</v>
      </c>
      <c r="K476" s="16">
        <v>220400</v>
      </c>
      <c r="L476" s="16">
        <v>177546.69</v>
      </c>
      <c r="M476" s="16">
        <v>42853.31</v>
      </c>
      <c r="N476" t="s">
        <v>112</v>
      </c>
      <c r="O476" t="s">
        <v>113</v>
      </c>
      <c r="P476" t="str">
        <f t="shared" si="7"/>
        <v>Kolkata|Filing Cabinet</v>
      </c>
    </row>
    <row r="477" spans="1:16" x14ac:dyDescent="0.3">
      <c r="A477" s="15">
        <v>46064</v>
      </c>
      <c r="B477" t="s">
        <v>34</v>
      </c>
      <c r="C477" t="s">
        <v>152</v>
      </c>
      <c r="D477" t="s">
        <v>153</v>
      </c>
      <c r="E477" t="s">
        <v>169</v>
      </c>
      <c r="F477" t="s">
        <v>96</v>
      </c>
      <c r="G477" t="s">
        <v>80</v>
      </c>
      <c r="H477" t="s">
        <v>135</v>
      </c>
      <c r="I477" t="s">
        <v>185</v>
      </c>
      <c r="J477">
        <v>3</v>
      </c>
      <c r="K477" s="16">
        <v>37500</v>
      </c>
      <c r="L477" s="16">
        <v>23307.77</v>
      </c>
      <c r="M477" s="16">
        <v>14192.23</v>
      </c>
      <c r="N477" t="s">
        <v>125</v>
      </c>
      <c r="O477" t="s">
        <v>113</v>
      </c>
      <c r="P477" t="str">
        <f t="shared" si="7"/>
        <v>Chennai|Office Chair</v>
      </c>
    </row>
    <row r="478" spans="1:16" x14ac:dyDescent="0.3">
      <c r="A478" s="15">
        <v>46044</v>
      </c>
      <c r="B478" t="s">
        <v>34</v>
      </c>
      <c r="C478" t="s">
        <v>126</v>
      </c>
      <c r="D478" t="s">
        <v>127</v>
      </c>
      <c r="E478" t="s">
        <v>128</v>
      </c>
      <c r="F478" t="s">
        <v>96</v>
      </c>
      <c r="G478" t="s">
        <v>80</v>
      </c>
      <c r="H478" t="s">
        <v>173</v>
      </c>
      <c r="I478" t="s">
        <v>365</v>
      </c>
      <c r="J478">
        <v>5</v>
      </c>
      <c r="K478" s="16">
        <v>59375</v>
      </c>
      <c r="L478" s="16">
        <v>43963.98</v>
      </c>
      <c r="M478" s="16">
        <v>15411.02</v>
      </c>
      <c r="N478" t="s">
        <v>141</v>
      </c>
      <c r="O478" t="s">
        <v>113</v>
      </c>
      <c r="P478" t="str">
        <f t="shared" si="7"/>
        <v>Gurugram|Office Chair</v>
      </c>
    </row>
    <row r="479" spans="1:16" x14ac:dyDescent="0.3">
      <c r="A479" s="15">
        <v>46098</v>
      </c>
      <c r="B479" t="s">
        <v>120</v>
      </c>
      <c r="C479" t="s">
        <v>152</v>
      </c>
      <c r="D479" t="s">
        <v>153</v>
      </c>
      <c r="E479" t="s">
        <v>169</v>
      </c>
      <c r="F479" t="s">
        <v>95</v>
      </c>
      <c r="G479" t="s">
        <v>78</v>
      </c>
      <c r="H479" t="s">
        <v>139</v>
      </c>
      <c r="I479" t="s">
        <v>183</v>
      </c>
      <c r="J479">
        <v>9</v>
      </c>
      <c r="K479" s="16">
        <v>33264</v>
      </c>
      <c r="L479" s="16">
        <v>21374.93</v>
      </c>
      <c r="M479" s="16">
        <v>11889.07</v>
      </c>
      <c r="N479" t="s">
        <v>125</v>
      </c>
      <c r="O479" t="s">
        <v>113</v>
      </c>
      <c r="P479" t="str">
        <f t="shared" si="7"/>
        <v>Chennai|Webcam</v>
      </c>
    </row>
    <row r="480" spans="1:16" x14ac:dyDescent="0.3">
      <c r="A480" s="15">
        <v>46095</v>
      </c>
      <c r="B480" t="s">
        <v>34</v>
      </c>
      <c r="C480" t="s">
        <v>126</v>
      </c>
      <c r="D480" t="s">
        <v>127</v>
      </c>
      <c r="E480" t="s">
        <v>143</v>
      </c>
      <c r="F480" t="s">
        <v>95</v>
      </c>
      <c r="G480" t="s">
        <v>72</v>
      </c>
      <c r="H480" t="s">
        <v>184</v>
      </c>
      <c r="I480" t="s">
        <v>359</v>
      </c>
      <c r="J480">
        <v>6</v>
      </c>
      <c r="K480" s="16">
        <v>19200</v>
      </c>
      <c r="L480" s="16">
        <v>14468.69</v>
      </c>
      <c r="M480" s="16">
        <v>4731.3100000000004</v>
      </c>
      <c r="N480" t="s">
        <v>141</v>
      </c>
      <c r="O480" t="s">
        <v>113</v>
      </c>
      <c r="P480" t="str">
        <f t="shared" si="7"/>
        <v>Faridabad|Keyboard</v>
      </c>
    </row>
    <row r="481" spans="1:16" x14ac:dyDescent="0.3">
      <c r="A481" s="15">
        <v>46213</v>
      </c>
      <c r="B481" t="s">
        <v>34</v>
      </c>
      <c r="C481" t="s">
        <v>126</v>
      </c>
      <c r="D481" t="s">
        <v>196</v>
      </c>
      <c r="E481" t="s">
        <v>208</v>
      </c>
      <c r="F481" t="s">
        <v>94</v>
      </c>
      <c r="G481" t="s">
        <v>67</v>
      </c>
      <c r="H481" t="s">
        <v>139</v>
      </c>
      <c r="I481" t="s">
        <v>248</v>
      </c>
      <c r="J481">
        <v>10</v>
      </c>
      <c r="K481" s="16">
        <v>290400</v>
      </c>
      <c r="L481" s="16">
        <v>231518.51</v>
      </c>
      <c r="M481" s="16">
        <v>58881.49</v>
      </c>
      <c r="N481" t="s">
        <v>125</v>
      </c>
      <c r="O481" t="s">
        <v>142</v>
      </c>
      <c r="P481" t="str">
        <f t="shared" si="7"/>
        <v>New Delhi|Tablet X</v>
      </c>
    </row>
    <row r="482" spans="1:16" x14ac:dyDescent="0.3">
      <c r="A482" s="15">
        <v>46241</v>
      </c>
      <c r="B482" t="s">
        <v>34</v>
      </c>
      <c r="C482" t="s">
        <v>107</v>
      </c>
      <c r="D482" t="s">
        <v>108</v>
      </c>
      <c r="E482" t="s">
        <v>109</v>
      </c>
      <c r="F482" t="s">
        <v>95</v>
      </c>
      <c r="G482" t="s">
        <v>74</v>
      </c>
      <c r="H482" t="s">
        <v>135</v>
      </c>
      <c r="I482" t="s">
        <v>313</v>
      </c>
      <c r="J482">
        <v>1</v>
      </c>
      <c r="K482" s="16">
        <v>4800</v>
      </c>
      <c r="L482" s="16">
        <v>3505.54</v>
      </c>
      <c r="M482" s="16">
        <v>1294.46</v>
      </c>
      <c r="N482" t="s">
        <v>112</v>
      </c>
      <c r="O482" t="s">
        <v>113</v>
      </c>
      <c r="P482" t="str">
        <f t="shared" si="7"/>
        <v>Udaipur|Headset</v>
      </c>
    </row>
    <row r="483" spans="1:16" x14ac:dyDescent="0.3">
      <c r="A483" s="15">
        <v>46147</v>
      </c>
      <c r="B483" t="s">
        <v>114</v>
      </c>
      <c r="C483" t="s">
        <v>121</v>
      </c>
      <c r="D483" t="s">
        <v>122</v>
      </c>
      <c r="E483" t="s">
        <v>166</v>
      </c>
      <c r="F483" t="s">
        <v>95</v>
      </c>
      <c r="G483" t="s">
        <v>72</v>
      </c>
      <c r="H483" t="s">
        <v>135</v>
      </c>
      <c r="I483" t="s">
        <v>370</v>
      </c>
      <c r="J483">
        <v>2</v>
      </c>
      <c r="K483" s="16">
        <v>6400</v>
      </c>
      <c r="L483" s="16">
        <v>4708.6400000000003</v>
      </c>
      <c r="M483" s="16">
        <v>1691.36</v>
      </c>
      <c r="N483" t="s">
        <v>125</v>
      </c>
      <c r="O483" t="s">
        <v>113</v>
      </c>
      <c r="P483" t="str">
        <f t="shared" si="7"/>
        <v>Kolkata|Keyboard</v>
      </c>
    </row>
    <row r="484" spans="1:16" x14ac:dyDescent="0.3">
      <c r="A484" s="15">
        <v>46054</v>
      </c>
      <c r="B484" t="s">
        <v>120</v>
      </c>
      <c r="C484" t="s">
        <v>121</v>
      </c>
      <c r="D484" t="s">
        <v>137</v>
      </c>
      <c r="E484" t="s">
        <v>171</v>
      </c>
      <c r="F484" t="s">
        <v>97</v>
      </c>
      <c r="G484" t="s">
        <v>85</v>
      </c>
      <c r="H484" t="s">
        <v>173</v>
      </c>
      <c r="I484" t="s">
        <v>155</v>
      </c>
      <c r="J484">
        <v>9</v>
      </c>
      <c r="K484" s="16">
        <v>162000</v>
      </c>
      <c r="L484" s="16">
        <v>121002.73</v>
      </c>
      <c r="M484" s="16">
        <v>40997.269999999997</v>
      </c>
      <c r="N484" t="s">
        <v>125</v>
      </c>
      <c r="O484" t="s">
        <v>113</v>
      </c>
      <c r="P484" t="str">
        <f t="shared" si="7"/>
        <v>Bhubaneswar|Air Purifier</v>
      </c>
    </row>
    <row r="485" spans="1:16" x14ac:dyDescent="0.3">
      <c r="A485" s="15">
        <v>46220</v>
      </c>
      <c r="B485" t="s">
        <v>120</v>
      </c>
      <c r="C485" t="s">
        <v>121</v>
      </c>
      <c r="D485" t="s">
        <v>146</v>
      </c>
      <c r="E485" t="s">
        <v>147</v>
      </c>
      <c r="F485" t="s">
        <v>94</v>
      </c>
      <c r="G485" t="s">
        <v>64</v>
      </c>
      <c r="H485" t="s">
        <v>117</v>
      </c>
      <c r="I485" t="s">
        <v>361</v>
      </c>
      <c r="J485">
        <v>17</v>
      </c>
      <c r="K485" s="16">
        <v>328440</v>
      </c>
      <c r="L485" s="16">
        <v>204145.05</v>
      </c>
      <c r="M485" s="16">
        <v>124294.95</v>
      </c>
      <c r="N485" t="s">
        <v>141</v>
      </c>
      <c r="O485" t="s">
        <v>119</v>
      </c>
      <c r="P485" t="str">
        <f t="shared" si="7"/>
        <v>Guwahati|Monitor 27</v>
      </c>
    </row>
    <row r="486" spans="1:16" x14ac:dyDescent="0.3">
      <c r="A486" s="15">
        <v>46154</v>
      </c>
      <c r="B486" t="s">
        <v>34</v>
      </c>
      <c r="C486" t="s">
        <v>107</v>
      </c>
      <c r="D486" t="s">
        <v>115</v>
      </c>
      <c r="E486" t="s">
        <v>116</v>
      </c>
      <c r="F486" t="s">
        <v>95</v>
      </c>
      <c r="G486" t="s">
        <v>74</v>
      </c>
      <c r="H486" t="s">
        <v>129</v>
      </c>
      <c r="I486" t="s">
        <v>254</v>
      </c>
      <c r="J486">
        <v>11</v>
      </c>
      <c r="K486" s="16">
        <v>48576</v>
      </c>
      <c r="L486" s="16">
        <v>30141.47</v>
      </c>
      <c r="M486" s="16">
        <v>18434.53</v>
      </c>
      <c r="N486" t="s">
        <v>112</v>
      </c>
      <c r="O486" t="s">
        <v>119</v>
      </c>
      <c r="P486" t="str">
        <f t="shared" si="7"/>
        <v>Ahmedabad|Headset</v>
      </c>
    </row>
    <row r="487" spans="1:16" x14ac:dyDescent="0.3">
      <c r="A487" s="15">
        <v>46228</v>
      </c>
      <c r="B487" t="s">
        <v>34</v>
      </c>
      <c r="C487" t="s">
        <v>126</v>
      </c>
      <c r="D487" t="s">
        <v>162</v>
      </c>
      <c r="E487" t="s">
        <v>163</v>
      </c>
      <c r="F487" t="s">
        <v>97</v>
      </c>
      <c r="G487" t="s">
        <v>87</v>
      </c>
      <c r="H487" t="s">
        <v>129</v>
      </c>
      <c r="I487" t="s">
        <v>350</v>
      </c>
      <c r="J487">
        <v>10</v>
      </c>
      <c r="K487" s="16">
        <v>110000</v>
      </c>
      <c r="L487" s="16">
        <v>86809.57</v>
      </c>
      <c r="M487" s="16">
        <v>23190.43</v>
      </c>
      <c r="N487" t="s">
        <v>131</v>
      </c>
      <c r="O487" t="s">
        <v>113</v>
      </c>
      <c r="P487" t="str">
        <f t="shared" si="7"/>
        <v>Lucknow|Microwave</v>
      </c>
    </row>
    <row r="488" spans="1:16" x14ac:dyDescent="0.3">
      <c r="A488" s="15">
        <v>46031</v>
      </c>
      <c r="B488" t="s">
        <v>34</v>
      </c>
      <c r="C488" t="s">
        <v>126</v>
      </c>
      <c r="D488" t="s">
        <v>162</v>
      </c>
      <c r="E488" t="s">
        <v>204</v>
      </c>
      <c r="F488" t="s">
        <v>96</v>
      </c>
      <c r="G488" t="s">
        <v>84</v>
      </c>
      <c r="H488" t="s">
        <v>139</v>
      </c>
      <c r="I488" t="s">
        <v>247</v>
      </c>
      <c r="J488">
        <v>14</v>
      </c>
      <c r="K488" s="16">
        <v>178640</v>
      </c>
      <c r="L488" s="16">
        <v>118206.39999999999</v>
      </c>
      <c r="M488" s="16">
        <v>60433.599999999999</v>
      </c>
      <c r="N488" t="s">
        <v>125</v>
      </c>
      <c r="O488" t="s">
        <v>113</v>
      </c>
      <c r="P488" t="str">
        <f t="shared" si="7"/>
        <v>Noida|Filing Cabinet</v>
      </c>
    </row>
    <row r="489" spans="1:16" x14ac:dyDescent="0.3">
      <c r="A489" s="15">
        <v>46264</v>
      </c>
      <c r="B489" t="s">
        <v>34</v>
      </c>
      <c r="C489" t="s">
        <v>107</v>
      </c>
      <c r="D489" t="s">
        <v>115</v>
      </c>
      <c r="E489" t="s">
        <v>116</v>
      </c>
      <c r="F489" t="s">
        <v>96</v>
      </c>
      <c r="G489" t="s">
        <v>82</v>
      </c>
      <c r="H489" t="s">
        <v>184</v>
      </c>
      <c r="I489" t="s">
        <v>371</v>
      </c>
      <c r="J489">
        <v>19</v>
      </c>
      <c r="K489" s="16">
        <v>498180</v>
      </c>
      <c r="L489" s="16">
        <v>378822.54</v>
      </c>
      <c r="M489" s="16">
        <v>119357.46</v>
      </c>
      <c r="N489" t="s">
        <v>125</v>
      </c>
      <c r="O489" t="s">
        <v>142</v>
      </c>
      <c r="P489" t="str">
        <f t="shared" si="7"/>
        <v>Ahmedabad|Standing Desk</v>
      </c>
    </row>
    <row r="490" spans="1:16" x14ac:dyDescent="0.3">
      <c r="A490" s="15">
        <v>46131</v>
      </c>
      <c r="B490" t="s">
        <v>34</v>
      </c>
      <c r="C490" t="s">
        <v>152</v>
      </c>
      <c r="D490" t="s">
        <v>153</v>
      </c>
      <c r="E490" t="s">
        <v>169</v>
      </c>
      <c r="F490" t="s">
        <v>97</v>
      </c>
      <c r="G490" t="s">
        <v>88</v>
      </c>
      <c r="H490" t="s">
        <v>133</v>
      </c>
      <c r="I490" t="s">
        <v>311</v>
      </c>
      <c r="J490">
        <v>6</v>
      </c>
      <c r="K490" s="16">
        <v>82650</v>
      </c>
      <c r="L490" s="16">
        <v>56442.69</v>
      </c>
      <c r="M490" s="16">
        <v>26207.31</v>
      </c>
      <c r="N490" t="s">
        <v>131</v>
      </c>
      <c r="O490" t="s">
        <v>113</v>
      </c>
      <c r="P490" t="str">
        <f t="shared" si="7"/>
        <v>Chennai|Vacuum Cleaner</v>
      </c>
    </row>
    <row r="491" spans="1:16" x14ac:dyDescent="0.3">
      <c r="A491" s="15">
        <v>46207</v>
      </c>
      <c r="B491" t="s">
        <v>114</v>
      </c>
      <c r="C491" t="s">
        <v>107</v>
      </c>
      <c r="D491" t="s">
        <v>149</v>
      </c>
      <c r="E491" t="s">
        <v>150</v>
      </c>
      <c r="F491" t="s">
        <v>94</v>
      </c>
      <c r="G491" t="s">
        <v>70</v>
      </c>
      <c r="H491" t="s">
        <v>139</v>
      </c>
      <c r="I491" t="s">
        <v>345</v>
      </c>
      <c r="J491">
        <v>19</v>
      </c>
      <c r="K491" s="16">
        <v>294500</v>
      </c>
      <c r="L491" s="16">
        <v>197143.03</v>
      </c>
      <c r="M491" s="16">
        <v>97356.97</v>
      </c>
      <c r="N491" t="s">
        <v>141</v>
      </c>
      <c r="O491" t="s">
        <v>113</v>
      </c>
      <c r="P491" t="str">
        <f t="shared" si="7"/>
        <v>Mumbai|Printer Pro</v>
      </c>
    </row>
    <row r="492" spans="1:16" x14ac:dyDescent="0.3">
      <c r="A492" s="15">
        <v>46085</v>
      </c>
      <c r="B492" t="s">
        <v>34</v>
      </c>
      <c r="C492" t="s">
        <v>107</v>
      </c>
      <c r="D492" t="s">
        <v>149</v>
      </c>
      <c r="E492" t="s">
        <v>159</v>
      </c>
      <c r="F492" t="s">
        <v>97</v>
      </c>
      <c r="G492" t="s">
        <v>88</v>
      </c>
      <c r="H492" t="s">
        <v>184</v>
      </c>
      <c r="I492" t="s">
        <v>189</v>
      </c>
      <c r="J492">
        <v>6</v>
      </c>
      <c r="K492" s="16">
        <v>87000</v>
      </c>
      <c r="L492" s="16">
        <v>63283.05</v>
      </c>
      <c r="M492" s="16">
        <v>23716.95</v>
      </c>
      <c r="N492" t="s">
        <v>112</v>
      </c>
      <c r="O492" t="s">
        <v>113</v>
      </c>
      <c r="P492" t="str">
        <f t="shared" si="7"/>
        <v>Pune|Vacuum Cleaner</v>
      </c>
    </row>
    <row r="493" spans="1:16" x14ac:dyDescent="0.3">
      <c r="A493" s="15">
        <v>46237</v>
      </c>
      <c r="B493" t="s">
        <v>34</v>
      </c>
      <c r="C493" t="s">
        <v>121</v>
      </c>
      <c r="D493" t="s">
        <v>146</v>
      </c>
      <c r="E493" t="s">
        <v>175</v>
      </c>
      <c r="F493" t="s">
        <v>96</v>
      </c>
      <c r="G493" t="s">
        <v>82</v>
      </c>
      <c r="H493" t="s">
        <v>133</v>
      </c>
      <c r="I493" t="s">
        <v>330</v>
      </c>
      <c r="J493">
        <v>11</v>
      </c>
      <c r="K493" s="16">
        <v>313500</v>
      </c>
      <c r="L493" s="16">
        <v>221657.84</v>
      </c>
      <c r="M493" s="16">
        <v>91842.16</v>
      </c>
      <c r="N493" t="s">
        <v>112</v>
      </c>
      <c r="O493" t="s">
        <v>119</v>
      </c>
      <c r="P493" t="str">
        <f t="shared" si="7"/>
        <v>Dibrugarh|Standing Desk</v>
      </c>
    </row>
    <row r="494" spans="1:16" x14ac:dyDescent="0.3">
      <c r="A494" s="15">
        <v>46252</v>
      </c>
      <c r="B494" t="s">
        <v>34</v>
      </c>
      <c r="C494" t="s">
        <v>126</v>
      </c>
      <c r="D494" t="s">
        <v>127</v>
      </c>
      <c r="E494" t="s">
        <v>143</v>
      </c>
      <c r="F494" t="s">
        <v>95</v>
      </c>
      <c r="G494" t="s">
        <v>72</v>
      </c>
      <c r="H494" t="s">
        <v>135</v>
      </c>
      <c r="I494" t="s">
        <v>274</v>
      </c>
      <c r="J494">
        <v>7</v>
      </c>
      <c r="K494" s="16">
        <v>20608</v>
      </c>
      <c r="L494" s="16">
        <v>13471.54</v>
      </c>
      <c r="M494" s="16">
        <v>7136.46</v>
      </c>
      <c r="N494" t="s">
        <v>125</v>
      </c>
      <c r="O494" t="s">
        <v>142</v>
      </c>
      <c r="P494" t="str">
        <f t="shared" si="7"/>
        <v>Faridabad|Keyboard</v>
      </c>
    </row>
    <row r="495" spans="1:16" x14ac:dyDescent="0.3">
      <c r="A495" s="15">
        <v>46218</v>
      </c>
      <c r="B495" t="s">
        <v>120</v>
      </c>
      <c r="C495" t="s">
        <v>152</v>
      </c>
      <c r="D495" t="s">
        <v>156</v>
      </c>
      <c r="E495" t="s">
        <v>157</v>
      </c>
      <c r="F495" t="s">
        <v>96</v>
      </c>
      <c r="G495" t="s">
        <v>84</v>
      </c>
      <c r="H495" t="s">
        <v>135</v>
      </c>
      <c r="I495" t="s">
        <v>151</v>
      </c>
      <c r="J495">
        <v>16</v>
      </c>
      <c r="K495" s="16">
        <v>225040</v>
      </c>
      <c r="L495" s="16">
        <v>159323.88</v>
      </c>
      <c r="M495" s="16">
        <v>65716.12</v>
      </c>
      <c r="N495" t="s">
        <v>131</v>
      </c>
      <c r="O495" t="s">
        <v>119</v>
      </c>
      <c r="P495" t="str">
        <f t="shared" si="7"/>
        <v>Mysuru|Filing Cabinet</v>
      </c>
    </row>
    <row r="496" spans="1:16" x14ac:dyDescent="0.3">
      <c r="A496" s="15">
        <v>46258</v>
      </c>
      <c r="B496" t="s">
        <v>114</v>
      </c>
      <c r="C496" t="s">
        <v>152</v>
      </c>
      <c r="D496" t="s">
        <v>187</v>
      </c>
      <c r="E496" t="s">
        <v>199</v>
      </c>
      <c r="F496" t="s">
        <v>97</v>
      </c>
      <c r="G496" t="s">
        <v>85</v>
      </c>
      <c r="H496" t="s">
        <v>117</v>
      </c>
      <c r="I496" t="s">
        <v>337</v>
      </c>
      <c r="J496">
        <v>13</v>
      </c>
      <c r="K496" s="16">
        <v>234000</v>
      </c>
      <c r="L496" s="16">
        <v>169226.53</v>
      </c>
      <c r="M496" s="16">
        <v>64773.47</v>
      </c>
      <c r="N496" t="s">
        <v>125</v>
      </c>
      <c r="O496" t="s">
        <v>113</v>
      </c>
      <c r="P496" t="str">
        <f t="shared" si="7"/>
        <v>Hyderabad|Air Purifier</v>
      </c>
    </row>
    <row r="497" spans="1:16" x14ac:dyDescent="0.3">
      <c r="A497" s="15">
        <v>46221</v>
      </c>
      <c r="B497" t="s">
        <v>34</v>
      </c>
      <c r="C497" t="s">
        <v>126</v>
      </c>
      <c r="D497" t="s">
        <v>127</v>
      </c>
      <c r="E497" t="s">
        <v>143</v>
      </c>
      <c r="F497" t="s">
        <v>97</v>
      </c>
      <c r="G497" t="s">
        <v>88</v>
      </c>
      <c r="H497" t="s">
        <v>117</v>
      </c>
      <c r="I497" t="s">
        <v>237</v>
      </c>
      <c r="J497">
        <v>12</v>
      </c>
      <c r="K497" s="16">
        <v>165300</v>
      </c>
      <c r="L497" s="16">
        <v>120779.99</v>
      </c>
      <c r="M497" s="16">
        <v>44520.01</v>
      </c>
      <c r="N497" t="s">
        <v>131</v>
      </c>
      <c r="O497" t="s">
        <v>119</v>
      </c>
      <c r="P497" t="str">
        <f t="shared" si="7"/>
        <v>Faridabad|Vacuum Cleaner</v>
      </c>
    </row>
    <row r="498" spans="1:16" x14ac:dyDescent="0.3">
      <c r="A498" s="15">
        <v>46097</v>
      </c>
      <c r="B498" t="s">
        <v>34</v>
      </c>
      <c r="C498" t="s">
        <v>152</v>
      </c>
      <c r="D498" t="s">
        <v>187</v>
      </c>
      <c r="E498" t="s">
        <v>199</v>
      </c>
      <c r="F498" t="s">
        <v>95</v>
      </c>
      <c r="G498" t="s">
        <v>76</v>
      </c>
      <c r="H498" t="s">
        <v>173</v>
      </c>
      <c r="I498" t="s">
        <v>372</v>
      </c>
      <c r="J498">
        <v>18</v>
      </c>
      <c r="K498" s="16">
        <v>30780</v>
      </c>
      <c r="L498" s="16">
        <v>19505.5</v>
      </c>
      <c r="M498" s="16">
        <v>11274.5</v>
      </c>
      <c r="N498" t="s">
        <v>125</v>
      </c>
      <c r="O498" t="s">
        <v>113</v>
      </c>
      <c r="P498" t="str">
        <f t="shared" si="7"/>
        <v>Hyderabad|Mouse</v>
      </c>
    </row>
    <row r="499" spans="1:16" x14ac:dyDescent="0.3">
      <c r="A499" s="15">
        <v>46210</v>
      </c>
      <c r="B499" t="s">
        <v>34</v>
      </c>
      <c r="C499" t="s">
        <v>121</v>
      </c>
      <c r="D499" t="s">
        <v>137</v>
      </c>
      <c r="E499" t="s">
        <v>138</v>
      </c>
      <c r="F499" t="s">
        <v>97</v>
      </c>
      <c r="G499" t="s">
        <v>85</v>
      </c>
      <c r="H499" t="s">
        <v>184</v>
      </c>
      <c r="I499" t="s">
        <v>326</v>
      </c>
      <c r="J499">
        <v>11</v>
      </c>
      <c r="K499" s="16">
        <v>192060</v>
      </c>
      <c r="L499" s="16">
        <v>141390.14000000001</v>
      </c>
      <c r="M499" s="16">
        <v>50669.86</v>
      </c>
      <c r="N499" t="s">
        <v>131</v>
      </c>
      <c r="O499" t="s">
        <v>113</v>
      </c>
      <c r="P499" t="str">
        <f t="shared" si="7"/>
        <v>Cuttack|Air Purifier</v>
      </c>
    </row>
    <row r="500" spans="1:16" x14ac:dyDescent="0.3">
      <c r="A500" s="15">
        <v>46263</v>
      </c>
      <c r="B500" t="s">
        <v>34</v>
      </c>
      <c r="C500" t="s">
        <v>126</v>
      </c>
      <c r="D500" t="s">
        <v>127</v>
      </c>
      <c r="E500" t="s">
        <v>128</v>
      </c>
      <c r="F500" t="s">
        <v>95</v>
      </c>
      <c r="G500" t="s">
        <v>72</v>
      </c>
      <c r="H500" t="s">
        <v>133</v>
      </c>
      <c r="I500" t="s">
        <v>134</v>
      </c>
      <c r="J500">
        <v>8</v>
      </c>
      <c r="K500" s="16">
        <v>25600</v>
      </c>
      <c r="L500" s="16">
        <v>18087.78</v>
      </c>
      <c r="M500" s="16">
        <v>7512.22</v>
      </c>
      <c r="N500" t="s">
        <v>141</v>
      </c>
      <c r="O500" t="s">
        <v>113</v>
      </c>
      <c r="P500" t="str">
        <f t="shared" si="7"/>
        <v>Gurugram|Keyboard</v>
      </c>
    </row>
    <row r="501" spans="1:16" x14ac:dyDescent="0.3">
      <c r="A501" s="15">
        <v>46166</v>
      </c>
      <c r="B501" t="s">
        <v>120</v>
      </c>
      <c r="C501" t="s">
        <v>126</v>
      </c>
      <c r="D501" t="s">
        <v>196</v>
      </c>
      <c r="E501" t="s">
        <v>208</v>
      </c>
      <c r="F501" t="s">
        <v>95</v>
      </c>
      <c r="G501" t="s">
        <v>72</v>
      </c>
      <c r="H501" t="s">
        <v>117</v>
      </c>
      <c r="I501" t="s">
        <v>373</v>
      </c>
      <c r="J501">
        <v>6</v>
      </c>
      <c r="K501" s="16">
        <v>19200</v>
      </c>
      <c r="L501" s="16">
        <v>14908.63</v>
      </c>
      <c r="M501" s="16">
        <v>4291.37</v>
      </c>
      <c r="N501" t="s">
        <v>125</v>
      </c>
      <c r="O501" t="s">
        <v>113</v>
      </c>
      <c r="P501" t="str">
        <f t="shared" si="7"/>
        <v>New Delhi|Keyboard</v>
      </c>
    </row>
    <row r="502" spans="1:16" x14ac:dyDescent="0.3">
      <c r="A502" s="15">
        <v>46085</v>
      </c>
      <c r="B502" t="s">
        <v>34</v>
      </c>
      <c r="C502" t="s">
        <v>107</v>
      </c>
      <c r="D502" t="s">
        <v>149</v>
      </c>
      <c r="E502" t="s">
        <v>150</v>
      </c>
      <c r="F502" t="s">
        <v>95</v>
      </c>
      <c r="G502" t="s">
        <v>72</v>
      </c>
      <c r="H502" t="s">
        <v>184</v>
      </c>
      <c r="I502" t="s">
        <v>330</v>
      </c>
      <c r="J502">
        <v>11</v>
      </c>
      <c r="K502" s="16">
        <v>30976</v>
      </c>
      <c r="L502" s="16">
        <v>19866.84</v>
      </c>
      <c r="M502" s="16">
        <v>11109.16</v>
      </c>
      <c r="N502" t="s">
        <v>112</v>
      </c>
      <c r="O502" t="s">
        <v>119</v>
      </c>
      <c r="P502" t="str">
        <f t="shared" si="7"/>
        <v>Mumbai|Keyboard</v>
      </c>
    </row>
    <row r="503" spans="1:16" x14ac:dyDescent="0.3">
      <c r="A503" s="15">
        <v>46092</v>
      </c>
      <c r="B503" t="s">
        <v>114</v>
      </c>
      <c r="C503" t="s">
        <v>121</v>
      </c>
      <c r="D503" t="s">
        <v>122</v>
      </c>
      <c r="E503" t="s">
        <v>166</v>
      </c>
      <c r="F503" t="s">
        <v>96</v>
      </c>
      <c r="G503" t="s">
        <v>80</v>
      </c>
      <c r="H503" t="s">
        <v>129</v>
      </c>
      <c r="I503" t="s">
        <v>374</v>
      </c>
      <c r="J503">
        <v>13</v>
      </c>
      <c r="K503" s="16">
        <v>157625</v>
      </c>
      <c r="L503" s="16">
        <v>124101.17</v>
      </c>
      <c r="M503" s="16">
        <v>33523.83</v>
      </c>
      <c r="N503" t="s">
        <v>131</v>
      </c>
      <c r="O503" t="s">
        <v>113</v>
      </c>
      <c r="P503" t="str">
        <f t="shared" si="7"/>
        <v>Kolkata|Office Chair</v>
      </c>
    </row>
    <row r="504" spans="1:16" x14ac:dyDescent="0.3">
      <c r="A504" s="15">
        <v>46205</v>
      </c>
      <c r="B504" t="s">
        <v>34</v>
      </c>
      <c r="C504" t="s">
        <v>152</v>
      </c>
      <c r="D504" t="s">
        <v>153</v>
      </c>
      <c r="E504" t="s">
        <v>169</v>
      </c>
      <c r="F504" t="s">
        <v>94</v>
      </c>
      <c r="G504" t="s">
        <v>67</v>
      </c>
      <c r="H504" t="s">
        <v>184</v>
      </c>
      <c r="I504" t="s">
        <v>321</v>
      </c>
      <c r="J504">
        <v>16</v>
      </c>
      <c r="K504" s="16">
        <v>501600</v>
      </c>
      <c r="L504" s="16">
        <v>323344.34000000003</v>
      </c>
      <c r="M504" s="16">
        <v>178255.66</v>
      </c>
      <c r="N504" t="s">
        <v>112</v>
      </c>
      <c r="O504" t="s">
        <v>113</v>
      </c>
      <c r="P504" t="str">
        <f t="shared" si="7"/>
        <v>Chennai|Tablet X</v>
      </c>
    </row>
    <row r="505" spans="1:16" x14ac:dyDescent="0.3">
      <c r="A505" s="15">
        <v>46031</v>
      </c>
      <c r="B505" t="s">
        <v>114</v>
      </c>
      <c r="C505" t="s">
        <v>126</v>
      </c>
      <c r="D505" t="s">
        <v>196</v>
      </c>
      <c r="E505" t="s">
        <v>197</v>
      </c>
      <c r="F505" t="s">
        <v>95</v>
      </c>
      <c r="G505" t="s">
        <v>78</v>
      </c>
      <c r="H505" t="s">
        <v>139</v>
      </c>
      <c r="I505" t="s">
        <v>207</v>
      </c>
      <c r="J505">
        <v>5</v>
      </c>
      <c r="K505" s="16">
        <v>18480</v>
      </c>
      <c r="L505" s="16">
        <v>11511.74</v>
      </c>
      <c r="M505" s="16">
        <v>6968.26</v>
      </c>
      <c r="N505" t="s">
        <v>112</v>
      </c>
      <c r="O505" t="s">
        <v>113</v>
      </c>
      <c r="P505" t="str">
        <f t="shared" si="7"/>
        <v>Dwarka|Webcam</v>
      </c>
    </row>
    <row r="506" spans="1:16" x14ac:dyDescent="0.3">
      <c r="A506" s="15">
        <v>46118</v>
      </c>
      <c r="B506" t="s">
        <v>34</v>
      </c>
      <c r="C506" t="s">
        <v>107</v>
      </c>
      <c r="D506" t="s">
        <v>149</v>
      </c>
      <c r="E506" t="s">
        <v>159</v>
      </c>
      <c r="F506" t="s">
        <v>96</v>
      </c>
      <c r="G506" t="s">
        <v>83</v>
      </c>
      <c r="H506" t="s">
        <v>117</v>
      </c>
      <c r="I506" t="s">
        <v>343</v>
      </c>
      <c r="J506">
        <v>3</v>
      </c>
      <c r="K506" s="16">
        <v>102600</v>
      </c>
      <c r="L506" s="16">
        <v>71293.84</v>
      </c>
      <c r="M506" s="16">
        <v>31306.16</v>
      </c>
      <c r="N506" t="s">
        <v>125</v>
      </c>
      <c r="O506" t="s">
        <v>119</v>
      </c>
      <c r="P506" t="str">
        <f t="shared" si="7"/>
        <v>Pune|Meeting Table</v>
      </c>
    </row>
    <row r="507" spans="1:16" x14ac:dyDescent="0.3">
      <c r="A507" s="15">
        <v>46193</v>
      </c>
      <c r="B507" t="s">
        <v>114</v>
      </c>
      <c r="C507" t="s">
        <v>126</v>
      </c>
      <c r="D507" t="s">
        <v>127</v>
      </c>
      <c r="E507" t="s">
        <v>143</v>
      </c>
      <c r="F507" t="s">
        <v>95</v>
      </c>
      <c r="G507" t="s">
        <v>72</v>
      </c>
      <c r="H507" t="s">
        <v>110</v>
      </c>
      <c r="I507" t="s">
        <v>237</v>
      </c>
      <c r="J507">
        <v>11</v>
      </c>
      <c r="K507" s="16">
        <v>35200</v>
      </c>
      <c r="L507" s="16">
        <v>26644.21</v>
      </c>
      <c r="M507" s="16">
        <v>8555.7900000000009</v>
      </c>
      <c r="N507" t="s">
        <v>141</v>
      </c>
      <c r="O507" t="s">
        <v>119</v>
      </c>
      <c r="P507" t="str">
        <f t="shared" si="7"/>
        <v>Faridabad|Keyboard</v>
      </c>
    </row>
    <row r="508" spans="1:16" x14ac:dyDescent="0.3">
      <c r="A508" s="15">
        <v>46182</v>
      </c>
      <c r="B508" t="s">
        <v>34</v>
      </c>
      <c r="C508" t="s">
        <v>126</v>
      </c>
      <c r="D508" t="s">
        <v>196</v>
      </c>
      <c r="E508" t="s">
        <v>208</v>
      </c>
      <c r="F508" t="s">
        <v>96</v>
      </c>
      <c r="G508" t="s">
        <v>83</v>
      </c>
      <c r="H508" t="s">
        <v>139</v>
      </c>
      <c r="I508" t="s">
        <v>260</v>
      </c>
      <c r="J508">
        <v>3</v>
      </c>
      <c r="K508" s="16">
        <v>95040</v>
      </c>
      <c r="L508" s="16">
        <v>65326.45</v>
      </c>
      <c r="M508" s="16">
        <v>29713.55</v>
      </c>
      <c r="N508" t="s">
        <v>131</v>
      </c>
      <c r="O508" t="s">
        <v>113</v>
      </c>
      <c r="P508" t="str">
        <f t="shared" si="7"/>
        <v>New Delhi|Meeting Table</v>
      </c>
    </row>
    <row r="509" spans="1:16" x14ac:dyDescent="0.3">
      <c r="A509" s="15">
        <v>46041</v>
      </c>
      <c r="B509" t="s">
        <v>120</v>
      </c>
      <c r="C509" t="s">
        <v>121</v>
      </c>
      <c r="D509" t="s">
        <v>137</v>
      </c>
      <c r="E509" t="s">
        <v>171</v>
      </c>
      <c r="F509" t="s">
        <v>97</v>
      </c>
      <c r="G509" t="s">
        <v>88</v>
      </c>
      <c r="H509" t="s">
        <v>129</v>
      </c>
      <c r="I509" t="s">
        <v>279</v>
      </c>
      <c r="J509">
        <v>12</v>
      </c>
      <c r="K509" s="16">
        <v>153120</v>
      </c>
      <c r="L509" s="16">
        <v>123353.32</v>
      </c>
      <c r="M509" s="16">
        <v>29766.68</v>
      </c>
      <c r="N509" t="s">
        <v>141</v>
      </c>
      <c r="O509" t="s">
        <v>119</v>
      </c>
      <c r="P509" t="str">
        <f t="shared" si="7"/>
        <v>Bhubaneswar|Vacuum Cleaner</v>
      </c>
    </row>
    <row r="510" spans="1:16" x14ac:dyDescent="0.3">
      <c r="A510" s="15">
        <v>46121</v>
      </c>
      <c r="B510" t="s">
        <v>120</v>
      </c>
      <c r="C510" t="s">
        <v>107</v>
      </c>
      <c r="D510" t="s">
        <v>149</v>
      </c>
      <c r="E510" t="s">
        <v>159</v>
      </c>
      <c r="F510" t="s">
        <v>95</v>
      </c>
      <c r="G510" t="s">
        <v>78</v>
      </c>
      <c r="H510" t="s">
        <v>184</v>
      </c>
      <c r="I510" t="s">
        <v>269</v>
      </c>
      <c r="J510">
        <v>10</v>
      </c>
      <c r="K510" s="16">
        <v>36960</v>
      </c>
      <c r="L510" s="16">
        <v>25092.21</v>
      </c>
      <c r="M510" s="16">
        <v>11867.79</v>
      </c>
      <c r="N510" t="s">
        <v>125</v>
      </c>
      <c r="O510" t="s">
        <v>119</v>
      </c>
      <c r="P510" t="str">
        <f t="shared" si="7"/>
        <v>Pune|Webcam</v>
      </c>
    </row>
    <row r="511" spans="1:16" x14ac:dyDescent="0.3">
      <c r="A511" s="15">
        <v>46023</v>
      </c>
      <c r="B511" t="s">
        <v>114</v>
      </c>
      <c r="C511" t="s">
        <v>107</v>
      </c>
      <c r="D511" t="s">
        <v>149</v>
      </c>
      <c r="E511" t="s">
        <v>159</v>
      </c>
      <c r="F511" t="s">
        <v>95</v>
      </c>
      <c r="G511" t="s">
        <v>72</v>
      </c>
      <c r="H511" t="s">
        <v>110</v>
      </c>
      <c r="I511" t="s">
        <v>335</v>
      </c>
      <c r="J511">
        <v>5</v>
      </c>
      <c r="K511" s="16">
        <v>16000</v>
      </c>
      <c r="L511" s="16">
        <v>10034.09</v>
      </c>
      <c r="M511" s="16">
        <v>5965.91</v>
      </c>
      <c r="N511" t="s">
        <v>125</v>
      </c>
      <c r="O511" t="s">
        <v>113</v>
      </c>
      <c r="P511" t="str">
        <f t="shared" si="7"/>
        <v>Pune|Keyboard</v>
      </c>
    </row>
    <row r="512" spans="1:16" x14ac:dyDescent="0.3">
      <c r="A512" s="15">
        <v>46030</v>
      </c>
      <c r="B512" t="s">
        <v>120</v>
      </c>
      <c r="C512" t="s">
        <v>107</v>
      </c>
      <c r="D512" t="s">
        <v>149</v>
      </c>
      <c r="E512" t="s">
        <v>150</v>
      </c>
      <c r="F512" t="s">
        <v>97</v>
      </c>
      <c r="G512" t="s">
        <v>88</v>
      </c>
      <c r="H512" t="s">
        <v>135</v>
      </c>
      <c r="I512" t="s">
        <v>351</v>
      </c>
      <c r="J512">
        <v>6</v>
      </c>
      <c r="K512" s="16">
        <v>87000</v>
      </c>
      <c r="L512" s="16">
        <v>60269.31</v>
      </c>
      <c r="M512" s="16">
        <v>26730.69</v>
      </c>
      <c r="N512" t="s">
        <v>131</v>
      </c>
      <c r="O512" t="s">
        <v>113</v>
      </c>
      <c r="P512" t="str">
        <f t="shared" si="7"/>
        <v>Mumbai|Vacuum Cleaner</v>
      </c>
    </row>
    <row r="513" spans="1:16" x14ac:dyDescent="0.3">
      <c r="A513" s="15">
        <v>46160</v>
      </c>
      <c r="B513" t="s">
        <v>34</v>
      </c>
      <c r="C513" t="s">
        <v>107</v>
      </c>
      <c r="D513" t="s">
        <v>108</v>
      </c>
      <c r="E513" t="s">
        <v>109</v>
      </c>
      <c r="F513" t="s">
        <v>95</v>
      </c>
      <c r="G513" t="s">
        <v>74</v>
      </c>
      <c r="H513" t="s">
        <v>133</v>
      </c>
      <c r="I513" t="s">
        <v>216</v>
      </c>
      <c r="J513">
        <v>4</v>
      </c>
      <c r="K513" s="16">
        <v>19200</v>
      </c>
      <c r="L513" s="16">
        <v>13881.13</v>
      </c>
      <c r="M513" s="16">
        <v>5318.87</v>
      </c>
      <c r="N513" t="s">
        <v>112</v>
      </c>
      <c r="O513" t="s">
        <v>113</v>
      </c>
      <c r="P513" t="str">
        <f t="shared" si="7"/>
        <v>Udaipur|Headset</v>
      </c>
    </row>
    <row r="514" spans="1:16" x14ac:dyDescent="0.3">
      <c r="A514" s="15">
        <v>46027</v>
      </c>
      <c r="B514" t="s">
        <v>34</v>
      </c>
      <c r="C514" t="s">
        <v>121</v>
      </c>
      <c r="D514" t="s">
        <v>122</v>
      </c>
      <c r="E514" t="s">
        <v>123</v>
      </c>
      <c r="F514" t="s">
        <v>97</v>
      </c>
      <c r="G514" t="s">
        <v>87</v>
      </c>
      <c r="H514" t="s">
        <v>133</v>
      </c>
      <c r="I514" t="s">
        <v>307</v>
      </c>
      <c r="J514">
        <v>4</v>
      </c>
      <c r="K514" s="16">
        <v>47500</v>
      </c>
      <c r="L514" s="16">
        <v>37921.599999999999</v>
      </c>
      <c r="M514" s="16">
        <v>9578.4</v>
      </c>
      <c r="N514" t="s">
        <v>131</v>
      </c>
      <c r="O514" t="s">
        <v>113</v>
      </c>
      <c r="P514" t="str">
        <f t="shared" si="7"/>
        <v>Durgapur|Microwave</v>
      </c>
    </row>
    <row r="515" spans="1:16" x14ac:dyDescent="0.3">
      <c r="A515" s="15">
        <v>46062</v>
      </c>
      <c r="B515" t="s">
        <v>120</v>
      </c>
      <c r="C515" t="s">
        <v>107</v>
      </c>
      <c r="D515" t="s">
        <v>115</v>
      </c>
      <c r="E515" t="s">
        <v>116</v>
      </c>
      <c r="F515" t="s">
        <v>97</v>
      </c>
      <c r="G515" t="s">
        <v>88</v>
      </c>
      <c r="H515" t="s">
        <v>129</v>
      </c>
      <c r="I515" t="s">
        <v>375</v>
      </c>
      <c r="J515">
        <v>7</v>
      </c>
      <c r="K515" s="16">
        <v>96425</v>
      </c>
      <c r="L515" s="16">
        <v>76960.570000000007</v>
      </c>
      <c r="M515" s="16">
        <v>19464.43</v>
      </c>
      <c r="N515" t="s">
        <v>112</v>
      </c>
      <c r="O515" t="s">
        <v>113</v>
      </c>
      <c r="P515" t="str">
        <f t="shared" si="7"/>
        <v>Ahmedabad|Vacuum Cleaner</v>
      </c>
    </row>
    <row r="516" spans="1:16" x14ac:dyDescent="0.3">
      <c r="A516" s="15">
        <v>46148</v>
      </c>
      <c r="B516" t="s">
        <v>120</v>
      </c>
      <c r="C516" t="s">
        <v>107</v>
      </c>
      <c r="D516" t="s">
        <v>115</v>
      </c>
      <c r="E516" t="s">
        <v>191</v>
      </c>
      <c r="F516" t="s">
        <v>95</v>
      </c>
      <c r="G516" t="s">
        <v>76</v>
      </c>
      <c r="H516" t="s">
        <v>135</v>
      </c>
      <c r="I516" t="s">
        <v>376</v>
      </c>
      <c r="J516">
        <v>7</v>
      </c>
      <c r="K516" s="16">
        <v>11970</v>
      </c>
      <c r="L516" s="16">
        <v>9076.48</v>
      </c>
      <c r="M516" s="16">
        <v>2893.52</v>
      </c>
      <c r="N516" t="s">
        <v>141</v>
      </c>
      <c r="O516" t="s">
        <v>119</v>
      </c>
      <c r="P516" t="str">
        <f t="shared" si="7"/>
        <v>Surat|Mouse</v>
      </c>
    </row>
    <row r="517" spans="1:16" x14ac:dyDescent="0.3">
      <c r="A517" s="15">
        <v>46095</v>
      </c>
      <c r="B517" t="s">
        <v>34</v>
      </c>
      <c r="C517" t="s">
        <v>152</v>
      </c>
      <c r="D517" t="s">
        <v>153</v>
      </c>
      <c r="E517" t="s">
        <v>154</v>
      </c>
      <c r="F517" t="s">
        <v>95</v>
      </c>
      <c r="G517" t="s">
        <v>74</v>
      </c>
      <c r="H517" t="s">
        <v>139</v>
      </c>
      <c r="I517" t="s">
        <v>155</v>
      </c>
      <c r="J517">
        <v>2</v>
      </c>
      <c r="K517" s="16">
        <v>9120</v>
      </c>
      <c r="L517" s="16">
        <v>6269.43</v>
      </c>
      <c r="M517" s="16">
        <v>2850.57</v>
      </c>
      <c r="N517" t="s">
        <v>112</v>
      </c>
      <c r="O517" t="s">
        <v>119</v>
      </c>
      <c r="P517" t="str">
        <f t="shared" ref="P517:P580" si="8">E517&amp;"|"&amp;G517</f>
        <v>Coimbatore|Headset</v>
      </c>
    </row>
    <row r="518" spans="1:16" x14ac:dyDescent="0.3">
      <c r="A518" s="15">
        <v>46185</v>
      </c>
      <c r="B518" t="s">
        <v>34</v>
      </c>
      <c r="C518" t="s">
        <v>107</v>
      </c>
      <c r="D518" t="s">
        <v>108</v>
      </c>
      <c r="E518" t="s">
        <v>109</v>
      </c>
      <c r="F518" t="s">
        <v>96</v>
      </c>
      <c r="G518" t="s">
        <v>80</v>
      </c>
      <c r="H518" t="s">
        <v>110</v>
      </c>
      <c r="I518" t="s">
        <v>254</v>
      </c>
      <c r="J518">
        <v>14</v>
      </c>
      <c r="K518" s="16">
        <v>175000</v>
      </c>
      <c r="L518" s="16">
        <v>138665.04</v>
      </c>
      <c r="M518" s="16">
        <v>36334.959999999999</v>
      </c>
      <c r="N518" t="s">
        <v>112</v>
      </c>
      <c r="O518" t="s">
        <v>113</v>
      </c>
      <c r="P518" t="str">
        <f t="shared" si="8"/>
        <v>Udaipur|Office Chair</v>
      </c>
    </row>
    <row r="519" spans="1:16" x14ac:dyDescent="0.3">
      <c r="A519" s="15">
        <v>46234</v>
      </c>
      <c r="B519" t="s">
        <v>34</v>
      </c>
      <c r="C519" t="s">
        <v>121</v>
      </c>
      <c r="D519" t="s">
        <v>146</v>
      </c>
      <c r="E519" t="s">
        <v>147</v>
      </c>
      <c r="F519" t="s">
        <v>97</v>
      </c>
      <c r="G519" t="s">
        <v>87</v>
      </c>
      <c r="H519" t="s">
        <v>117</v>
      </c>
      <c r="I519" t="s">
        <v>250</v>
      </c>
      <c r="J519">
        <v>14</v>
      </c>
      <c r="K519" s="16">
        <v>169750</v>
      </c>
      <c r="L519" s="16">
        <v>108554.75</v>
      </c>
      <c r="M519" s="16">
        <v>61195.25</v>
      </c>
      <c r="N519" t="s">
        <v>131</v>
      </c>
      <c r="O519" t="s">
        <v>142</v>
      </c>
      <c r="P519" t="str">
        <f t="shared" si="8"/>
        <v>Guwahati|Microwave</v>
      </c>
    </row>
    <row r="520" spans="1:16" x14ac:dyDescent="0.3">
      <c r="A520" s="15">
        <v>46105</v>
      </c>
      <c r="B520" t="s">
        <v>34</v>
      </c>
      <c r="C520" t="s">
        <v>126</v>
      </c>
      <c r="D520" t="s">
        <v>127</v>
      </c>
      <c r="E520" t="s">
        <v>143</v>
      </c>
      <c r="F520" t="s">
        <v>96</v>
      </c>
      <c r="G520" t="s">
        <v>80</v>
      </c>
      <c r="H520" t="s">
        <v>184</v>
      </c>
      <c r="I520" t="s">
        <v>377</v>
      </c>
      <c r="J520">
        <v>1</v>
      </c>
      <c r="K520" s="16">
        <v>11875</v>
      </c>
      <c r="L520" s="16">
        <v>8932.7999999999993</v>
      </c>
      <c r="M520" s="16">
        <v>2942.2</v>
      </c>
      <c r="N520" t="s">
        <v>141</v>
      </c>
      <c r="O520" t="s">
        <v>113</v>
      </c>
      <c r="P520" t="str">
        <f t="shared" si="8"/>
        <v>Faridabad|Office Chair</v>
      </c>
    </row>
    <row r="521" spans="1:16" x14ac:dyDescent="0.3">
      <c r="A521" s="15">
        <v>46223</v>
      </c>
      <c r="B521" t="s">
        <v>34</v>
      </c>
      <c r="C521" t="s">
        <v>107</v>
      </c>
      <c r="D521" t="s">
        <v>149</v>
      </c>
      <c r="E521" t="s">
        <v>159</v>
      </c>
      <c r="F521" t="s">
        <v>95</v>
      </c>
      <c r="G521" t="s">
        <v>78</v>
      </c>
      <c r="H521" t="s">
        <v>117</v>
      </c>
      <c r="I521" t="s">
        <v>111</v>
      </c>
      <c r="J521">
        <v>9</v>
      </c>
      <c r="K521" s="16">
        <v>36666</v>
      </c>
      <c r="L521" s="16">
        <v>28760.240000000002</v>
      </c>
      <c r="M521" s="16">
        <v>7905.76</v>
      </c>
      <c r="N521" t="s">
        <v>125</v>
      </c>
      <c r="O521" t="s">
        <v>142</v>
      </c>
      <c r="P521" t="str">
        <f t="shared" si="8"/>
        <v>Pune|Webcam</v>
      </c>
    </row>
    <row r="522" spans="1:16" x14ac:dyDescent="0.3">
      <c r="A522" s="15">
        <v>46038</v>
      </c>
      <c r="B522" t="s">
        <v>120</v>
      </c>
      <c r="C522" t="s">
        <v>152</v>
      </c>
      <c r="D522" t="s">
        <v>187</v>
      </c>
      <c r="E522" t="s">
        <v>199</v>
      </c>
      <c r="F522" t="s">
        <v>96</v>
      </c>
      <c r="G522" t="s">
        <v>80</v>
      </c>
      <c r="H522" t="s">
        <v>173</v>
      </c>
      <c r="I522" t="s">
        <v>378</v>
      </c>
      <c r="J522">
        <v>16</v>
      </c>
      <c r="K522" s="16">
        <v>200000</v>
      </c>
      <c r="L522" s="16">
        <v>140829.01999999999</v>
      </c>
      <c r="M522" s="16">
        <v>59170.98</v>
      </c>
      <c r="N522" t="s">
        <v>125</v>
      </c>
      <c r="O522" t="s">
        <v>113</v>
      </c>
      <c r="P522" t="str">
        <f t="shared" si="8"/>
        <v>Hyderabad|Office Chair</v>
      </c>
    </row>
    <row r="523" spans="1:16" x14ac:dyDescent="0.3">
      <c r="A523" s="15">
        <v>46138</v>
      </c>
      <c r="B523" t="s">
        <v>34</v>
      </c>
      <c r="C523" t="s">
        <v>152</v>
      </c>
      <c r="D523" t="s">
        <v>187</v>
      </c>
      <c r="E523" t="s">
        <v>188</v>
      </c>
      <c r="F523" t="s">
        <v>97</v>
      </c>
      <c r="G523" t="s">
        <v>86</v>
      </c>
      <c r="H523" t="s">
        <v>184</v>
      </c>
      <c r="I523" t="s">
        <v>311</v>
      </c>
      <c r="J523">
        <v>19</v>
      </c>
      <c r="K523" s="16">
        <v>108680</v>
      </c>
      <c r="L523" s="16">
        <v>83024.53</v>
      </c>
      <c r="M523" s="16">
        <v>25655.47</v>
      </c>
      <c r="N523" t="s">
        <v>141</v>
      </c>
      <c r="O523" t="s">
        <v>113</v>
      </c>
      <c r="P523" t="str">
        <f t="shared" si="8"/>
        <v>Warangal|Coffee Maker</v>
      </c>
    </row>
    <row r="524" spans="1:16" x14ac:dyDescent="0.3">
      <c r="A524" s="15">
        <v>46169</v>
      </c>
      <c r="B524" t="s">
        <v>114</v>
      </c>
      <c r="C524" t="s">
        <v>152</v>
      </c>
      <c r="D524" t="s">
        <v>153</v>
      </c>
      <c r="E524" t="s">
        <v>169</v>
      </c>
      <c r="F524" t="s">
        <v>97</v>
      </c>
      <c r="G524" t="s">
        <v>86</v>
      </c>
      <c r="H524" t="s">
        <v>184</v>
      </c>
      <c r="I524" t="s">
        <v>339</v>
      </c>
      <c r="J524">
        <v>8</v>
      </c>
      <c r="K524" s="16">
        <v>52000</v>
      </c>
      <c r="L524" s="16">
        <v>38704.5</v>
      </c>
      <c r="M524" s="16">
        <v>13295.5</v>
      </c>
      <c r="N524" t="s">
        <v>131</v>
      </c>
      <c r="O524" t="s">
        <v>113</v>
      </c>
      <c r="P524" t="str">
        <f t="shared" si="8"/>
        <v>Chennai|Coffee Maker</v>
      </c>
    </row>
    <row r="525" spans="1:16" x14ac:dyDescent="0.3">
      <c r="A525" s="15">
        <v>46097</v>
      </c>
      <c r="B525" t="s">
        <v>34</v>
      </c>
      <c r="C525" t="s">
        <v>152</v>
      </c>
      <c r="D525" t="s">
        <v>187</v>
      </c>
      <c r="E525" t="s">
        <v>188</v>
      </c>
      <c r="F525" t="s">
        <v>97</v>
      </c>
      <c r="G525" t="s">
        <v>87</v>
      </c>
      <c r="H525" t="s">
        <v>135</v>
      </c>
      <c r="I525" t="s">
        <v>177</v>
      </c>
      <c r="J525">
        <v>4</v>
      </c>
      <c r="K525" s="16">
        <v>44000</v>
      </c>
      <c r="L525" s="16">
        <v>28601.1</v>
      </c>
      <c r="M525" s="16">
        <v>15398.9</v>
      </c>
      <c r="N525" t="s">
        <v>131</v>
      </c>
      <c r="O525" t="s">
        <v>113</v>
      </c>
      <c r="P525" t="str">
        <f t="shared" si="8"/>
        <v>Warangal|Microwave</v>
      </c>
    </row>
    <row r="526" spans="1:16" x14ac:dyDescent="0.3">
      <c r="A526" s="15">
        <v>46051</v>
      </c>
      <c r="B526" t="s">
        <v>34</v>
      </c>
      <c r="C526" t="s">
        <v>152</v>
      </c>
      <c r="D526" t="s">
        <v>156</v>
      </c>
      <c r="E526" t="s">
        <v>157</v>
      </c>
      <c r="F526" t="s">
        <v>94</v>
      </c>
      <c r="G526" t="s">
        <v>64</v>
      </c>
      <c r="H526" t="s">
        <v>110</v>
      </c>
      <c r="I526" t="s">
        <v>200</v>
      </c>
      <c r="J526">
        <v>19</v>
      </c>
      <c r="K526" s="16">
        <v>351120</v>
      </c>
      <c r="L526" s="16">
        <v>237718.21</v>
      </c>
      <c r="M526" s="16">
        <v>113401.79</v>
      </c>
      <c r="N526" t="s">
        <v>131</v>
      </c>
      <c r="O526" t="s">
        <v>113</v>
      </c>
      <c r="P526" t="str">
        <f t="shared" si="8"/>
        <v>Mysuru|Monitor 27</v>
      </c>
    </row>
    <row r="527" spans="1:16" x14ac:dyDescent="0.3">
      <c r="A527" s="15">
        <v>46220</v>
      </c>
      <c r="B527" t="s">
        <v>34</v>
      </c>
      <c r="C527" t="s">
        <v>126</v>
      </c>
      <c r="D527" t="s">
        <v>162</v>
      </c>
      <c r="E527" t="s">
        <v>163</v>
      </c>
      <c r="F527" t="s">
        <v>95</v>
      </c>
      <c r="G527" t="s">
        <v>76</v>
      </c>
      <c r="H527" t="s">
        <v>129</v>
      </c>
      <c r="I527" t="s">
        <v>338</v>
      </c>
      <c r="J527">
        <v>11</v>
      </c>
      <c r="K527" s="16">
        <v>17424</v>
      </c>
      <c r="L527" s="16">
        <v>13986.3</v>
      </c>
      <c r="M527" s="16">
        <v>3437.7</v>
      </c>
      <c r="N527" t="s">
        <v>141</v>
      </c>
      <c r="O527" t="s">
        <v>113</v>
      </c>
      <c r="P527" t="str">
        <f t="shared" si="8"/>
        <v>Lucknow|Mouse</v>
      </c>
    </row>
    <row r="528" spans="1:16" x14ac:dyDescent="0.3">
      <c r="A528" s="15">
        <v>46122</v>
      </c>
      <c r="B528" t="s">
        <v>114</v>
      </c>
      <c r="C528" t="s">
        <v>126</v>
      </c>
      <c r="D528" t="s">
        <v>196</v>
      </c>
      <c r="E528" t="s">
        <v>197</v>
      </c>
      <c r="F528" t="s">
        <v>96</v>
      </c>
      <c r="G528" t="s">
        <v>80</v>
      </c>
      <c r="H528" t="s">
        <v>135</v>
      </c>
      <c r="I528" t="s">
        <v>205</v>
      </c>
      <c r="J528">
        <v>1</v>
      </c>
      <c r="K528" s="16">
        <v>11000</v>
      </c>
      <c r="L528" s="16">
        <v>7870.36</v>
      </c>
      <c r="M528" s="16">
        <v>3129.64</v>
      </c>
      <c r="N528" t="s">
        <v>112</v>
      </c>
      <c r="O528" t="s">
        <v>113</v>
      </c>
      <c r="P528" t="str">
        <f t="shared" si="8"/>
        <v>Dwarka|Office Chair</v>
      </c>
    </row>
    <row r="529" spans="1:16" x14ac:dyDescent="0.3">
      <c r="A529" s="15">
        <v>46194</v>
      </c>
      <c r="B529" t="s">
        <v>34</v>
      </c>
      <c r="C529" t="s">
        <v>121</v>
      </c>
      <c r="D529" t="s">
        <v>146</v>
      </c>
      <c r="E529" t="s">
        <v>175</v>
      </c>
      <c r="F529" t="s">
        <v>95</v>
      </c>
      <c r="G529" t="s">
        <v>78</v>
      </c>
      <c r="H529" t="s">
        <v>117</v>
      </c>
      <c r="I529" t="s">
        <v>269</v>
      </c>
      <c r="J529">
        <v>11</v>
      </c>
      <c r="K529" s="16">
        <v>46200</v>
      </c>
      <c r="L529" s="16">
        <v>36992.46</v>
      </c>
      <c r="M529" s="16">
        <v>9207.5400000000009</v>
      </c>
      <c r="N529" t="s">
        <v>141</v>
      </c>
      <c r="O529" t="s">
        <v>113</v>
      </c>
      <c r="P529" t="str">
        <f t="shared" si="8"/>
        <v>Dibrugarh|Webcam</v>
      </c>
    </row>
    <row r="530" spans="1:16" x14ac:dyDescent="0.3">
      <c r="A530" s="15">
        <v>46229</v>
      </c>
      <c r="B530" t="s">
        <v>34</v>
      </c>
      <c r="C530" t="s">
        <v>121</v>
      </c>
      <c r="D530" t="s">
        <v>146</v>
      </c>
      <c r="E530" t="s">
        <v>147</v>
      </c>
      <c r="F530" t="s">
        <v>97</v>
      </c>
      <c r="G530" t="s">
        <v>86</v>
      </c>
      <c r="H530" t="s">
        <v>117</v>
      </c>
      <c r="I530" t="s">
        <v>352</v>
      </c>
      <c r="J530">
        <v>12</v>
      </c>
      <c r="K530" s="16">
        <v>71760</v>
      </c>
      <c r="L530" s="16">
        <v>48652.14</v>
      </c>
      <c r="M530" s="16">
        <v>23107.86</v>
      </c>
      <c r="N530" t="s">
        <v>125</v>
      </c>
      <c r="O530" t="s">
        <v>113</v>
      </c>
      <c r="P530" t="str">
        <f t="shared" si="8"/>
        <v>Guwahati|Coffee Maker</v>
      </c>
    </row>
    <row r="531" spans="1:16" x14ac:dyDescent="0.3">
      <c r="A531" s="15">
        <v>46126</v>
      </c>
      <c r="B531" t="s">
        <v>34</v>
      </c>
      <c r="C531" t="s">
        <v>121</v>
      </c>
      <c r="D531" t="s">
        <v>146</v>
      </c>
      <c r="E531" t="s">
        <v>147</v>
      </c>
      <c r="F531" t="s">
        <v>96</v>
      </c>
      <c r="G531" t="s">
        <v>83</v>
      </c>
      <c r="H531" t="s">
        <v>110</v>
      </c>
      <c r="I531" t="s">
        <v>309</v>
      </c>
      <c r="J531">
        <v>3</v>
      </c>
      <c r="K531" s="16">
        <v>108000</v>
      </c>
      <c r="L531" s="16">
        <v>73902.820000000007</v>
      </c>
      <c r="M531" s="16">
        <v>34097.18</v>
      </c>
      <c r="N531" t="s">
        <v>125</v>
      </c>
      <c r="O531" t="s">
        <v>113</v>
      </c>
      <c r="P531" t="str">
        <f t="shared" si="8"/>
        <v>Guwahati|Meeting Table</v>
      </c>
    </row>
    <row r="532" spans="1:16" x14ac:dyDescent="0.3">
      <c r="A532" s="15">
        <v>46115</v>
      </c>
      <c r="B532" t="s">
        <v>34</v>
      </c>
      <c r="C532" t="s">
        <v>126</v>
      </c>
      <c r="D532" t="s">
        <v>162</v>
      </c>
      <c r="E532" t="s">
        <v>204</v>
      </c>
      <c r="F532" t="s">
        <v>97</v>
      </c>
      <c r="G532" t="s">
        <v>86</v>
      </c>
      <c r="H532" t="s">
        <v>139</v>
      </c>
      <c r="I532" t="s">
        <v>273</v>
      </c>
      <c r="J532">
        <v>2</v>
      </c>
      <c r="K532" s="16">
        <v>13000</v>
      </c>
      <c r="L532" s="16">
        <v>9920.84</v>
      </c>
      <c r="M532" s="16">
        <v>3079.16</v>
      </c>
      <c r="N532" t="s">
        <v>131</v>
      </c>
      <c r="O532" t="s">
        <v>142</v>
      </c>
      <c r="P532" t="str">
        <f t="shared" si="8"/>
        <v>Noida|Coffee Maker</v>
      </c>
    </row>
    <row r="533" spans="1:16" x14ac:dyDescent="0.3">
      <c r="A533" s="15">
        <v>46251</v>
      </c>
      <c r="B533" t="s">
        <v>34</v>
      </c>
      <c r="C533" t="s">
        <v>126</v>
      </c>
      <c r="D533" t="s">
        <v>127</v>
      </c>
      <c r="E533" t="s">
        <v>143</v>
      </c>
      <c r="F533" t="s">
        <v>96</v>
      </c>
      <c r="G533" t="s">
        <v>82</v>
      </c>
      <c r="H533" t="s">
        <v>139</v>
      </c>
      <c r="I533" t="s">
        <v>140</v>
      </c>
      <c r="J533">
        <v>16</v>
      </c>
      <c r="K533" s="16">
        <v>419520</v>
      </c>
      <c r="L533" s="16">
        <v>332526.12</v>
      </c>
      <c r="M533" s="16">
        <v>86993.88</v>
      </c>
      <c r="N533" t="s">
        <v>125</v>
      </c>
      <c r="O533" t="s">
        <v>142</v>
      </c>
      <c r="P533" t="str">
        <f t="shared" si="8"/>
        <v>Faridabad|Standing Desk</v>
      </c>
    </row>
    <row r="534" spans="1:16" x14ac:dyDescent="0.3">
      <c r="A534" s="15">
        <v>46170</v>
      </c>
      <c r="B534" t="s">
        <v>34</v>
      </c>
      <c r="C534" t="s">
        <v>121</v>
      </c>
      <c r="D534" t="s">
        <v>137</v>
      </c>
      <c r="E534" t="s">
        <v>171</v>
      </c>
      <c r="F534" t="s">
        <v>96</v>
      </c>
      <c r="G534" t="s">
        <v>83</v>
      </c>
      <c r="H534" t="s">
        <v>139</v>
      </c>
      <c r="I534" t="s">
        <v>379</v>
      </c>
      <c r="J534">
        <v>6</v>
      </c>
      <c r="K534" s="16">
        <v>198720</v>
      </c>
      <c r="L534" s="16">
        <v>145871.73000000001</v>
      </c>
      <c r="M534" s="16">
        <v>52848.27</v>
      </c>
      <c r="N534" t="s">
        <v>112</v>
      </c>
      <c r="O534" t="s">
        <v>113</v>
      </c>
      <c r="P534" t="str">
        <f t="shared" si="8"/>
        <v>Bhubaneswar|Meeting Table</v>
      </c>
    </row>
    <row r="535" spans="1:16" x14ac:dyDescent="0.3">
      <c r="A535" s="15">
        <v>46256</v>
      </c>
      <c r="B535" t="s">
        <v>114</v>
      </c>
      <c r="C535" t="s">
        <v>126</v>
      </c>
      <c r="D535" t="s">
        <v>196</v>
      </c>
      <c r="E535" t="s">
        <v>197</v>
      </c>
      <c r="F535" t="s">
        <v>96</v>
      </c>
      <c r="G535" t="s">
        <v>84</v>
      </c>
      <c r="H535" t="s">
        <v>129</v>
      </c>
      <c r="I535" t="s">
        <v>165</v>
      </c>
      <c r="J535">
        <v>14</v>
      </c>
      <c r="K535" s="16">
        <v>203000</v>
      </c>
      <c r="L535" s="16">
        <v>160611.26999999999</v>
      </c>
      <c r="M535" s="16">
        <v>42388.73</v>
      </c>
      <c r="N535" t="s">
        <v>141</v>
      </c>
      <c r="O535" t="s">
        <v>113</v>
      </c>
      <c r="P535" t="str">
        <f t="shared" si="8"/>
        <v>Dwarka|Filing Cabinet</v>
      </c>
    </row>
    <row r="536" spans="1:16" x14ac:dyDescent="0.3">
      <c r="A536" s="15">
        <v>46181</v>
      </c>
      <c r="B536" t="s">
        <v>34</v>
      </c>
      <c r="C536" t="s">
        <v>107</v>
      </c>
      <c r="D536" t="s">
        <v>149</v>
      </c>
      <c r="E536" t="s">
        <v>159</v>
      </c>
      <c r="F536" t="s">
        <v>97</v>
      </c>
      <c r="G536" t="s">
        <v>87</v>
      </c>
      <c r="H536" t="s">
        <v>173</v>
      </c>
      <c r="I536" t="s">
        <v>365</v>
      </c>
      <c r="J536">
        <v>20</v>
      </c>
      <c r="K536" s="16">
        <v>242500</v>
      </c>
      <c r="L536" s="16">
        <v>171147.24</v>
      </c>
      <c r="M536" s="16">
        <v>71352.759999999995</v>
      </c>
      <c r="N536" t="s">
        <v>112</v>
      </c>
      <c r="O536" t="s">
        <v>142</v>
      </c>
      <c r="P536" t="str">
        <f t="shared" si="8"/>
        <v>Pune|Microwave</v>
      </c>
    </row>
    <row r="537" spans="1:16" x14ac:dyDescent="0.3">
      <c r="A537" s="15">
        <v>46064</v>
      </c>
      <c r="B537" t="s">
        <v>34</v>
      </c>
      <c r="C537" t="s">
        <v>126</v>
      </c>
      <c r="D537" t="s">
        <v>127</v>
      </c>
      <c r="E537" t="s">
        <v>143</v>
      </c>
      <c r="F537" t="s">
        <v>95</v>
      </c>
      <c r="G537" t="s">
        <v>72</v>
      </c>
      <c r="H537" t="s">
        <v>117</v>
      </c>
      <c r="I537" t="s">
        <v>315</v>
      </c>
      <c r="J537">
        <v>6</v>
      </c>
      <c r="K537" s="16">
        <v>17664</v>
      </c>
      <c r="L537" s="16">
        <v>12807.93</v>
      </c>
      <c r="M537" s="16">
        <v>4856.07</v>
      </c>
      <c r="N537" t="s">
        <v>112</v>
      </c>
      <c r="O537" t="s">
        <v>113</v>
      </c>
      <c r="P537" t="str">
        <f t="shared" si="8"/>
        <v>Faridabad|Keyboard</v>
      </c>
    </row>
    <row r="538" spans="1:16" x14ac:dyDescent="0.3">
      <c r="A538" s="15">
        <v>46056</v>
      </c>
      <c r="B538" t="s">
        <v>120</v>
      </c>
      <c r="C538" t="s">
        <v>107</v>
      </c>
      <c r="D538" t="s">
        <v>115</v>
      </c>
      <c r="E538" t="s">
        <v>191</v>
      </c>
      <c r="F538" t="s">
        <v>95</v>
      </c>
      <c r="G538" t="s">
        <v>76</v>
      </c>
      <c r="H538" t="s">
        <v>173</v>
      </c>
      <c r="I538" t="s">
        <v>294</v>
      </c>
      <c r="J538">
        <v>19</v>
      </c>
      <c r="K538" s="16">
        <v>34200</v>
      </c>
      <c r="L538" s="16">
        <v>27978.639999999999</v>
      </c>
      <c r="M538" s="16">
        <v>6221.36</v>
      </c>
      <c r="N538" t="s">
        <v>125</v>
      </c>
      <c r="O538" t="s">
        <v>113</v>
      </c>
      <c r="P538" t="str">
        <f t="shared" si="8"/>
        <v>Surat|Mouse</v>
      </c>
    </row>
    <row r="539" spans="1:16" x14ac:dyDescent="0.3">
      <c r="A539" s="15">
        <v>46115</v>
      </c>
      <c r="B539" t="s">
        <v>34</v>
      </c>
      <c r="C539" t="s">
        <v>107</v>
      </c>
      <c r="D539" t="s">
        <v>149</v>
      </c>
      <c r="E539" t="s">
        <v>159</v>
      </c>
      <c r="F539" t="s">
        <v>96</v>
      </c>
      <c r="G539" t="s">
        <v>84</v>
      </c>
      <c r="H539" t="s">
        <v>139</v>
      </c>
      <c r="I539" t="s">
        <v>247</v>
      </c>
      <c r="J539">
        <v>2</v>
      </c>
      <c r="K539" s="16">
        <v>25520</v>
      </c>
      <c r="L539" s="16">
        <v>18353.7</v>
      </c>
      <c r="M539" s="16">
        <v>7166.3</v>
      </c>
      <c r="N539" t="s">
        <v>131</v>
      </c>
      <c r="O539" t="s">
        <v>142</v>
      </c>
      <c r="P539" t="str">
        <f t="shared" si="8"/>
        <v>Pune|Filing Cabinet</v>
      </c>
    </row>
    <row r="540" spans="1:16" x14ac:dyDescent="0.3">
      <c r="A540" s="15">
        <v>46166</v>
      </c>
      <c r="B540" t="s">
        <v>34</v>
      </c>
      <c r="C540" t="s">
        <v>152</v>
      </c>
      <c r="D540" t="s">
        <v>156</v>
      </c>
      <c r="E540" t="s">
        <v>238</v>
      </c>
      <c r="F540" t="s">
        <v>95</v>
      </c>
      <c r="G540" t="s">
        <v>74</v>
      </c>
      <c r="H540" t="s">
        <v>184</v>
      </c>
      <c r="I540" t="s">
        <v>286</v>
      </c>
      <c r="J540">
        <v>14</v>
      </c>
      <c r="K540" s="16">
        <v>67200</v>
      </c>
      <c r="L540" s="16">
        <v>55030.32</v>
      </c>
      <c r="M540" s="16">
        <v>12169.68</v>
      </c>
      <c r="N540" t="s">
        <v>131</v>
      </c>
      <c r="O540" t="s">
        <v>113</v>
      </c>
      <c r="P540" t="str">
        <f t="shared" si="8"/>
        <v>Bengaluru|Headset</v>
      </c>
    </row>
    <row r="541" spans="1:16" x14ac:dyDescent="0.3">
      <c r="A541" s="15">
        <v>46161</v>
      </c>
      <c r="B541" t="s">
        <v>34</v>
      </c>
      <c r="C541" t="s">
        <v>107</v>
      </c>
      <c r="D541" t="s">
        <v>115</v>
      </c>
      <c r="E541" t="s">
        <v>116</v>
      </c>
      <c r="F541" t="s">
        <v>95</v>
      </c>
      <c r="G541" t="s">
        <v>74</v>
      </c>
      <c r="H541" t="s">
        <v>110</v>
      </c>
      <c r="I541" t="s">
        <v>177</v>
      </c>
      <c r="J541">
        <v>16</v>
      </c>
      <c r="K541" s="16">
        <v>76800</v>
      </c>
      <c r="L541" s="16">
        <v>62447.01</v>
      </c>
      <c r="M541" s="16">
        <v>14352.99</v>
      </c>
      <c r="N541" t="s">
        <v>141</v>
      </c>
      <c r="O541" t="s">
        <v>142</v>
      </c>
      <c r="P541" t="str">
        <f t="shared" si="8"/>
        <v>Ahmedabad|Headset</v>
      </c>
    </row>
    <row r="542" spans="1:16" x14ac:dyDescent="0.3">
      <c r="A542" s="15">
        <v>46026</v>
      </c>
      <c r="B542" t="s">
        <v>114</v>
      </c>
      <c r="C542" t="s">
        <v>152</v>
      </c>
      <c r="D542" t="s">
        <v>187</v>
      </c>
      <c r="E542" t="s">
        <v>199</v>
      </c>
      <c r="F542" t="s">
        <v>97</v>
      </c>
      <c r="G542" t="s">
        <v>87</v>
      </c>
      <c r="H542" t="s">
        <v>184</v>
      </c>
      <c r="I542" t="s">
        <v>248</v>
      </c>
      <c r="J542">
        <v>4</v>
      </c>
      <c r="K542" s="16">
        <v>48500</v>
      </c>
      <c r="L542" s="16">
        <v>31100.2</v>
      </c>
      <c r="M542" s="16">
        <v>17399.8</v>
      </c>
      <c r="N542" t="s">
        <v>131</v>
      </c>
      <c r="O542" t="s">
        <v>113</v>
      </c>
      <c r="P542" t="str">
        <f t="shared" si="8"/>
        <v>Hyderabad|Microwave</v>
      </c>
    </row>
    <row r="543" spans="1:16" x14ac:dyDescent="0.3">
      <c r="A543" s="15">
        <v>46232</v>
      </c>
      <c r="B543" t="s">
        <v>120</v>
      </c>
      <c r="C543" t="s">
        <v>126</v>
      </c>
      <c r="D543" t="s">
        <v>162</v>
      </c>
      <c r="E543" t="s">
        <v>204</v>
      </c>
      <c r="F543" t="s">
        <v>94</v>
      </c>
      <c r="G543" t="s">
        <v>61</v>
      </c>
      <c r="H543" t="s">
        <v>110</v>
      </c>
      <c r="I543" t="s">
        <v>337</v>
      </c>
      <c r="J543">
        <v>15</v>
      </c>
      <c r="K543" s="16">
        <v>1029600</v>
      </c>
      <c r="L543" s="16">
        <v>820535.26</v>
      </c>
      <c r="M543" s="16">
        <v>209064.74</v>
      </c>
      <c r="N543" t="s">
        <v>125</v>
      </c>
      <c r="O543" t="s">
        <v>113</v>
      </c>
      <c r="P543" t="str">
        <f t="shared" si="8"/>
        <v>Noida|Laptop Pro</v>
      </c>
    </row>
    <row r="544" spans="1:16" x14ac:dyDescent="0.3">
      <c r="A544" s="15">
        <v>46213</v>
      </c>
      <c r="B544" t="s">
        <v>34</v>
      </c>
      <c r="C544" t="s">
        <v>152</v>
      </c>
      <c r="D544" t="s">
        <v>187</v>
      </c>
      <c r="E544" t="s">
        <v>199</v>
      </c>
      <c r="F544" t="s">
        <v>95</v>
      </c>
      <c r="G544" t="s">
        <v>74</v>
      </c>
      <c r="H544" t="s">
        <v>135</v>
      </c>
      <c r="I544" t="s">
        <v>198</v>
      </c>
      <c r="J544">
        <v>9</v>
      </c>
      <c r="K544" s="16">
        <v>43200</v>
      </c>
      <c r="L544" s="16">
        <v>34347.43</v>
      </c>
      <c r="M544" s="16">
        <v>8852.57</v>
      </c>
      <c r="N544" t="s">
        <v>125</v>
      </c>
      <c r="O544" t="s">
        <v>113</v>
      </c>
      <c r="P544" t="str">
        <f t="shared" si="8"/>
        <v>Hyderabad|Headset</v>
      </c>
    </row>
    <row r="545" spans="1:16" x14ac:dyDescent="0.3">
      <c r="A545" s="15">
        <v>46237</v>
      </c>
      <c r="B545" t="s">
        <v>34</v>
      </c>
      <c r="C545" t="s">
        <v>126</v>
      </c>
      <c r="D545" t="s">
        <v>127</v>
      </c>
      <c r="E545" t="s">
        <v>143</v>
      </c>
      <c r="F545" t="s">
        <v>96</v>
      </c>
      <c r="G545" t="s">
        <v>83</v>
      </c>
      <c r="H545" t="s">
        <v>129</v>
      </c>
      <c r="I545" t="s">
        <v>331</v>
      </c>
      <c r="J545">
        <v>16</v>
      </c>
      <c r="K545" s="16">
        <v>558720</v>
      </c>
      <c r="L545" s="16">
        <v>346774.31</v>
      </c>
      <c r="M545" s="16">
        <v>211945.69</v>
      </c>
      <c r="N545" t="s">
        <v>131</v>
      </c>
      <c r="O545" t="s">
        <v>142</v>
      </c>
      <c r="P545" t="str">
        <f t="shared" si="8"/>
        <v>Faridabad|Meeting Table</v>
      </c>
    </row>
    <row r="546" spans="1:16" x14ac:dyDescent="0.3">
      <c r="A546" s="15">
        <v>46023</v>
      </c>
      <c r="B546" t="s">
        <v>114</v>
      </c>
      <c r="C546" t="s">
        <v>107</v>
      </c>
      <c r="D546" t="s">
        <v>115</v>
      </c>
      <c r="E546" t="s">
        <v>191</v>
      </c>
      <c r="F546" t="s">
        <v>96</v>
      </c>
      <c r="G546" t="s">
        <v>80</v>
      </c>
      <c r="H546" t="s">
        <v>133</v>
      </c>
      <c r="I546" t="s">
        <v>366</v>
      </c>
      <c r="J546">
        <v>14</v>
      </c>
      <c r="K546" s="16">
        <v>161000</v>
      </c>
      <c r="L546" s="16">
        <v>126790.28</v>
      </c>
      <c r="M546" s="16">
        <v>34209.72</v>
      </c>
      <c r="N546" t="s">
        <v>141</v>
      </c>
      <c r="O546" t="s">
        <v>142</v>
      </c>
      <c r="P546" t="str">
        <f t="shared" si="8"/>
        <v>Surat|Office Chair</v>
      </c>
    </row>
    <row r="547" spans="1:16" x14ac:dyDescent="0.3">
      <c r="A547" s="15">
        <v>46170</v>
      </c>
      <c r="B547" t="s">
        <v>34</v>
      </c>
      <c r="C547" t="s">
        <v>121</v>
      </c>
      <c r="D547" t="s">
        <v>137</v>
      </c>
      <c r="E547" t="s">
        <v>138</v>
      </c>
      <c r="F547" t="s">
        <v>97</v>
      </c>
      <c r="G547" t="s">
        <v>88</v>
      </c>
      <c r="H547" t="s">
        <v>139</v>
      </c>
      <c r="I547" t="s">
        <v>195</v>
      </c>
      <c r="J547">
        <v>1</v>
      </c>
      <c r="K547" s="16">
        <v>13775</v>
      </c>
      <c r="L547" s="16">
        <v>9771.5</v>
      </c>
      <c r="M547" s="16">
        <v>4003.5</v>
      </c>
      <c r="N547" t="s">
        <v>125</v>
      </c>
      <c r="O547" t="s">
        <v>142</v>
      </c>
      <c r="P547" t="str">
        <f t="shared" si="8"/>
        <v>Cuttack|Vacuum Cleaner</v>
      </c>
    </row>
    <row r="548" spans="1:16" x14ac:dyDescent="0.3">
      <c r="A548" s="15">
        <v>46088</v>
      </c>
      <c r="B548" t="s">
        <v>34</v>
      </c>
      <c r="C548" t="s">
        <v>152</v>
      </c>
      <c r="D548" t="s">
        <v>187</v>
      </c>
      <c r="E548" t="s">
        <v>188</v>
      </c>
      <c r="F548" t="s">
        <v>95</v>
      </c>
      <c r="G548" t="s">
        <v>74</v>
      </c>
      <c r="H548" t="s">
        <v>110</v>
      </c>
      <c r="I548" t="s">
        <v>203</v>
      </c>
      <c r="J548">
        <v>18</v>
      </c>
      <c r="K548" s="16">
        <v>79488</v>
      </c>
      <c r="L548" s="16">
        <v>56931.33</v>
      </c>
      <c r="M548" s="16">
        <v>22556.67</v>
      </c>
      <c r="N548" t="s">
        <v>141</v>
      </c>
      <c r="O548" t="s">
        <v>113</v>
      </c>
      <c r="P548" t="str">
        <f t="shared" si="8"/>
        <v>Warangal|Headset</v>
      </c>
    </row>
    <row r="549" spans="1:16" x14ac:dyDescent="0.3">
      <c r="A549" s="15">
        <v>46208</v>
      </c>
      <c r="B549" t="s">
        <v>34</v>
      </c>
      <c r="C549" t="s">
        <v>121</v>
      </c>
      <c r="D549" t="s">
        <v>146</v>
      </c>
      <c r="E549" t="s">
        <v>147</v>
      </c>
      <c r="F549" t="s">
        <v>94</v>
      </c>
      <c r="G549" t="s">
        <v>67</v>
      </c>
      <c r="H549" t="s">
        <v>117</v>
      </c>
      <c r="I549" t="s">
        <v>124</v>
      </c>
      <c r="J549">
        <v>12</v>
      </c>
      <c r="K549" s="16">
        <v>376200</v>
      </c>
      <c r="L549" s="16">
        <v>251954.56</v>
      </c>
      <c r="M549" s="16">
        <v>124245.44</v>
      </c>
      <c r="N549" t="s">
        <v>141</v>
      </c>
      <c r="O549" t="s">
        <v>113</v>
      </c>
      <c r="P549" t="str">
        <f t="shared" si="8"/>
        <v>Guwahati|Tablet X</v>
      </c>
    </row>
    <row r="550" spans="1:16" x14ac:dyDescent="0.3">
      <c r="A550" s="15">
        <v>46157</v>
      </c>
      <c r="B550" t="s">
        <v>120</v>
      </c>
      <c r="C550" t="s">
        <v>107</v>
      </c>
      <c r="D550" t="s">
        <v>149</v>
      </c>
      <c r="E550" t="s">
        <v>159</v>
      </c>
      <c r="F550" t="s">
        <v>94</v>
      </c>
      <c r="G550" t="s">
        <v>70</v>
      </c>
      <c r="H550" t="s">
        <v>129</v>
      </c>
      <c r="I550" t="s">
        <v>160</v>
      </c>
      <c r="J550">
        <v>10</v>
      </c>
      <c r="K550" s="16">
        <v>142600</v>
      </c>
      <c r="L550" s="16">
        <v>97626.35</v>
      </c>
      <c r="M550" s="16">
        <v>44973.65</v>
      </c>
      <c r="N550" t="s">
        <v>112</v>
      </c>
      <c r="O550" t="s">
        <v>113</v>
      </c>
      <c r="P550" t="str">
        <f t="shared" si="8"/>
        <v>Pune|Printer Pro</v>
      </c>
    </row>
    <row r="551" spans="1:16" x14ac:dyDescent="0.3">
      <c r="A551" s="15">
        <v>46172</v>
      </c>
      <c r="B551" t="s">
        <v>120</v>
      </c>
      <c r="C551" t="s">
        <v>121</v>
      </c>
      <c r="D551" t="s">
        <v>146</v>
      </c>
      <c r="E551" t="s">
        <v>147</v>
      </c>
      <c r="F551" t="s">
        <v>96</v>
      </c>
      <c r="G551" t="s">
        <v>82</v>
      </c>
      <c r="H551" t="s">
        <v>110</v>
      </c>
      <c r="I551" t="s">
        <v>229</v>
      </c>
      <c r="J551">
        <v>18</v>
      </c>
      <c r="K551" s="16">
        <v>487350</v>
      </c>
      <c r="L551" s="16">
        <v>317958.95</v>
      </c>
      <c r="M551" s="16">
        <v>169391.05</v>
      </c>
      <c r="N551" t="s">
        <v>125</v>
      </c>
      <c r="O551" t="s">
        <v>113</v>
      </c>
      <c r="P551" t="str">
        <f t="shared" si="8"/>
        <v>Guwahati|Standing Desk</v>
      </c>
    </row>
    <row r="552" spans="1:16" x14ac:dyDescent="0.3">
      <c r="A552" s="15">
        <v>46066</v>
      </c>
      <c r="B552" t="s">
        <v>34</v>
      </c>
      <c r="C552" t="s">
        <v>121</v>
      </c>
      <c r="D552" t="s">
        <v>122</v>
      </c>
      <c r="E552" t="s">
        <v>166</v>
      </c>
      <c r="F552" t="s">
        <v>94</v>
      </c>
      <c r="G552" t="s">
        <v>67</v>
      </c>
      <c r="H552" t="s">
        <v>135</v>
      </c>
      <c r="I552" t="s">
        <v>180</v>
      </c>
      <c r="J552">
        <v>18</v>
      </c>
      <c r="K552" s="16">
        <v>522720</v>
      </c>
      <c r="L552" s="16">
        <v>361930.27</v>
      </c>
      <c r="M552" s="16">
        <v>160789.73000000001</v>
      </c>
      <c r="N552" t="s">
        <v>125</v>
      </c>
      <c r="O552" t="s">
        <v>113</v>
      </c>
      <c r="P552" t="str">
        <f t="shared" si="8"/>
        <v>Kolkata|Tablet X</v>
      </c>
    </row>
    <row r="553" spans="1:16" x14ac:dyDescent="0.3">
      <c r="A553" s="15">
        <v>46164</v>
      </c>
      <c r="B553" t="s">
        <v>114</v>
      </c>
      <c r="C553" t="s">
        <v>126</v>
      </c>
      <c r="D553" t="s">
        <v>196</v>
      </c>
      <c r="E553" t="s">
        <v>208</v>
      </c>
      <c r="F553" t="s">
        <v>95</v>
      </c>
      <c r="G553" t="s">
        <v>74</v>
      </c>
      <c r="H553" t="s">
        <v>139</v>
      </c>
      <c r="I553" t="s">
        <v>180</v>
      </c>
      <c r="J553">
        <v>9</v>
      </c>
      <c r="K553" s="16">
        <v>41040</v>
      </c>
      <c r="L553" s="16">
        <v>32274.87</v>
      </c>
      <c r="M553" s="16">
        <v>8765.1299999999992</v>
      </c>
      <c r="N553" t="s">
        <v>131</v>
      </c>
      <c r="O553" t="s">
        <v>113</v>
      </c>
      <c r="P553" t="str">
        <f t="shared" si="8"/>
        <v>New Delhi|Headset</v>
      </c>
    </row>
    <row r="554" spans="1:16" x14ac:dyDescent="0.3">
      <c r="A554" s="15">
        <v>46157</v>
      </c>
      <c r="B554" t="s">
        <v>114</v>
      </c>
      <c r="C554" t="s">
        <v>121</v>
      </c>
      <c r="D554" t="s">
        <v>137</v>
      </c>
      <c r="E554" t="s">
        <v>138</v>
      </c>
      <c r="F554" t="s">
        <v>96</v>
      </c>
      <c r="G554" t="s">
        <v>80</v>
      </c>
      <c r="H554" t="s">
        <v>117</v>
      </c>
      <c r="I554" t="s">
        <v>321</v>
      </c>
      <c r="J554">
        <v>11</v>
      </c>
      <c r="K554" s="16">
        <v>133375</v>
      </c>
      <c r="L554" s="16">
        <v>102251.72</v>
      </c>
      <c r="M554" s="16">
        <v>31123.279999999999</v>
      </c>
      <c r="N554" t="s">
        <v>131</v>
      </c>
      <c r="O554" t="s">
        <v>142</v>
      </c>
      <c r="P554" t="str">
        <f t="shared" si="8"/>
        <v>Cuttack|Office Chair</v>
      </c>
    </row>
    <row r="555" spans="1:16" x14ac:dyDescent="0.3">
      <c r="A555" s="15">
        <v>46109</v>
      </c>
      <c r="B555" t="s">
        <v>34</v>
      </c>
      <c r="C555" t="s">
        <v>126</v>
      </c>
      <c r="D555" t="s">
        <v>196</v>
      </c>
      <c r="E555" t="s">
        <v>197</v>
      </c>
      <c r="F555" t="s">
        <v>97</v>
      </c>
      <c r="G555" t="s">
        <v>86</v>
      </c>
      <c r="H555" t="s">
        <v>129</v>
      </c>
      <c r="I555" t="s">
        <v>323</v>
      </c>
      <c r="J555">
        <v>17</v>
      </c>
      <c r="K555" s="16">
        <v>101660</v>
      </c>
      <c r="L555" s="16">
        <v>72052.679999999993</v>
      </c>
      <c r="M555" s="16">
        <v>29607.32</v>
      </c>
      <c r="N555" t="s">
        <v>125</v>
      </c>
      <c r="O555" t="s">
        <v>113</v>
      </c>
      <c r="P555" t="str">
        <f t="shared" si="8"/>
        <v>Dwarka|Coffee Maker</v>
      </c>
    </row>
    <row r="556" spans="1:16" x14ac:dyDescent="0.3">
      <c r="A556" s="15">
        <v>46235</v>
      </c>
      <c r="B556" t="s">
        <v>34</v>
      </c>
      <c r="C556" t="s">
        <v>126</v>
      </c>
      <c r="D556" t="s">
        <v>196</v>
      </c>
      <c r="E556" t="s">
        <v>197</v>
      </c>
      <c r="F556" t="s">
        <v>94</v>
      </c>
      <c r="G556" t="s">
        <v>64</v>
      </c>
      <c r="H556" t="s">
        <v>133</v>
      </c>
      <c r="I556" t="s">
        <v>311</v>
      </c>
      <c r="J556">
        <v>2</v>
      </c>
      <c r="K556" s="16">
        <v>36960</v>
      </c>
      <c r="L556" s="16">
        <v>29221.48</v>
      </c>
      <c r="M556" s="16">
        <v>7738.52</v>
      </c>
      <c r="N556" t="s">
        <v>125</v>
      </c>
      <c r="O556" t="s">
        <v>113</v>
      </c>
      <c r="P556" t="str">
        <f t="shared" si="8"/>
        <v>Dwarka|Monitor 27</v>
      </c>
    </row>
    <row r="557" spans="1:16" x14ac:dyDescent="0.3">
      <c r="A557" s="15">
        <v>46138</v>
      </c>
      <c r="B557" t="s">
        <v>120</v>
      </c>
      <c r="C557" t="s">
        <v>126</v>
      </c>
      <c r="D557" t="s">
        <v>196</v>
      </c>
      <c r="E557" t="s">
        <v>197</v>
      </c>
      <c r="F557" t="s">
        <v>96</v>
      </c>
      <c r="G557" t="s">
        <v>84</v>
      </c>
      <c r="H557" t="s">
        <v>173</v>
      </c>
      <c r="I557" t="s">
        <v>363</v>
      </c>
      <c r="J557">
        <v>9</v>
      </c>
      <c r="K557" s="16">
        <v>123975</v>
      </c>
      <c r="L557" s="16">
        <v>79971.37</v>
      </c>
      <c r="M557" s="16">
        <v>44003.63</v>
      </c>
      <c r="N557" t="s">
        <v>141</v>
      </c>
      <c r="O557" t="s">
        <v>113</v>
      </c>
      <c r="P557" t="str">
        <f t="shared" si="8"/>
        <v>Dwarka|Filing Cabinet</v>
      </c>
    </row>
    <row r="558" spans="1:16" x14ac:dyDescent="0.3">
      <c r="A558" s="15">
        <v>46102</v>
      </c>
      <c r="B558" t="s">
        <v>34</v>
      </c>
      <c r="C558" t="s">
        <v>107</v>
      </c>
      <c r="D558" t="s">
        <v>108</v>
      </c>
      <c r="E558" t="s">
        <v>132</v>
      </c>
      <c r="F558" t="s">
        <v>97</v>
      </c>
      <c r="G558" t="s">
        <v>86</v>
      </c>
      <c r="H558" t="s">
        <v>129</v>
      </c>
      <c r="I558" t="s">
        <v>350</v>
      </c>
      <c r="J558">
        <v>11</v>
      </c>
      <c r="K558" s="16">
        <v>69355</v>
      </c>
      <c r="L558" s="16">
        <v>46751.39</v>
      </c>
      <c r="M558" s="16">
        <v>22603.61</v>
      </c>
      <c r="N558" t="s">
        <v>131</v>
      </c>
      <c r="O558" t="s">
        <v>113</v>
      </c>
      <c r="P558" t="str">
        <f t="shared" si="8"/>
        <v>Jaipur|Coffee Maker</v>
      </c>
    </row>
    <row r="559" spans="1:16" x14ac:dyDescent="0.3">
      <c r="A559" s="15">
        <v>46245</v>
      </c>
      <c r="B559" t="s">
        <v>114</v>
      </c>
      <c r="C559" t="s">
        <v>121</v>
      </c>
      <c r="D559" t="s">
        <v>146</v>
      </c>
      <c r="E559" t="s">
        <v>175</v>
      </c>
      <c r="F559" t="s">
        <v>96</v>
      </c>
      <c r="G559" t="s">
        <v>83</v>
      </c>
      <c r="H559" t="s">
        <v>135</v>
      </c>
      <c r="I559" t="s">
        <v>161</v>
      </c>
      <c r="J559">
        <v>20</v>
      </c>
      <c r="K559" s="16">
        <v>633600</v>
      </c>
      <c r="L559" s="16">
        <v>519457.1</v>
      </c>
      <c r="M559" s="16">
        <v>114142.9</v>
      </c>
      <c r="N559" t="s">
        <v>112</v>
      </c>
      <c r="O559" t="s">
        <v>113</v>
      </c>
      <c r="P559" t="str">
        <f t="shared" si="8"/>
        <v>Dibrugarh|Meeting Table</v>
      </c>
    </row>
    <row r="560" spans="1:16" x14ac:dyDescent="0.3">
      <c r="A560" s="15">
        <v>46214</v>
      </c>
      <c r="B560" t="s">
        <v>34</v>
      </c>
      <c r="C560" t="s">
        <v>107</v>
      </c>
      <c r="D560" t="s">
        <v>149</v>
      </c>
      <c r="E560" t="s">
        <v>159</v>
      </c>
      <c r="F560" t="s">
        <v>95</v>
      </c>
      <c r="G560" t="s">
        <v>74</v>
      </c>
      <c r="H560" t="s">
        <v>139</v>
      </c>
      <c r="I560" t="s">
        <v>262</v>
      </c>
      <c r="J560">
        <v>4</v>
      </c>
      <c r="K560" s="16">
        <v>19200</v>
      </c>
      <c r="L560" s="16">
        <v>14926.67</v>
      </c>
      <c r="M560" s="16">
        <v>4273.33</v>
      </c>
      <c r="N560" t="s">
        <v>112</v>
      </c>
      <c r="O560" t="s">
        <v>142</v>
      </c>
      <c r="P560" t="str">
        <f t="shared" si="8"/>
        <v>Pune|Headset</v>
      </c>
    </row>
    <row r="561" spans="1:16" x14ac:dyDescent="0.3">
      <c r="A561" s="15">
        <v>46183</v>
      </c>
      <c r="B561" t="s">
        <v>34</v>
      </c>
      <c r="C561" t="s">
        <v>107</v>
      </c>
      <c r="D561" t="s">
        <v>115</v>
      </c>
      <c r="E561" t="s">
        <v>191</v>
      </c>
      <c r="F561" t="s">
        <v>94</v>
      </c>
      <c r="G561" t="s">
        <v>70</v>
      </c>
      <c r="H561" t="s">
        <v>129</v>
      </c>
      <c r="I561" t="s">
        <v>275</v>
      </c>
      <c r="J561">
        <v>15</v>
      </c>
      <c r="K561" s="16">
        <v>225525</v>
      </c>
      <c r="L561" s="16">
        <v>144536.84</v>
      </c>
      <c r="M561" s="16">
        <v>80988.160000000003</v>
      </c>
      <c r="N561" t="s">
        <v>125</v>
      </c>
      <c r="O561" t="s">
        <v>119</v>
      </c>
      <c r="P561" t="str">
        <f t="shared" si="8"/>
        <v>Surat|Printer Pro</v>
      </c>
    </row>
    <row r="562" spans="1:16" x14ac:dyDescent="0.3">
      <c r="A562" s="15">
        <v>46121</v>
      </c>
      <c r="B562" t="s">
        <v>114</v>
      </c>
      <c r="C562" t="s">
        <v>126</v>
      </c>
      <c r="D562" t="s">
        <v>196</v>
      </c>
      <c r="E562" t="s">
        <v>197</v>
      </c>
      <c r="F562" t="s">
        <v>97</v>
      </c>
      <c r="G562" t="s">
        <v>85</v>
      </c>
      <c r="H562" t="s">
        <v>139</v>
      </c>
      <c r="I562" t="s">
        <v>300</v>
      </c>
      <c r="J562">
        <v>2</v>
      </c>
      <c r="K562" s="16">
        <v>36000</v>
      </c>
      <c r="L562" s="16">
        <v>26718.7</v>
      </c>
      <c r="M562" s="16">
        <v>9281.2999999999993</v>
      </c>
      <c r="N562" t="s">
        <v>141</v>
      </c>
      <c r="O562" t="s">
        <v>142</v>
      </c>
      <c r="P562" t="str">
        <f t="shared" si="8"/>
        <v>Dwarka|Air Purifier</v>
      </c>
    </row>
    <row r="563" spans="1:16" x14ac:dyDescent="0.3">
      <c r="A563" s="15">
        <v>46165</v>
      </c>
      <c r="B563" t="s">
        <v>34</v>
      </c>
      <c r="C563" t="s">
        <v>107</v>
      </c>
      <c r="D563" t="s">
        <v>149</v>
      </c>
      <c r="E563" t="s">
        <v>150</v>
      </c>
      <c r="F563" t="s">
        <v>94</v>
      </c>
      <c r="G563" t="s">
        <v>64</v>
      </c>
      <c r="H563" t="s">
        <v>110</v>
      </c>
      <c r="I563" t="s">
        <v>256</v>
      </c>
      <c r="J563">
        <v>2</v>
      </c>
      <c r="K563" s="16">
        <v>38640</v>
      </c>
      <c r="L563" s="16">
        <v>29077.43</v>
      </c>
      <c r="M563" s="16">
        <v>9562.57</v>
      </c>
      <c r="N563" t="s">
        <v>112</v>
      </c>
      <c r="O563" t="s">
        <v>142</v>
      </c>
      <c r="P563" t="str">
        <f t="shared" si="8"/>
        <v>Mumbai|Monitor 27</v>
      </c>
    </row>
    <row r="564" spans="1:16" x14ac:dyDescent="0.3">
      <c r="A564" s="15">
        <v>46207</v>
      </c>
      <c r="B564" t="s">
        <v>120</v>
      </c>
      <c r="C564" t="s">
        <v>107</v>
      </c>
      <c r="D564" t="s">
        <v>108</v>
      </c>
      <c r="E564" t="s">
        <v>132</v>
      </c>
      <c r="F564" t="s">
        <v>97</v>
      </c>
      <c r="G564" t="s">
        <v>88</v>
      </c>
      <c r="H564" t="s">
        <v>135</v>
      </c>
      <c r="I564" t="s">
        <v>193</v>
      </c>
      <c r="J564">
        <v>2</v>
      </c>
      <c r="K564" s="16">
        <v>29000</v>
      </c>
      <c r="L564" s="16">
        <v>23593.09</v>
      </c>
      <c r="M564" s="16">
        <v>5406.91</v>
      </c>
      <c r="N564" t="s">
        <v>141</v>
      </c>
      <c r="O564" t="s">
        <v>119</v>
      </c>
      <c r="P564" t="str">
        <f t="shared" si="8"/>
        <v>Jaipur|Vacuum Cleaner</v>
      </c>
    </row>
    <row r="565" spans="1:16" x14ac:dyDescent="0.3">
      <c r="A565" s="15">
        <v>46201</v>
      </c>
      <c r="B565" t="s">
        <v>34</v>
      </c>
      <c r="C565" t="s">
        <v>152</v>
      </c>
      <c r="D565" t="s">
        <v>187</v>
      </c>
      <c r="E565" t="s">
        <v>188</v>
      </c>
      <c r="F565" t="s">
        <v>95</v>
      </c>
      <c r="G565" t="s">
        <v>74</v>
      </c>
      <c r="H565" t="s">
        <v>173</v>
      </c>
      <c r="I565" t="s">
        <v>361</v>
      </c>
      <c r="J565">
        <v>8</v>
      </c>
      <c r="K565" s="16">
        <v>36480</v>
      </c>
      <c r="L565" s="16">
        <v>28083.89</v>
      </c>
      <c r="M565" s="16">
        <v>8396.11</v>
      </c>
      <c r="N565" t="s">
        <v>131</v>
      </c>
      <c r="O565" t="s">
        <v>119</v>
      </c>
      <c r="P565" t="str">
        <f t="shared" si="8"/>
        <v>Warangal|Headset</v>
      </c>
    </row>
    <row r="566" spans="1:16" x14ac:dyDescent="0.3">
      <c r="A566" s="15">
        <v>46148</v>
      </c>
      <c r="B566" t="s">
        <v>114</v>
      </c>
      <c r="C566" t="s">
        <v>126</v>
      </c>
      <c r="D566" t="s">
        <v>196</v>
      </c>
      <c r="E566" t="s">
        <v>208</v>
      </c>
      <c r="F566" t="s">
        <v>97</v>
      </c>
      <c r="G566" t="s">
        <v>85</v>
      </c>
      <c r="H566" t="s">
        <v>184</v>
      </c>
      <c r="I566" t="s">
        <v>236</v>
      </c>
      <c r="J566">
        <v>3</v>
      </c>
      <c r="K566" s="16">
        <v>52380</v>
      </c>
      <c r="L566" s="16">
        <v>35008.83</v>
      </c>
      <c r="M566" s="16">
        <v>17371.169999999998</v>
      </c>
      <c r="N566" t="s">
        <v>141</v>
      </c>
      <c r="O566" t="s">
        <v>113</v>
      </c>
      <c r="P566" t="str">
        <f t="shared" si="8"/>
        <v>New Delhi|Air Purifier</v>
      </c>
    </row>
    <row r="567" spans="1:16" x14ac:dyDescent="0.3">
      <c r="A567" s="15">
        <v>46165</v>
      </c>
      <c r="B567" t="s">
        <v>114</v>
      </c>
      <c r="C567" t="s">
        <v>107</v>
      </c>
      <c r="D567" t="s">
        <v>108</v>
      </c>
      <c r="E567" t="s">
        <v>109</v>
      </c>
      <c r="F567" t="s">
        <v>96</v>
      </c>
      <c r="G567" t="s">
        <v>80</v>
      </c>
      <c r="H567" t="s">
        <v>110</v>
      </c>
      <c r="I567" t="s">
        <v>362</v>
      </c>
      <c r="J567">
        <v>2</v>
      </c>
      <c r="K567" s="16">
        <v>23750</v>
      </c>
      <c r="L567" s="16">
        <v>18886.52</v>
      </c>
      <c r="M567" s="16">
        <v>4863.4799999999996</v>
      </c>
      <c r="N567" t="s">
        <v>125</v>
      </c>
      <c r="O567" t="s">
        <v>119</v>
      </c>
      <c r="P567" t="str">
        <f t="shared" si="8"/>
        <v>Udaipur|Office Chair</v>
      </c>
    </row>
    <row r="568" spans="1:16" x14ac:dyDescent="0.3">
      <c r="A568" s="15">
        <v>46221</v>
      </c>
      <c r="B568" t="s">
        <v>34</v>
      </c>
      <c r="C568" t="s">
        <v>152</v>
      </c>
      <c r="D568" t="s">
        <v>153</v>
      </c>
      <c r="E568" t="s">
        <v>169</v>
      </c>
      <c r="F568" t="s">
        <v>94</v>
      </c>
      <c r="G568" t="s">
        <v>70</v>
      </c>
      <c r="H568" t="s">
        <v>184</v>
      </c>
      <c r="I568" t="s">
        <v>178</v>
      </c>
      <c r="J568">
        <v>10</v>
      </c>
      <c r="K568" s="16">
        <v>150350</v>
      </c>
      <c r="L568" s="16">
        <v>94822.98</v>
      </c>
      <c r="M568" s="16">
        <v>55527.02</v>
      </c>
      <c r="N568" t="s">
        <v>141</v>
      </c>
      <c r="O568" t="s">
        <v>119</v>
      </c>
      <c r="P568" t="str">
        <f t="shared" si="8"/>
        <v>Chennai|Printer Pro</v>
      </c>
    </row>
    <row r="569" spans="1:16" x14ac:dyDescent="0.3">
      <c r="A569" s="15">
        <v>46172</v>
      </c>
      <c r="B569" t="s">
        <v>34</v>
      </c>
      <c r="C569" t="s">
        <v>152</v>
      </c>
      <c r="D569" t="s">
        <v>156</v>
      </c>
      <c r="E569" t="s">
        <v>238</v>
      </c>
      <c r="F569" t="s">
        <v>97</v>
      </c>
      <c r="G569" t="s">
        <v>88</v>
      </c>
      <c r="H569" t="s">
        <v>129</v>
      </c>
      <c r="I569" t="s">
        <v>333</v>
      </c>
      <c r="J569">
        <v>14</v>
      </c>
      <c r="K569" s="16">
        <v>203000</v>
      </c>
      <c r="L569" s="16">
        <v>137078.6</v>
      </c>
      <c r="M569" s="16">
        <v>65921.399999999994</v>
      </c>
      <c r="N569" t="s">
        <v>125</v>
      </c>
      <c r="O569" t="s">
        <v>113</v>
      </c>
      <c r="P569" t="str">
        <f t="shared" si="8"/>
        <v>Bengaluru|Vacuum Cleaner</v>
      </c>
    </row>
    <row r="570" spans="1:16" x14ac:dyDescent="0.3">
      <c r="A570" s="15">
        <v>46214</v>
      </c>
      <c r="B570" t="s">
        <v>34</v>
      </c>
      <c r="C570" t="s">
        <v>107</v>
      </c>
      <c r="D570" t="s">
        <v>149</v>
      </c>
      <c r="E570" t="s">
        <v>150</v>
      </c>
      <c r="F570" t="s">
        <v>95</v>
      </c>
      <c r="G570" t="s">
        <v>72</v>
      </c>
      <c r="H570" t="s">
        <v>135</v>
      </c>
      <c r="I570" t="s">
        <v>323</v>
      </c>
      <c r="J570">
        <v>7</v>
      </c>
      <c r="K570" s="16">
        <v>20608</v>
      </c>
      <c r="L570" s="16">
        <v>13330.6</v>
      </c>
      <c r="M570" s="16">
        <v>7277.4</v>
      </c>
      <c r="N570" t="s">
        <v>141</v>
      </c>
      <c r="O570" t="s">
        <v>113</v>
      </c>
      <c r="P570" t="str">
        <f t="shared" si="8"/>
        <v>Mumbai|Keyboard</v>
      </c>
    </row>
    <row r="571" spans="1:16" x14ac:dyDescent="0.3">
      <c r="A571" s="15">
        <v>46039</v>
      </c>
      <c r="B571" t="s">
        <v>34</v>
      </c>
      <c r="C571" t="s">
        <v>126</v>
      </c>
      <c r="D571" t="s">
        <v>127</v>
      </c>
      <c r="E571" t="s">
        <v>128</v>
      </c>
      <c r="F571" t="s">
        <v>96</v>
      </c>
      <c r="G571" t="s">
        <v>84</v>
      </c>
      <c r="H571" t="s">
        <v>139</v>
      </c>
      <c r="I571" t="s">
        <v>271</v>
      </c>
      <c r="J571">
        <v>13</v>
      </c>
      <c r="K571" s="16">
        <v>188500</v>
      </c>
      <c r="L571" s="16">
        <v>128793.77</v>
      </c>
      <c r="M571" s="16">
        <v>59706.23</v>
      </c>
      <c r="N571" t="s">
        <v>131</v>
      </c>
      <c r="O571" t="s">
        <v>113</v>
      </c>
      <c r="P571" t="str">
        <f t="shared" si="8"/>
        <v>Gurugram|Filing Cabinet</v>
      </c>
    </row>
    <row r="572" spans="1:16" x14ac:dyDescent="0.3">
      <c r="A572" s="15">
        <v>46067</v>
      </c>
      <c r="B572" t="s">
        <v>120</v>
      </c>
      <c r="C572" t="s">
        <v>152</v>
      </c>
      <c r="D572" t="s">
        <v>156</v>
      </c>
      <c r="E572" t="s">
        <v>157</v>
      </c>
      <c r="F572" t="s">
        <v>95</v>
      </c>
      <c r="G572" t="s">
        <v>72</v>
      </c>
      <c r="H572" t="s">
        <v>133</v>
      </c>
      <c r="I572" t="s">
        <v>164</v>
      </c>
      <c r="J572">
        <v>6</v>
      </c>
      <c r="K572" s="16">
        <v>18624</v>
      </c>
      <c r="L572" s="16">
        <v>13603.49</v>
      </c>
      <c r="M572" s="16">
        <v>5020.51</v>
      </c>
      <c r="N572" t="s">
        <v>112</v>
      </c>
      <c r="O572" t="s">
        <v>113</v>
      </c>
      <c r="P572" t="str">
        <f t="shared" si="8"/>
        <v>Mysuru|Keyboard</v>
      </c>
    </row>
    <row r="573" spans="1:16" x14ac:dyDescent="0.3">
      <c r="A573" s="15">
        <v>46037</v>
      </c>
      <c r="B573" t="s">
        <v>34</v>
      </c>
      <c r="C573" t="s">
        <v>107</v>
      </c>
      <c r="D573" t="s">
        <v>108</v>
      </c>
      <c r="E573" t="s">
        <v>132</v>
      </c>
      <c r="F573" t="s">
        <v>95</v>
      </c>
      <c r="G573" t="s">
        <v>78</v>
      </c>
      <c r="H573" t="s">
        <v>135</v>
      </c>
      <c r="I573" t="s">
        <v>174</v>
      </c>
      <c r="J573">
        <v>16</v>
      </c>
      <c r="K573" s="16">
        <v>65184</v>
      </c>
      <c r="L573" s="16">
        <v>47539.18</v>
      </c>
      <c r="M573" s="16">
        <v>17644.82</v>
      </c>
      <c r="N573" t="s">
        <v>125</v>
      </c>
      <c r="O573" t="s">
        <v>113</v>
      </c>
      <c r="P573" t="str">
        <f t="shared" si="8"/>
        <v>Jaipur|Webcam</v>
      </c>
    </row>
    <row r="574" spans="1:16" x14ac:dyDescent="0.3">
      <c r="A574" s="15">
        <v>46178</v>
      </c>
      <c r="B574" t="s">
        <v>34</v>
      </c>
      <c r="C574" t="s">
        <v>107</v>
      </c>
      <c r="D574" t="s">
        <v>149</v>
      </c>
      <c r="E574" t="s">
        <v>150</v>
      </c>
      <c r="F574" t="s">
        <v>94</v>
      </c>
      <c r="G574" t="s">
        <v>67</v>
      </c>
      <c r="H574" t="s">
        <v>173</v>
      </c>
      <c r="I574" t="s">
        <v>347</v>
      </c>
      <c r="J574">
        <v>15</v>
      </c>
      <c r="K574" s="16">
        <v>455400</v>
      </c>
      <c r="L574" s="16">
        <v>321653.18</v>
      </c>
      <c r="M574" s="16">
        <v>133746.82</v>
      </c>
      <c r="N574" t="s">
        <v>112</v>
      </c>
      <c r="O574" t="s">
        <v>119</v>
      </c>
      <c r="P574" t="str">
        <f t="shared" si="8"/>
        <v>Mumbai|Tablet X</v>
      </c>
    </row>
    <row r="575" spans="1:16" x14ac:dyDescent="0.3">
      <c r="A575" s="15">
        <v>46064</v>
      </c>
      <c r="B575" t="s">
        <v>114</v>
      </c>
      <c r="C575" t="s">
        <v>126</v>
      </c>
      <c r="D575" t="s">
        <v>196</v>
      </c>
      <c r="E575" t="s">
        <v>208</v>
      </c>
      <c r="F575" t="s">
        <v>96</v>
      </c>
      <c r="G575" t="s">
        <v>83</v>
      </c>
      <c r="H575" t="s">
        <v>173</v>
      </c>
      <c r="I575" t="s">
        <v>321</v>
      </c>
      <c r="J575">
        <v>17</v>
      </c>
      <c r="K575" s="16">
        <v>612000</v>
      </c>
      <c r="L575" s="16">
        <v>428147.47</v>
      </c>
      <c r="M575" s="16">
        <v>183852.53</v>
      </c>
      <c r="N575" t="s">
        <v>125</v>
      </c>
      <c r="O575" t="s">
        <v>119</v>
      </c>
      <c r="P575" t="str">
        <f t="shared" si="8"/>
        <v>New Delhi|Meeting Table</v>
      </c>
    </row>
    <row r="576" spans="1:16" x14ac:dyDescent="0.3">
      <c r="A576" s="15">
        <v>46244</v>
      </c>
      <c r="B576" t="s">
        <v>114</v>
      </c>
      <c r="C576" t="s">
        <v>152</v>
      </c>
      <c r="D576" t="s">
        <v>187</v>
      </c>
      <c r="E576" t="s">
        <v>199</v>
      </c>
      <c r="F576" t="s">
        <v>97</v>
      </c>
      <c r="G576" t="s">
        <v>85</v>
      </c>
      <c r="H576" t="s">
        <v>129</v>
      </c>
      <c r="I576" t="s">
        <v>251</v>
      </c>
      <c r="J576">
        <v>18</v>
      </c>
      <c r="K576" s="16">
        <v>298080</v>
      </c>
      <c r="L576" s="16">
        <v>243083.55</v>
      </c>
      <c r="M576" s="16">
        <v>54996.45</v>
      </c>
      <c r="N576" t="s">
        <v>131</v>
      </c>
      <c r="O576" t="s">
        <v>113</v>
      </c>
      <c r="P576" t="str">
        <f t="shared" si="8"/>
        <v>Hyderabad|Air Purifier</v>
      </c>
    </row>
    <row r="577" spans="1:16" x14ac:dyDescent="0.3">
      <c r="A577" s="15">
        <v>46045</v>
      </c>
      <c r="B577" t="s">
        <v>34</v>
      </c>
      <c r="C577" t="s">
        <v>107</v>
      </c>
      <c r="D577" t="s">
        <v>115</v>
      </c>
      <c r="E577" t="s">
        <v>116</v>
      </c>
      <c r="F577" t="s">
        <v>94</v>
      </c>
      <c r="G577" t="s">
        <v>61</v>
      </c>
      <c r="H577" t="s">
        <v>133</v>
      </c>
      <c r="I577" t="s">
        <v>339</v>
      </c>
      <c r="J577">
        <v>5</v>
      </c>
      <c r="K577" s="16">
        <v>343200</v>
      </c>
      <c r="L577" s="16">
        <v>222209.29</v>
      </c>
      <c r="M577" s="16">
        <v>120990.71</v>
      </c>
      <c r="N577" t="s">
        <v>141</v>
      </c>
      <c r="O577" t="s">
        <v>113</v>
      </c>
      <c r="P577" t="str">
        <f t="shared" si="8"/>
        <v>Ahmedabad|Laptop Pro</v>
      </c>
    </row>
    <row r="578" spans="1:16" x14ac:dyDescent="0.3">
      <c r="A578" s="15">
        <v>46103</v>
      </c>
      <c r="B578" t="s">
        <v>34</v>
      </c>
      <c r="C578" t="s">
        <v>152</v>
      </c>
      <c r="D578" t="s">
        <v>156</v>
      </c>
      <c r="E578" t="s">
        <v>157</v>
      </c>
      <c r="F578" t="s">
        <v>95</v>
      </c>
      <c r="G578" t="s">
        <v>72</v>
      </c>
      <c r="H578" t="s">
        <v>129</v>
      </c>
      <c r="I578" t="s">
        <v>136</v>
      </c>
      <c r="J578">
        <v>13</v>
      </c>
      <c r="K578" s="16">
        <v>39520</v>
      </c>
      <c r="L578" s="16">
        <v>27361.19</v>
      </c>
      <c r="M578" s="16">
        <v>12158.81</v>
      </c>
      <c r="N578" t="s">
        <v>131</v>
      </c>
      <c r="O578" t="s">
        <v>142</v>
      </c>
      <c r="P578" t="str">
        <f t="shared" si="8"/>
        <v>Mysuru|Keyboard</v>
      </c>
    </row>
    <row r="579" spans="1:16" x14ac:dyDescent="0.3">
      <c r="A579" s="15">
        <v>46071</v>
      </c>
      <c r="B579" t="s">
        <v>34</v>
      </c>
      <c r="C579" t="s">
        <v>152</v>
      </c>
      <c r="D579" t="s">
        <v>187</v>
      </c>
      <c r="E579" t="s">
        <v>199</v>
      </c>
      <c r="F579" t="s">
        <v>94</v>
      </c>
      <c r="G579" t="s">
        <v>61</v>
      </c>
      <c r="H579" t="s">
        <v>184</v>
      </c>
      <c r="I579" t="s">
        <v>368</v>
      </c>
      <c r="J579">
        <v>20</v>
      </c>
      <c r="K579" s="16">
        <v>1482000</v>
      </c>
      <c r="L579" s="16">
        <v>1138637.68</v>
      </c>
      <c r="M579" s="16">
        <v>343362.32</v>
      </c>
      <c r="N579" t="s">
        <v>125</v>
      </c>
      <c r="O579" t="s">
        <v>119</v>
      </c>
      <c r="P579" t="str">
        <f t="shared" si="8"/>
        <v>Hyderabad|Laptop Pro</v>
      </c>
    </row>
    <row r="580" spans="1:16" x14ac:dyDescent="0.3">
      <c r="A580" s="15">
        <v>46083</v>
      </c>
      <c r="B580" t="s">
        <v>120</v>
      </c>
      <c r="C580" t="s">
        <v>152</v>
      </c>
      <c r="D580" t="s">
        <v>153</v>
      </c>
      <c r="E580" t="s">
        <v>154</v>
      </c>
      <c r="F580" t="s">
        <v>94</v>
      </c>
      <c r="G580" t="s">
        <v>67</v>
      </c>
      <c r="H580" t="s">
        <v>139</v>
      </c>
      <c r="I580" t="s">
        <v>214</v>
      </c>
      <c r="J580">
        <v>4</v>
      </c>
      <c r="K580" s="16">
        <v>116160</v>
      </c>
      <c r="L580" s="16">
        <v>72476.47</v>
      </c>
      <c r="M580" s="16">
        <v>43683.53</v>
      </c>
      <c r="N580" t="s">
        <v>125</v>
      </c>
      <c r="O580" t="s">
        <v>113</v>
      </c>
      <c r="P580" t="str">
        <f t="shared" si="8"/>
        <v>Coimbatore|Tablet X</v>
      </c>
    </row>
    <row r="581" spans="1:16" x14ac:dyDescent="0.3">
      <c r="A581" s="15">
        <v>46140</v>
      </c>
      <c r="B581" t="s">
        <v>34</v>
      </c>
      <c r="C581" t="s">
        <v>121</v>
      </c>
      <c r="D581" t="s">
        <v>137</v>
      </c>
      <c r="E581" t="s">
        <v>171</v>
      </c>
      <c r="F581" t="s">
        <v>97</v>
      </c>
      <c r="G581" t="s">
        <v>88</v>
      </c>
      <c r="H581" t="s">
        <v>139</v>
      </c>
      <c r="I581" t="s">
        <v>290</v>
      </c>
      <c r="J581">
        <v>16</v>
      </c>
      <c r="K581" s="16">
        <v>232000</v>
      </c>
      <c r="L581" s="16">
        <v>174228.44</v>
      </c>
      <c r="M581" s="16">
        <v>57771.56</v>
      </c>
      <c r="N581" t="s">
        <v>125</v>
      </c>
      <c r="O581" t="s">
        <v>113</v>
      </c>
      <c r="P581" t="str">
        <f t="shared" ref="P581:P644" si="9">E581&amp;"|"&amp;G581</f>
        <v>Bhubaneswar|Vacuum Cleaner</v>
      </c>
    </row>
    <row r="582" spans="1:16" x14ac:dyDescent="0.3">
      <c r="A582" s="15">
        <v>46131</v>
      </c>
      <c r="B582" t="s">
        <v>34</v>
      </c>
      <c r="C582" t="s">
        <v>126</v>
      </c>
      <c r="D582" t="s">
        <v>162</v>
      </c>
      <c r="E582" t="s">
        <v>204</v>
      </c>
      <c r="F582" t="s">
        <v>95</v>
      </c>
      <c r="G582" t="s">
        <v>74</v>
      </c>
      <c r="H582" t="s">
        <v>173</v>
      </c>
      <c r="I582" t="s">
        <v>293</v>
      </c>
      <c r="J582">
        <v>15</v>
      </c>
      <c r="K582" s="16">
        <v>68400</v>
      </c>
      <c r="L582" s="16">
        <v>46336.25</v>
      </c>
      <c r="M582" s="16">
        <v>22063.75</v>
      </c>
      <c r="N582" t="s">
        <v>125</v>
      </c>
      <c r="O582" t="s">
        <v>113</v>
      </c>
      <c r="P582" t="str">
        <f t="shared" si="9"/>
        <v>Noida|Headset</v>
      </c>
    </row>
    <row r="583" spans="1:16" x14ac:dyDescent="0.3">
      <c r="A583" s="15">
        <v>46263</v>
      </c>
      <c r="B583" t="s">
        <v>34</v>
      </c>
      <c r="C583" t="s">
        <v>152</v>
      </c>
      <c r="D583" t="s">
        <v>153</v>
      </c>
      <c r="E583" t="s">
        <v>169</v>
      </c>
      <c r="F583" t="s">
        <v>96</v>
      </c>
      <c r="G583" t="s">
        <v>82</v>
      </c>
      <c r="H583" t="s">
        <v>117</v>
      </c>
      <c r="I583" t="s">
        <v>331</v>
      </c>
      <c r="J583">
        <v>9</v>
      </c>
      <c r="K583" s="16">
        <v>235980</v>
      </c>
      <c r="L583" s="16">
        <v>192306.52</v>
      </c>
      <c r="M583" s="16">
        <v>43673.48</v>
      </c>
      <c r="N583" t="s">
        <v>141</v>
      </c>
      <c r="O583" t="s">
        <v>119</v>
      </c>
      <c r="P583" t="str">
        <f t="shared" si="9"/>
        <v>Chennai|Standing Desk</v>
      </c>
    </row>
    <row r="584" spans="1:16" x14ac:dyDescent="0.3">
      <c r="A584" s="15">
        <v>46189</v>
      </c>
      <c r="B584" t="s">
        <v>34</v>
      </c>
      <c r="C584" t="s">
        <v>152</v>
      </c>
      <c r="D584" t="s">
        <v>156</v>
      </c>
      <c r="E584" t="s">
        <v>157</v>
      </c>
      <c r="F584" t="s">
        <v>96</v>
      </c>
      <c r="G584" t="s">
        <v>82</v>
      </c>
      <c r="H584" t="s">
        <v>129</v>
      </c>
      <c r="I584" t="s">
        <v>303</v>
      </c>
      <c r="J584">
        <v>5</v>
      </c>
      <c r="K584" s="16">
        <v>131100</v>
      </c>
      <c r="L584" s="16">
        <v>93349.759999999995</v>
      </c>
      <c r="M584" s="16">
        <v>37750.239999999998</v>
      </c>
      <c r="N584" t="s">
        <v>125</v>
      </c>
      <c r="O584" t="s">
        <v>113</v>
      </c>
      <c r="P584" t="str">
        <f t="shared" si="9"/>
        <v>Mysuru|Standing Desk</v>
      </c>
    </row>
    <row r="585" spans="1:16" x14ac:dyDescent="0.3">
      <c r="A585" s="15">
        <v>46152</v>
      </c>
      <c r="B585" t="s">
        <v>34</v>
      </c>
      <c r="C585" t="s">
        <v>152</v>
      </c>
      <c r="D585" t="s">
        <v>187</v>
      </c>
      <c r="E585" t="s">
        <v>188</v>
      </c>
      <c r="F585" t="s">
        <v>94</v>
      </c>
      <c r="G585" t="s">
        <v>70</v>
      </c>
      <c r="H585" t="s">
        <v>117</v>
      </c>
      <c r="I585" t="s">
        <v>370</v>
      </c>
      <c r="J585">
        <v>17</v>
      </c>
      <c r="K585" s="16">
        <v>255595</v>
      </c>
      <c r="L585" s="16">
        <v>164343.82</v>
      </c>
      <c r="M585" s="16">
        <v>91251.18</v>
      </c>
      <c r="N585" t="s">
        <v>125</v>
      </c>
      <c r="O585" t="s">
        <v>119</v>
      </c>
      <c r="P585" t="str">
        <f t="shared" si="9"/>
        <v>Warangal|Printer Pro</v>
      </c>
    </row>
    <row r="586" spans="1:16" x14ac:dyDescent="0.3">
      <c r="A586" s="15">
        <v>46058</v>
      </c>
      <c r="B586" t="s">
        <v>34</v>
      </c>
      <c r="C586" t="s">
        <v>107</v>
      </c>
      <c r="D586" t="s">
        <v>115</v>
      </c>
      <c r="E586" t="s">
        <v>116</v>
      </c>
      <c r="F586" t="s">
        <v>94</v>
      </c>
      <c r="G586" t="s">
        <v>64</v>
      </c>
      <c r="H586" t="s">
        <v>135</v>
      </c>
      <c r="I586" t="s">
        <v>209</v>
      </c>
      <c r="J586">
        <v>5</v>
      </c>
      <c r="K586" s="16">
        <v>101850</v>
      </c>
      <c r="L586" s="16">
        <v>66466.740000000005</v>
      </c>
      <c r="M586" s="16">
        <v>35383.26</v>
      </c>
      <c r="N586" t="s">
        <v>112</v>
      </c>
      <c r="O586" t="s">
        <v>113</v>
      </c>
      <c r="P586" t="str">
        <f t="shared" si="9"/>
        <v>Ahmedabad|Monitor 27</v>
      </c>
    </row>
    <row r="587" spans="1:16" x14ac:dyDescent="0.3">
      <c r="A587" s="15">
        <v>46118</v>
      </c>
      <c r="B587" t="s">
        <v>34</v>
      </c>
      <c r="C587" t="s">
        <v>107</v>
      </c>
      <c r="D587" t="s">
        <v>149</v>
      </c>
      <c r="E587" t="s">
        <v>150</v>
      </c>
      <c r="F587" t="s">
        <v>97</v>
      </c>
      <c r="G587" t="s">
        <v>85</v>
      </c>
      <c r="H587" t="s">
        <v>173</v>
      </c>
      <c r="I587" t="s">
        <v>235</v>
      </c>
      <c r="J587">
        <v>5</v>
      </c>
      <c r="K587" s="16">
        <v>82800</v>
      </c>
      <c r="L587" s="16">
        <v>66954.460000000006</v>
      </c>
      <c r="M587" s="16">
        <v>15845.54</v>
      </c>
      <c r="N587" t="s">
        <v>125</v>
      </c>
      <c r="O587" t="s">
        <v>142</v>
      </c>
      <c r="P587" t="str">
        <f t="shared" si="9"/>
        <v>Mumbai|Air Purifier</v>
      </c>
    </row>
    <row r="588" spans="1:16" x14ac:dyDescent="0.3">
      <c r="A588" s="15">
        <v>46202</v>
      </c>
      <c r="B588" t="s">
        <v>120</v>
      </c>
      <c r="C588" t="s">
        <v>107</v>
      </c>
      <c r="D588" t="s">
        <v>108</v>
      </c>
      <c r="E588" t="s">
        <v>109</v>
      </c>
      <c r="F588" t="s">
        <v>97</v>
      </c>
      <c r="G588" t="s">
        <v>85</v>
      </c>
      <c r="H588" t="s">
        <v>110</v>
      </c>
      <c r="I588" t="s">
        <v>237</v>
      </c>
      <c r="J588">
        <v>5</v>
      </c>
      <c r="K588" s="16">
        <v>90000</v>
      </c>
      <c r="L588" s="16">
        <v>60865.5</v>
      </c>
      <c r="M588" s="16">
        <v>29134.5</v>
      </c>
      <c r="N588" t="s">
        <v>131</v>
      </c>
      <c r="O588" t="s">
        <v>142</v>
      </c>
      <c r="P588" t="str">
        <f t="shared" si="9"/>
        <v>Udaipur|Air Purifier</v>
      </c>
    </row>
    <row r="589" spans="1:16" x14ac:dyDescent="0.3">
      <c r="A589" s="15">
        <v>46229</v>
      </c>
      <c r="B589" t="s">
        <v>34</v>
      </c>
      <c r="C589" t="s">
        <v>121</v>
      </c>
      <c r="D589" t="s">
        <v>137</v>
      </c>
      <c r="E589" t="s">
        <v>138</v>
      </c>
      <c r="F589" t="s">
        <v>94</v>
      </c>
      <c r="G589" t="s">
        <v>70</v>
      </c>
      <c r="H589" t="s">
        <v>129</v>
      </c>
      <c r="I589" t="s">
        <v>221</v>
      </c>
      <c r="J589">
        <v>18</v>
      </c>
      <c r="K589" s="16">
        <v>265050</v>
      </c>
      <c r="L589" s="16">
        <v>211361.49</v>
      </c>
      <c r="M589" s="16">
        <v>53688.51</v>
      </c>
      <c r="N589" t="s">
        <v>112</v>
      </c>
      <c r="O589" t="s">
        <v>142</v>
      </c>
      <c r="P589" t="str">
        <f t="shared" si="9"/>
        <v>Cuttack|Printer Pro</v>
      </c>
    </row>
    <row r="590" spans="1:16" x14ac:dyDescent="0.3">
      <c r="A590" s="15">
        <v>46238</v>
      </c>
      <c r="B590" t="s">
        <v>34</v>
      </c>
      <c r="C590" t="s">
        <v>126</v>
      </c>
      <c r="D590" t="s">
        <v>196</v>
      </c>
      <c r="E590" t="s">
        <v>208</v>
      </c>
      <c r="F590" t="s">
        <v>96</v>
      </c>
      <c r="G590" t="s">
        <v>83</v>
      </c>
      <c r="H590" t="s">
        <v>173</v>
      </c>
      <c r="I590" t="s">
        <v>255</v>
      </c>
      <c r="J590">
        <v>8</v>
      </c>
      <c r="K590" s="16">
        <v>288000</v>
      </c>
      <c r="L590" s="16">
        <v>233485.3</v>
      </c>
      <c r="M590" s="16">
        <v>54514.7</v>
      </c>
      <c r="N590" t="s">
        <v>141</v>
      </c>
      <c r="O590" t="s">
        <v>113</v>
      </c>
      <c r="P590" t="str">
        <f t="shared" si="9"/>
        <v>New Delhi|Meeting Table</v>
      </c>
    </row>
    <row r="591" spans="1:16" x14ac:dyDescent="0.3">
      <c r="A591" s="15">
        <v>46032</v>
      </c>
      <c r="B591" t="s">
        <v>34</v>
      </c>
      <c r="C591" t="s">
        <v>152</v>
      </c>
      <c r="D591" t="s">
        <v>187</v>
      </c>
      <c r="E591" t="s">
        <v>188</v>
      </c>
      <c r="F591" t="s">
        <v>94</v>
      </c>
      <c r="G591" t="s">
        <v>67</v>
      </c>
      <c r="H591" t="s">
        <v>110</v>
      </c>
      <c r="I591" t="s">
        <v>220</v>
      </c>
      <c r="J591">
        <v>10</v>
      </c>
      <c r="K591" s="16">
        <v>330000</v>
      </c>
      <c r="L591" s="16">
        <v>251103.21</v>
      </c>
      <c r="M591" s="16">
        <v>78896.789999999994</v>
      </c>
      <c r="N591" t="s">
        <v>131</v>
      </c>
      <c r="O591" t="s">
        <v>142</v>
      </c>
      <c r="P591" t="str">
        <f t="shared" si="9"/>
        <v>Warangal|Tablet X</v>
      </c>
    </row>
    <row r="592" spans="1:16" x14ac:dyDescent="0.3">
      <c r="A592" s="15">
        <v>46242</v>
      </c>
      <c r="B592" t="s">
        <v>114</v>
      </c>
      <c r="C592" t="s">
        <v>121</v>
      </c>
      <c r="D592" t="s">
        <v>122</v>
      </c>
      <c r="E592" t="s">
        <v>123</v>
      </c>
      <c r="F592" t="s">
        <v>97</v>
      </c>
      <c r="G592" t="s">
        <v>87</v>
      </c>
      <c r="H592" t="s">
        <v>139</v>
      </c>
      <c r="I592" t="s">
        <v>276</v>
      </c>
      <c r="J592">
        <v>19</v>
      </c>
      <c r="K592" s="16">
        <v>218500</v>
      </c>
      <c r="L592" s="16">
        <v>166018.1</v>
      </c>
      <c r="M592" s="16">
        <v>52481.9</v>
      </c>
      <c r="N592" t="s">
        <v>112</v>
      </c>
      <c r="O592" t="s">
        <v>142</v>
      </c>
      <c r="P592" t="str">
        <f t="shared" si="9"/>
        <v>Durgapur|Microwave</v>
      </c>
    </row>
    <row r="593" spans="1:16" x14ac:dyDescent="0.3">
      <c r="A593" s="15">
        <v>46054</v>
      </c>
      <c r="B593" t="s">
        <v>120</v>
      </c>
      <c r="C593" t="s">
        <v>107</v>
      </c>
      <c r="D593" t="s">
        <v>115</v>
      </c>
      <c r="E593" t="s">
        <v>116</v>
      </c>
      <c r="F593" t="s">
        <v>96</v>
      </c>
      <c r="G593" t="s">
        <v>80</v>
      </c>
      <c r="H593" t="s">
        <v>139</v>
      </c>
      <c r="I593" t="s">
        <v>361</v>
      </c>
      <c r="J593">
        <v>10</v>
      </c>
      <c r="K593" s="16">
        <v>125000</v>
      </c>
      <c r="L593" s="16">
        <v>89739.14</v>
      </c>
      <c r="M593" s="16">
        <v>35260.86</v>
      </c>
      <c r="N593" t="s">
        <v>112</v>
      </c>
      <c r="O593" t="s">
        <v>113</v>
      </c>
      <c r="P593" t="str">
        <f t="shared" si="9"/>
        <v>Ahmedabad|Office Chair</v>
      </c>
    </row>
    <row r="594" spans="1:16" x14ac:dyDescent="0.3">
      <c r="A594" s="15">
        <v>46135</v>
      </c>
      <c r="B594" t="s">
        <v>120</v>
      </c>
      <c r="C594" t="s">
        <v>126</v>
      </c>
      <c r="D594" t="s">
        <v>127</v>
      </c>
      <c r="E594" t="s">
        <v>143</v>
      </c>
      <c r="F594" t="s">
        <v>94</v>
      </c>
      <c r="G594" t="s">
        <v>64</v>
      </c>
      <c r="H594" t="s">
        <v>184</v>
      </c>
      <c r="I594" t="s">
        <v>380</v>
      </c>
      <c r="J594">
        <v>19</v>
      </c>
      <c r="K594" s="16">
        <v>351120</v>
      </c>
      <c r="L594" s="16">
        <v>254446.89</v>
      </c>
      <c r="M594" s="16">
        <v>96673.11</v>
      </c>
      <c r="N594" t="s">
        <v>131</v>
      </c>
      <c r="O594" t="s">
        <v>113</v>
      </c>
      <c r="P594" t="str">
        <f t="shared" si="9"/>
        <v>Faridabad|Monitor 27</v>
      </c>
    </row>
    <row r="595" spans="1:16" x14ac:dyDescent="0.3">
      <c r="A595" s="15">
        <v>46187</v>
      </c>
      <c r="B595" t="s">
        <v>34</v>
      </c>
      <c r="C595" t="s">
        <v>107</v>
      </c>
      <c r="D595" t="s">
        <v>108</v>
      </c>
      <c r="E595" t="s">
        <v>132</v>
      </c>
      <c r="F595" t="s">
        <v>94</v>
      </c>
      <c r="G595" t="s">
        <v>67</v>
      </c>
      <c r="H595" t="s">
        <v>139</v>
      </c>
      <c r="I595" t="s">
        <v>334</v>
      </c>
      <c r="J595">
        <v>4</v>
      </c>
      <c r="K595" s="16">
        <v>121440</v>
      </c>
      <c r="L595" s="16">
        <v>83811.34</v>
      </c>
      <c r="M595" s="16">
        <v>37628.660000000003</v>
      </c>
      <c r="N595" t="s">
        <v>131</v>
      </c>
      <c r="O595" t="s">
        <v>113</v>
      </c>
      <c r="P595" t="str">
        <f t="shared" si="9"/>
        <v>Jaipur|Tablet X</v>
      </c>
    </row>
    <row r="596" spans="1:16" x14ac:dyDescent="0.3">
      <c r="A596" s="15">
        <v>46126</v>
      </c>
      <c r="B596" t="s">
        <v>34</v>
      </c>
      <c r="C596" t="s">
        <v>107</v>
      </c>
      <c r="D596" t="s">
        <v>149</v>
      </c>
      <c r="E596" t="s">
        <v>159</v>
      </c>
      <c r="F596" t="s">
        <v>97</v>
      </c>
      <c r="G596" t="s">
        <v>85</v>
      </c>
      <c r="H596" t="s">
        <v>110</v>
      </c>
      <c r="I596" t="s">
        <v>264</v>
      </c>
      <c r="J596">
        <v>4</v>
      </c>
      <c r="K596" s="16">
        <v>63360</v>
      </c>
      <c r="L596" s="16">
        <v>40925.03</v>
      </c>
      <c r="M596" s="16">
        <v>22434.97</v>
      </c>
      <c r="N596" t="s">
        <v>112</v>
      </c>
      <c r="O596" t="s">
        <v>113</v>
      </c>
      <c r="P596" t="str">
        <f t="shared" si="9"/>
        <v>Pune|Air Purifier</v>
      </c>
    </row>
    <row r="597" spans="1:16" x14ac:dyDescent="0.3">
      <c r="A597" s="15">
        <v>46114</v>
      </c>
      <c r="B597" t="s">
        <v>120</v>
      </c>
      <c r="C597" t="s">
        <v>152</v>
      </c>
      <c r="D597" t="s">
        <v>156</v>
      </c>
      <c r="E597" t="s">
        <v>238</v>
      </c>
      <c r="F597" t="s">
        <v>96</v>
      </c>
      <c r="G597" t="s">
        <v>82</v>
      </c>
      <c r="H597" t="s">
        <v>117</v>
      </c>
      <c r="I597" t="s">
        <v>381</v>
      </c>
      <c r="J597">
        <v>19</v>
      </c>
      <c r="K597" s="16">
        <v>514425</v>
      </c>
      <c r="L597" s="16">
        <v>328697.83</v>
      </c>
      <c r="M597" s="16">
        <v>185727.17</v>
      </c>
      <c r="N597" t="s">
        <v>141</v>
      </c>
      <c r="O597" t="s">
        <v>142</v>
      </c>
      <c r="P597" t="str">
        <f t="shared" si="9"/>
        <v>Bengaluru|Standing Desk</v>
      </c>
    </row>
    <row r="598" spans="1:16" x14ac:dyDescent="0.3">
      <c r="A598" s="15">
        <v>46248</v>
      </c>
      <c r="B598" t="s">
        <v>34</v>
      </c>
      <c r="C598" t="s">
        <v>107</v>
      </c>
      <c r="D598" t="s">
        <v>108</v>
      </c>
      <c r="E598" t="s">
        <v>109</v>
      </c>
      <c r="F598" t="s">
        <v>96</v>
      </c>
      <c r="G598" t="s">
        <v>82</v>
      </c>
      <c r="H598" t="s">
        <v>117</v>
      </c>
      <c r="I598" t="s">
        <v>274</v>
      </c>
      <c r="J598">
        <v>8</v>
      </c>
      <c r="K598" s="16">
        <v>228000</v>
      </c>
      <c r="L598" s="16">
        <v>180136.32000000001</v>
      </c>
      <c r="M598" s="16">
        <v>47863.68</v>
      </c>
      <c r="N598" t="s">
        <v>141</v>
      </c>
      <c r="O598" t="s">
        <v>113</v>
      </c>
      <c r="P598" t="str">
        <f t="shared" si="9"/>
        <v>Udaipur|Standing Desk</v>
      </c>
    </row>
    <row r="599" spans="1:16" x14ac:dyDescent="0.3">
      <c r="A599" s="15">
        <v>46235</v>
      </c>
      <c r="B599" t="s">
        <v>34</v>
      </c>
      <c r="C599" t="s">
        <v>152</v>
      </c>
      <c r="D599" t="s">
        <v>187</v>
      </c>
      <c r="E599" t="s">
        <v>188</v>
      </c>
      <c r="F599" t="s">
        <v>97</v>
      </c>
      <c r="G599" t="s">
        <v>87</v>
      </c>
      <c r="H599" t="s">
        <v>129</v>
      </c>
      <c r="I599" t="s">
        <v>249</v>
      </c>
      <c r="J599">
        <v>1</v>
      </c>
      <c r="K599" s="16">
        <v>12125</v>
      </c>
      <c r="L599" s="16">
        <v>8174.29</v>
      </c>
      <c r="M599" s="16">
        <v>3950.71</v>
      </c>
      <c r="N599" t="s">
        <v>141</v>
      </c>
      <c r="O599" t="s">
        <v>113</v>
      </c>
      <c r="P599" t="str">
        <f t="shared" si="9"/>
        <v>Warangal|Microwave</v>
      </c>
    </row>
    <row r="600" spans="1:16" x14ac:dyDescent="0.3">
      <c r="A600" s="15">
        <v>46032</v>
      </c>
      <c r="B600" t="s">
        <v>34</v>
      </c>
      <c r="C600" t="s">
        <v>121</v>
      </c>
      <c r="D600" t="s">
        <v>122</v>
      </c>
      <c r="E600" t="s">
        <v>166</v>
      </c>
      <c r="F600" t="s">
        <v>97</v>
      </c>
      <c r="G600" t="s">
        <v>85</v>
      </c>
      <c r="H600" t="s">
        <v>110</v>
      </c>
      <c r="I600" t="s">
        <v>338</v>
      </c>
      <c r="J600">
        <v>16</v>
      </c>
      <c r="K600" s="16">
        <v>273600</v>
      </c>
      <c r="L600" s="16">
        <v>182206.01</v>
      </c>
      <c r="M600" s="16">
        <v>91393.99</v>
      </c>
      <c r="N600" t="s">
        <v>131</v>
      </c>
      <c r="O600" t="s">
        <v>113</v>
      </c>
      <c r="P600" t="str">
        <f t="shared" si="9"/>
        <v>Kolkata|Air Purifier</v>
      </c>
    </row>
    <row r="601" spans="1:16" x14ac:dyDescent="0.3">
      <c r="A601" s="15">
        <v>46140</v>
      </c>
      <c r="B601" t="s">
        <v>114</v>
      </c>
      <c r="C601" t="s">
        <v>107</v>
      </c>
      <c r="D601" t="s">
        <v>108</v>
      </c>
      <c r="E601" t="s">
        <v>109</v>
      </c>
      <c r="F601" t="s">
        <v>96</v>
      </c>
      <c r="G601" t="s">
        <v>80</v>
      </c>
      <c r="H601" t="s">
        <v>110</v>
      </c>
      <c r="I601" t="s">
        <v>357</v>
      </c>
      <c r="J601">
        <v>17</v>
      </c>
      <c r="K601" s="16">
        <v>201875</v>
      </c>
      <c r="L601" s="16">
        <v>127243.94</v>
      </c>
      <c r="M601" s="16">
        <v>74631.06</v>
      </c>
      <c r="N601" t="s">
        <v>112</v>
      </c>
      <c r="O601" t="s">
        <v>113</v>
      </c>
      <c r="P601" t="str">
        <f t="shared" si="9"/>
        <v>Udaipur|Office Chair</v>
      </c>
    </row>
    <row r="602" spans="1:16" x14ac:dyDescent="0.3">
      <c r="A602" s="15">
        <v>46152</v>
      </c>
      <c r="B602" t="s">
        <v>120</v>
      </c>
      <c r="C602" t="s">
        <v>107</v>
      </c>
      <c r="D602" t="s">
        <v>115</v>
      </c>
      <c r="E602" t="s">
        <v>191</v>
      </c>
      <c r="F602" t="s">
        <v>94</v>
      </c>
      <c r="G602" t="s">
        <v>64</v>
      </c>
      <c r="H602" t="s">
        <v>173</v>
      </c>
      <c r="I602" t="s">
        <v>306</v>
      </c>
      <c r="J602">
        <v>10</v>
      </c>
      <c r="K602" s="16">
        <v>184800</v>
      </c>
      <c r="L602" s="16">
        <v>119661.57</v>
      </c>
      <c r="M602" s="16">
        <v>65138.43</v>
      </c>
      <c r="N602" t="s">
        <v>112</v>
      </c>
      <c r="O602" t="s">
        <v>113</v>
      </c>
      <c r="P602" t="str">
        <f t="shared" si="9"/>
        <v>Surat|Monitor 27</v>
      </c>
    </row>
    <row r="603" spans="1:16" x14ac:dyDescent="0.3">
      <c r="A603" s="15">
        <v>46106</v>
      </c>
      <c r="B603" t="s">
        <v>114</v>
      </c>
      <c r="C603" t="s">
        <v>107</v>
      </c>
      <c r="D603" t="s">
        <v>149</v>
      </c>
      <c r="E603" t="s">
        <v>159</v>
      </c>
      <c r="F603" t="s">
        <v>95</v>
      </c>
      <c r="G603" t="s">
        <v>74</v>
      </c>
      <c r="H603" t="s">
        <v>110</v>
      </c>
      <c r="I603" t="s">
        <v>130</v>
      </c>
      <c r="J603">
        <v>6</v>
      </c>
      <c r="K603" s="16">
        <v>26496</v>
      </c>
      <c r="L603" s="16">
        <v>17808.580000000002</v>
      </c>
      <c r="M603" s="16">
        <v>8687.42</v>
      </c>
      <c r="N603" t="s">
        <v>131</v>
      </c>
      <c r="O603" t="s">
        <v>142</v>
      </c>
      <c r="P603" t="str">
        <f t="shared" si="9"/>
        <v>Pune|Headset</v>
      </c>
    </row>
    <row r="604" spans="1:16" x14ac:dyDescent="0.3">
      <c r="A604" s="15">
        <v>46225</v>
      </c>
      <c r="B604" t="s">
        <v>34</v>
      </c>
      <c r="C604" t="s">
        <v>152</v>
      </c>
      <c r="D604" t="s">
        <v>156</v>
      </c>
      <c r="E604" t="s">
        <v>157</v>
      </c>
      <c r="F604" t="s">
        <v>95</v>
      </c>
      <c r="G604" t="s">
        <v>74</v>
      </c>
      <c r="H604" t="s">
        <v>133</v>
      </c>
      <c r="I604" t="s">
        <v>345</v>
      </c>
      <c r="J604">
        <v>1</v>
      </c>
      <c r="K604" s="16">
        <v>4800</v>
      </c>
      <c r="L604" s="16">
        <v>3811.73</v>
      </c>
      <c r="M604" s="16">
        <v>988.27</v>
      </c>
      <c r="N604" t="s">
        <v>125</v>
      </c>
      <c r="O604" t="s">
        <v>113</v>
      </c>
      <c r="P604" t="str">
        <f t="shared" si="9"/>
        <v>Mysuru|Headset</v>
      </c>
    </row>
    <row r="605" spans="1:16" x14ac:dyDescent="0.3">
      <c r="A605" s="15">
        <v>46258</v>
      </c>
      <c r="B605" t="s">
        <v>34</v>
      </c>
      <c r="C605" t="s">
        <v>121</v>
      </c>
      <c r="D605" t="s">
        <v>146</v>
      </c>
      <c r="E605" t="s">
        <v>147</v>
      </c>
      <c r="F605" t="s">
        <v>95</v>
      </c>
      <c r="G605" t="s">
        <v>72</v>
      </c>
      <c r="H605" t="s">
        <v>133</v>
      </c>
      <c r="I605" t="s">
        <v>290</v>
      </c>
      <c r="J605">
        <v>13</v>
      </c>
      <c r="K605" s="16">
        <v>38272</v>
      </c>
      <c r="L605" s="16">
        <v>24126.69</v>
      </c>
      <c r="M605" s="16">
        <v>14145.31</v>
      </c>
      <c r="N605" t="s">
        <v>125</v>
      </c>
      <c r="O605" t="s">
        <v>113</v>
      </c>
      <c r="P605" t="str">
        <f t="shared" si="9"/>
        <v>Guwahati|Keyboard</v>
      </c>
    </row>
    <row r="606" spans="1:16" x14ac:dyDescent="0.3">
      <c r="A606" s="15">
        <v>46239</v>
      </c>
      <c r="B606" t="s">
        <v>34</v>
      </c>
      <c r="C606" t="s">
        <v>126</v>
      </c>
      <c r="D606" t="s">
        <v>162</v>
      </c>
      <c r="E606" t="s">
        <v>204</v>
      </c>
      <c r="F606" t="s">
        <v>97</v>
      </c>
      <c r="G606" t="s">
        <v>88</v>
      </c>
      <c r="H606" t="s">
        <v>139</v>
      </c>
      <c r="I606" t="s">
        <v>352</v>
      </c>
      <c r="J606">
        <v>11</v>
      </c>
      <c r="K606" s="16">
        <v>140360</v>
      </c>
      <c r="L606" s="16">
        <v>91056.29</v>
      </c>
      <c r="M606" s="16">
        <v>49303.71</v>
      </c>
      <c r="N606" t="s">
        <v>131</v>
      </c>
      <c r="O606" t="s">
        <v>113</v>
      </c>
      <c r="P606" t="str">
        <f t="shared" si="9"/>
        <v>Noida|Vacuum Cleaner</v>
      </c>
    </row>
    <row r="607" spans="1:16" x14ac:dyDescent="0.3">
      <c r="A607" s="15">
        <v>46136</v>
      </c>
      <c r="B607" t="s">
        <v>34</v>
      </c>
      <c r="C607" t="s">
        <v>121</v>
      </c>
      <c r="D607" t="s">
        <v>122</v>
      </c>
      <c r="E607" t="s">
        <v>123</v>
      </c>
      <c r="F607" t="s">
        <v>94</v>
      </c>
      <c r="G607" t="s">
        <v>64</v>
      </c>
      <c r="H607" t="s">
        <v>117</v>
      </c>
      <c r="I607" t="s">
        <v>382</v>
      </c>
      <c r="J607">
        <v>17</v>
      </c>
      <c r="K607" s="16">
        <v>328440</v>
      </c>
      <c r="L607" s="16">
        <v>207850.36</v>
      </c>
      <c r="M607" s="16">
        <v>120589.64</v>
      </c>
      <c r="N607" t="s">
        <v>125</v>
      </c>
      <c r="O607" t="s">
        <v>113</v>
      </c>
      <c r="P607" t="str">
        <f t="shared" si="9"/>
        <v>Durgapur|Monitor 27</v>
      </c>
    </row>
    <row r="608" spans="1:16" x14ac:dyDescent="0.3">
      <c r="A608" s="15">
        <v>46156</v>
      </c>
      <c r="B608" t="s">
        <v>114</v>
      </c>
      <c r="C608" t="s">
        <v>107</v>
      </c>
      <c r="D608" t="s">
        <v>115</v>
      </c>
      <c r="E608" t="s">
        <v>191</v>
      </c>
      <c r="F608" t="s">
        <v>94</v>
      </c>
      <c r="G608" t="s">
        <v>64</v>
      </c>
      <c r="H608" t="s">
        <v>110</v>
      </c>
      <c r="I608" t="s">
        <v>304</v>
      </c>
      <c r="J608">
        <v>3</v>
      </c>
      <c r="K608" s="16">
        <v>61110</v>
      </c>
      <c r="L608" s="16">
        <v>45565.79</v>
      </c>
      <c r="M608" s="16">
        <v>15544.21</v>
      </c>
      <c r="N608" t="s">
        <v>141</v>
      </c>
      <c r="O608" t="s">
        <v>113</v>
      </c>
      <c r="P608" t="str">
        <f t="shared" si="9"/>
        <v>Surat|Monitor 27</v>
      </c>
    </row>
    <row r="609" spans="1:16" x14ac:dyDescent="0.3">
      <c r="A609" s="15">
        <v>46128</v>
      </c>
      <c r="B609" t="s">
        <v>34</v>
      </c>
      <c r="C609" t="s">
        <v>126</v>
      </c>
      <c r="D609" t="s">
        <v>127</v>
      </c>
      <c r="E609" t="s">
        <v>128</v>
      </c>
      <c r="F609" t="s">
        <v>95</v>
      </c>
      <c r="G609" t="s">
        <v>72</v>
      </c>
      <c r="H609" t="s">
        <v>173</v>
      </c>
      <c r="I609" t="s">
        <v>383</v>
      </c>
      <c r="J609">
        <v>20</v>
      </c>
      <c r="K609" s="16">
        <v>58880</v>
      </c>
      <c r="L609" s="16">
        <v>43716.21</v>
      </c>
      <c r="M609" s="16">
        <v>15163.79</v>
      </c>
      <c r="N609" t="s">
        <v>141</v>
      </c>
      <c r="O609" t="s">
        <v>113</v>
      </c>
      <c r="P609" t="str">
        <f t="shared" si="9"/>
        <v>Gurugram|Keyboard</v>
      </c>
    </row>
    <row r="610" spans="1:16" x14ac:dyDescent="0.3">
      <c r="A610" s="15">
        <v>46153</v>
      </c>
      <c r="B610" t="s">
        <v>114</v>
      </c>
      <c r="C610" t="s">
        <v>152</v>
      </c>
      <c r="D610" t="s">
        <v>187</v>
      </c>
      <c r="E610" t="s">
        <v>188</v>
      </c>
      <c r="F610" t="s">
        <v>94</v>
      </c>
      <c r="G610" t="s">
        <v>64</v>
      </c>
      <c r="H610" t="s">
        <v>184</v>
      </c>
      <c r="I610" t="s">
        <v>293</v>
      </c>
      <c r="J610">
        <v>5</v>
      </c>
      <c r="K610" s="16">
        <v>105000</v>
      </c>
      <c r="L610" s="16">
        <v>69038.759999999995</v>
      </c>
      <c r="M610" s="16">
        <v>35961.24</v>
      </c>
      <c r="N610" t="s">
        <v>112</v>
      </c>
      <c r="O610" t="s">
        <v>119</v>
      </c>
      <c r="P610" t="str">
        <f t="shared" si="9"/>
        <v>Warangal|Monitor 27</v>
      </c>
    </row>
    <row r="611" spans="1:16" x14ac:dyDescent="0.3">
      <c r="A611" s="15">
        <v>46254</v>
      </c>
      <c r="B611" t="s">
        <v>34</v>
      </c>
      <c r="C611" t="s">
        <v>126</v>
      </c>
      <c r="D611" t="s">
        <v>196</v>
      </c>
      <c r="E611" t="s">
        <v>197</v>
      </c>
      <c r="F611" t="s">
        <v>95</v>
      </c>
      <c r="G611" t="s">
        <v>74</v>
      </c>
      <c r="H611" t="s">
        <v>117</v>
      </c>
      <c r="I611" t="s">
        <v>300</v>
      </c>
      <c r="J611">
        <v>9</v>
      </c>
      <c r="K611" s="16">
        <v>41040</v>
      </c>
      <c r="L611" s="16">
        <v>32884.910000000003</v>
      </c>
      <c r="M611" s="16">
        <v>8155.09</v>
      </c>
      <c r="N611" t="s">
        <v>112</v>
      </c>
      <c r="O611" t="s">
        <v>119</v>
      </c>
      <c r="P611" t="str">
        <f t="shared" si="9"/>
        <v>Dwarka|Headset</v>
      </c>
    </row>
    <row r="612" spans="1:16" x14ac:dyDescent="0.3">
      <c r="A612" s="15">
        <v>46034</v>
      </c>
      <c r="B612" t="s">
        <v>34</v>
      </c>
      <c r="C612" t="s">
        <v>152</v>
      </c>
      <c r="D612" t="s">
        <v>153</v>
      </c>
      <c r="E612" t="s">
        <v>154</v>
      </c>
      <c r="F612" t="s">
        <v>96</v>
      </c>
      <c r="G612" t="s">
        <v>83</v>
      </c>
      <c r="H612" t="s">
        <v>173</v>
      </c>
      <c r="I612" t="s">
        <v>334</v>
      </c>
      <c r="J612">
        <v>1</v>
      </c>
      <c r="K612" s="16">
        <v>31680</v>
      </c>
      <c r="L612" s="16">
        <v>20954.810000000001</v>
      </c>
      <c r="M612" s="16">
        <v>10725.19</v>
      </c>
      <c r="N612" t="s">
        <v>125</v>
      </c>
      <c r="O612" t="s">
        <v>113</v>
      </c>
      <c r="P612" t="str">
        <f t="shared" si="9"/>
        <v>Coimbatore|Meeting Table</v>
      </c>
    </row>
    <row r="613" spans="1:16" x14ac:dyDescent="0.3">
      <c r="A613" s="15">
        <v>46060</v>
      </c>
      <c r="B613" t="s">
        <v>120</v>
      </c>
      <c r="C613" t="s">
        <v>152</v>
      </c>
      <c r="D613" t="s">
        <v>153</v>
      </c>
      <c r="E613" t="s">
        <v>154</v>
      </c>
      <c r="F613" t="s">
        <v>97</v>
      </c>
      <c r="G613" t="s">
        <v>87</v>
      </c>
      <c r="H613" t="s">
        <v>139</v>
      </c>
      <c r="I613" t="s">
        <v>231</v>
      </c>
      <c r="J613">
        <v>14</v>
      </c>
      <c r="K613" s="16">
        <v>175000</v>
      </c>
      <c r="L613" s="16">
        <v>120177.32</v>
      </c>
      <c r="M613" s="16">
        <v>54822.68</v>
      </c>
      <c r="N613" t="s">
        <v>112</v>
      </c>
      <c r="O613" t="s">
        <v>113</v>
      </c>
      <c r="P613" t="str">
        <f t="shared" si="9"/>
        <v>Coimbatore|Microwave</v>
      </c>
    </row>
    <row r="614" spans="1:16" x14ac:dyDescent="0.3">
      <c r="A614" s="15">
        <v>46232</v>
      </c>
      <c r="B614" t="s">
        <v>34</v>
      </c>
      <c r="C614" t="s">
        <v>126</v>
      </c>
      <c r="D614" t="s">
        <v>196</v>
      </c>
      <c r="E614" t="s">
        <v>208</v>
      </c>
      <c r="F614" t="s">
        <v>94</v>
      </c>
      <c r="G614" t="s">
        <v>67</v>
      </c>
      <c r="H614" t="s">
        <v>139</v>
      </c>
      <c r="I614" t="s">
        <v>367</v>
      </c>
      <c r="J614">
        <v>8</v>
      </c>
      <c r="K614" s="16">
        <v>264000</v>
      </c>
      <c r="L614" s="16">
        <v>215716.7</v>
      </c>
      <c r="M614" s="16">
        <v>48283.3</v>
      </c>
      <c r="N614" t="s">
        <v>141</v>
      </c>
      <c r="O614" t="s">
        <v>119</v>
      </c>
      <c r="P614" t="str">
        <f t="shared" si="9"/>
        <v>New Delhi|Tablet X</v>
      </c>
    </row>
    <row r="615" spans="1:16" x14ac:dyDescent="0.3">
      <c r="A615" s="15">
        <v>46154</v>
      </c>
      <c r="B615" t="s">
        <v>34</v>
      </c>
      <c r="C615" t="s">
        <v>126</v>
      </c>
      <c r="D615" t="s">
        <v>196</v>
      </c>
      <c r="E615" t="s">
        <v>197</v>
      </c>
      <c r="F615" t="s">
        <v>97</v>
      </c>
      <c r="G615" t="s">
        <v>85</v>
      </c>
      <c r="H615" t="s">
        <v>139</v>
      </c>
      <c r="I615" t="s">
        <v>232</v>
      </c>
      <c r="J615">
        <v>9</v>
      </c>
      <c r="K615" s="16">
        <v>153900</v>
      </c>
      <c r="L615" s="16">
        <v>125041.94</v>
      </c>
      <c r="M615" s="16">
        <v>28858.06</v>
      </c>
      <c r="N615" t="s">
        <v>141</v>
      </c>
      <c r="O615" t="s">
        <v>113</v>
      </c>
      <c r="P615" t="str">
        <f t="shared" si="9"/>
        <v>Dwarka|Air Purifier</v>
      </c>
    </row>
    <row r="616" spans="1:16" x14ac:dyDescent="0.3">
      <c r="A616" s="15">
        <v>46210</v>
      </c>
      <c r="B616" t="s">
        <v>34</v>
      </c>
      <c r="C616" t="s">
        <v>107</v>
      </c>
      <c r="D616" t="s">
        <v>149</v>
      </c>
      <c r="E616" t="s">
        <v>159</v>
      </c>
      <c r="F616" t="s">
        <v>94</v>
      </c>
      <c r="G616" t="s">
        <v>70</v>
      </c>
      <c r="H616" t="s">
        <v>135</v>
      </c>
      <c r="I616" t="s">
        <v>354</v>
      </c>
      <c r="J616">
        <v>12</v>
      </c>
      <c r="K616" s="16">
        <v>180420</v>
      </c>
      <c r="L616" s="16">
        <v>112593.27</v>
      </c>
      <c r="M616" s="16">
        <v>67826.73</v>
      </c>
      <c r="N616" t="s">
        <v>125</v>
      </c>
      <c r="O616" t="s">
        <v>142</v>
      </c>
      <c r="P616" t="str">
        <f t="shared" si="9"/>
        <v>Pune|Printer Pro</v>
      </c>
    </row>
    <row r="617" spans="1:16" x14ac:dyDescent="0.3">
      <c r="A617" s="15">
        <v>46262</v>
      </c>
      <c r="B617" t="s">
        <v>34</v>
      </c>
      <c r="C617" t="s">
        <v>121</v>
      </c>
      <c r="D617" t="s">
        <v>146</v>
      </c>
      <c r="E617" t="s">
        <v>147</v>
      </c>
      <c r="F617" t="s">
        <v>94</v>
      </c>
      <c r="G617" t="s">
        <v>64</v>
      </c>
      <c r="H617" t="s">
        <v>133</v>
      </c>
      <c r="I617" t="s">
        <v>366</v>
      </c>
      <c r="J617">
        <v>15</v>
      </c>
      <c r="K617" s="16">
        <v>289800</v>
      </c>
      <c r="L617" s="16">
        <v>223355.76</v>
      </c>
      <c r="M617" s="16">
        <v>66444.240000000005</v>
      </c>
      <c r="N617" t="s">
        <v>131</v>
      </c>
      <c r="O617" t="s">
        <v>142</v>
      </c>
      <c r="P617" t="str">
        <f t="shared" si="9"/>
        <v>Guwahati|Monitor 27</v>
      </c>
    </row>
    <row r="618" spans="1:16" x14ac:dyDescent="0.3">
      <c r="A618" s="15">
        <v>46188</v>
      </c>
      <c r="B618" t="s">
        <v>120</v>
      </c>
      <c r="C618" t="s">
        <v>107</v>
      </c>
      <c r="D618" t="s">
        <v>149</v>
      </c>
      <c r="E618" t="s">
        <v>159</v>
      </c>
      <c r="F618" t="s">
        <v>97</v>
      </c>
      <c r="G618" t="s">
        <v>85</v>
      </c>
      <c r="H618" t="s">
        <v>129</v>
      </c>
      <c r="I618" t="s">
        <v>244</v>
      </c>
      <c r="J618">
        <v>13</v>
      </c>
      <c r="K618" s="16">
        <v>234000</v>
      </c>
      <c r="L618" s="16">
        <v>178216.42</v>
      </c>
      <c r="M618" s="16">
        <v>55783.58</v>
      </c>
      <c r="N618" t="s">
        <v>131</v>
      </c>
      <c r="O618" t="s">
        <v>113</v>
      </c>
      <c r="P618" t="str">
        <f t="shared" si="9"/>
        <v>Pune|Air Purifier</v>
      </c>
    </row>
    <row r="619" spans="1:16" x14ac:dyDescent="0.3">
      <c r="A619" s="15">
        <v>46053</v>
      </c>
      <c r="B619" t="s">
        <v>34</v>
      </c>
      <c r="C619" t="s">
        <v>152</v>
      </c>
      <c r="D619" t="s">
        <v>187</v>
      </c>
      <c r="E619" t="s">
        <v>188</v>
      </c>
      <c r="F619" t="s">
        <v>96</v>
      </c>
      <c r="G619" t="s">
        <v>84</v>
      </c>
      <c r="H619" t="s">
        <v>133</v>
      </c>
      <c r="I619" t="s">
        <v>164</v>
      </c>
      <c r="J619">
        <v>8</v>
      </c>
      <c r="K619" s="16">
        <v>106720</v>
      </c>
      <c r="L619" s="16">
        <v>67893.539999999994</v>
      </c>
      <c r="M619" s="16">
        <v>38826.46</v>
      </c>
      <c r="N619" t="s">
        <v>112</v>
      </c>
      <c r="O619" t="s">
        <v>113</v>
      </c>
      <c r="P619" t="str">
        <f t="shared" si="9"/>
        <v>Warangal|Filing Cabinet</v>
      </c>
    </row>
    <row r="620" spans="1:16" x14ac:dyDescent="0.3">
      <c r="A620" s="15">
        <v>46178</v>
      </c>
      <c r="B620" t="s">
        <v>34</v>
      </c>
      <c r="C620" t="s">
        <v>121</v>
      </c>
      <c r="D620" t="s">
        <v>122</v>
      </c>
      <c r="E620" t="s">
        <v>123</v>
      </c>
      <c r="F620" t="s">
        <v>94</v>
      </c>
      <c r="G620" t="s">
        <v>61</v>
      </c>
      <c r="H620" t="s">
        <v>184</v>
      </c>
      <c r="I620" t="s">
        <v>335</v>
      </c>
      <c r="J620">
        <v>11</v>
      </c>
      <c r="K620" s="16">
        <v>815100</v>
      </c>
      <c r="L620" s="16">
        <v>613339.85</v>
      </c>
      <c r="M620" s="16">
        <v>201760.15</v>
      </c>
      <c r="N620" t="s">
        <v>131</v>
      </c>
      <c r="O620" t="s">
        <v>142</v>
      </c>
      <c r="P620" t="str">
        <f t="shared" si="9"/>
        <v>Durgapur|Laptop Pro</v>
      </c>
    </row>
    <row r="621" spans="1:16" x14ac:dyDescent="0.3">
      <c r="A621" s="15">
        <v>46035</v>
      </c>
      <c r="B621" t="s">
        <v>120</v>
      </c>
      <c r="C621" t="s">
        <v>107</v>
      </c>
      <c r="D621" t="s">
        <v>149</v>
      </c>
      <c r="E621" t="s">
        <v>159</v>
      </c>
      <c r="F621" t="s">
        <v>95</v>
      </c>
      <c r="G621" t="s">
        <v>76</v>
      </c>
      <c r="H621" t="s">
        <v>135</v>
      </c>
      <c r="I621" t="s">
        <v>245</v>
      </c>
      <c r="J621">
        <v>3</v>
      </c>
      <c r="K621" s="16">
        <v>5130</v>
      </c>
      <c r="L621" s="16">
        <v>3945.78</v>
      </c>
      <c r="M621" s="16">
        <v>1184.22</v>
      </c>
      <c r="N621" t="s">
        <v>131</v>
      </c>
      <c r="O621" t="s">
        <v>142</v>
      </c>
      <c r="P621" t="str">
        <f t="shared" si="9"/>
        <v>Pune|Mouse</v>
      </c>
    </row>
    <row r="622" spans="1:16" x14ac:dyDescent="0.3">
      <c r="A622" s="15">
        <v>46147</v>
      </c>
      <c r="B622" t="s">
        <v>114</v>
      </c>
      <c r="C622" t="s">
        <v>121</v>
      </c>
      <c r="D622" t="s">
        <v>146</v>
      </c>
      <c r="E622" t="s">
        <v>147</v>
      </c>
      <c r="F622" t="s">
        <v>97</v>
      </c>
      <c r="G622" t="s">
        <v>85</v>
      </c>
      <c r="H622" t="s">
        <v>133</v>
      </c>
      <c r="I622" t="s">
        <v>360</v>
      </c>
      <c r="J622">
        <v>5</v>
      </c>
      <c r="K622" s="16">
        <v>82800</v>
      </c>
      <c r="L622" s="16">
        <v>65430.25</v>
      </c>
      <c r="M622" s="16">
        <v>17369.75</v>
      </c>
      <c r="N622" t="s">
        <v>131</v>
      </c>
      <c r="O622" t="s">
        <v>119</v>
      </c>
      <c r="P622" t="str">
        <f t="shared" si="9"/>
        <v>Guwahati|Air Purifier</v>
      </c>
    </row>
    <row r="623" spans="1:16" x14ac:dyDescent="0.3">
      <c r="A623" s="15">
        <v>46042</v>
      </c>
      <c r="B623" t="s">
        <v>34</v>
      </c>
      <c r="C623" t="s">
        <v>121</v>
      </c>
      <c r="D623" t="s">
        <v>137</v>
      </c>
      <c r="E623" t="s">
        <v>171</v>
      </c>
      <c r="F623" t="s">
        <v>94</v>
      </c>
      <c r="G623" t="s">
        <v>70</v>
      </c>
      <c r="H623" t="s">
        <v>110</v>
      </c>
      <c r="I623" t="s">
        <v>317</v>
      </c>
      <c r="J623">
        <v>9</v>
      </c>
      <c r="K623" s="16">
        <v>122760</v>
      </c>
      <c r="L623" s="16">
        <v>100428.57</v>
      </c>
      <c r="M623" s="16">
        <v>22331.43</v>
      </c>
      <c r="N623" t="s">
        <v>112</v>
      </c>
      <c r="O623" t="s">
        <v>119</v>
      </c>
      <c r="P623" t="str">
        <f t="shared" si="9"/>
        <v>Bhubaneswar|Printer Pro</v>
      </c>
    </row>
    <row r="624" spans="1:16" x14ac:dyDescent="0.3">
      <c r="A624" s="15">
        <v>46049</v>
      </c>
      <c r="B624" t="s">
        <v>120</v>
      </c>
      <c r="C624" t="s">
        <v>107</v>
      </c>
      <c r="D624" t="s">
        <v>108</v>
      </c>
      <c r="E624" t="s">
        <v>132</v>
      </c>
      <c r="F624" t="s">
        <v>97</v>
      </c>
      <c r="G624" t="s">
        <v>86</v>
      </c>
      <c r="H624" t="s">
        <v>129</v>
      </c>
      <c r="I624" t="s">
        <v>384</v>
      </c>
      <c r="J624">
        <v>14</v>
      </c>
      <c r="K624" s="16">
        <v>83720</v>
      </c>
      <c r="L624" s="16">
        <v>56968.57</v>
      </c>
      <c r="M624" s="16">
        <v>26751.43</v>
      </c>
      <c r="N624" t="s">
        <v>125</v>
      </c>
      <c r="O624" t="s">
        <v>113</v>
      </c>
      <c r="P624" t="str">
        <f t="shared" si="9"/>
        <v>Jaipur|Coffee Maker</v>
      </c>
    </row>
    <row r="625" spans="1:16" x14ac:dyDescent="0.3">
      <c r="A625" s="15">
        <v>46224</v>
      </c>
      <c r="B625" t="s">
        <v>114</v>
      </c>
      <c r="C625" t="s">
        <v>121</v>
      </c>
      <c r="D625" t="s">
        <v>137</v>
      </c>
      <c r="E625" t="s">
        <v>171</v>
      </c>
      <c r="F625" t="s">
        <v>97</v>
      </c>
      <c r="G625" t="s">
        <v>87</v>
      </c>
      <c r="H625" t="s">
        <v>184</v>
      </c>
      <c r="I625" t="s">
        <v>344</v>
      </c>
      <c r="J625">
        <v>1</v>
      </c>
      <c r="K625" s="16">
        <v>12125</v>
      </c>
      <c r="L625" s="16">
        <v>7590</v>
      </c>
      <c r="M625" s="16">
        <v>4535</v>
      </c>
      <c r="N625" t="s">
        <v>141</v>
      </c>
      <c r="O625" t="s">
        <v>142</v>
      </c>
      <c r="P625" t="str">
        <f t="shared" si="9"/>
        <v>Bhubaneswar|Microwave</v>
      </c>
    </row>
    <row r="626" spans="1:16" x14ac:dyDescent="0.3">
      <c r="A626" s="15">
        <v>46197</v>
      </c>
      <c r="B626" t="s">
        <v>34</v>
      </c>
      <c r="C626" t="s">
        <v>107</v>
      </c>
      <c r="D626" t="s">
        <v>108</v>
      </c>
      <c r="E626" t="s">
        <v>132</v>
      </c>
      <c r="F626" t="s">
        <v>97</v>
      </c>
      <c r="G626" t="s">
        <v>86</v>
      </c>
      <c r="H626" t="s">
        <v>184</v>
      </c>
      <c r="I626" t="s">
        <v>335</v>
      </c>
      <c r="J626">
        <v>3</v>
      </c>
      <c r="K626" s="16">
        <v>17940</v>
      </c>
      <c r="L626" s="16">
        <v>12104.54</v>
      </c>
      <c r="M626" s="16">
        <v>5835.46</v>
      </c>
      <c r="N626" t="s">
        <v>141</v>
      </c>
      <c r="O626" t="s">
        <v>113</v>
      </c>
      <c r="P626" t="str">
        <f t="shared" si="9"/>
        <v>Jaipur|Coffee Maker</v>
      </c>
    </row>
    <row r="627" spans="1:16" x14ac:dyDescent="0.3">
      <c r="A627" s="15">
        <v>46183</v>
      </c>
      <c r="B627" t="s">
        <v>34</v>
      </c>
      <c r="C627" t="s">
        <v>152</v>
      </c>
      <c r="D627" t="s">
        <v>156</v>
      </c>
      <c r="E627" t="s">
        <v>157</v>
      </c>
      <c r="F627" t="s">
        <v>96</v>
      </c>
      <c r="G627" t="s">
        <v>80</v>
      </c>
      <c r="H627" t="s">
        <v>129</v>
      </c>
      <c r="I627" t="s">
        <v>309</v>
      </c>
      <c r="J627">
        <v>8</v>
      </c>
      <c r="K627" s="16">
        <v>92000</v>
      </c>
      <c r="L627" s="16">
        <v>67327.789999999994</v>
      </c>
      <c r="M627" s="16">
        <v>24672.21</v>
      </c>
      <c r="N627" t="s">
        <v>125</v>
      </c>
      <c r="O627" t="s">
        <v>119</v>
      </c>
      <c r="P627" t="str">
        <f t="shared" si="9"/>
        <v>Mysuru|Office Chair</v>
      </c>
    </row>
    <row r="628" spans="1:16" x14ac:dyDescent="0.3">
      <c r="A628" s="15">
        <v>46214</v>
      </c>
      <c r="B628" t="s">
        <v>34</v>
      </c>
      <c r="C628" t="s">
        <v>152</v>
      </c>
      <c r="D628" t="s">
        <v>156</v>
      </c>
      <c r="E628" t="s">
        <v>157</v>
      </c>
      <c r="F628" t="s">
        <v>94</v>
      </c>
      <c r="G628" t="s">
        <v>61</v>
      </c>
      <c r="H628" t="s">
        <v>133</v>
      </c>
      <c r="I628" t="s">
        <v>258</v>
      </c>
      <c r="J628">
        <v>13</v>
      </c>
      <c r="K628" s="16">
        <v>892320</v>
      </c>
      <c r="L628" s="16">
        <v>598796.52</v>
      </c>
      <c r="M628" s="16">
        <v>293523.48</v>
      </c>
      <c r="N628" t="s">
        <v>112</v>
      </c>
      <c r="O628" t="s">
        <v>142</v>
      </c>
      <c r="P628" t="str">
        <f t="shared" si="9"/>
        <v>Mysuru|Laptop Pro</v>
      </c>
    </row>
    <row r="629" spans="1:16" x14ac:dyDescent="0.3">
      <c r="A629" s="15">
        <v>46028</v>
      </c>
      <c r="B629" t="s">
        <v>34</v>
      </c>
      <c r="C629" t="s">
        <v>107</v>
      </c>
      <c r="D629" t="s">
        <v>149</v>
      </c>
      <c r="E629" t="s">
        <v>159</v>
      </c>
      <c r="F629" t="s">
        <v>94</v>
      </c>
      <c r="G629" t="s">
        <v>64</v>
      </c>
      <c r="H629" t="s">
        <v>133</v>
      </c>
      <c r="I629" t="s">
        <v>379</v>
      </c>
      <c r="J629">
        <v>11</v>
      </c>
      <c r="K629" s="16">
        <v>212520</v>
      </c>
      <c r="L629" s="16">
        <v>148386.01</v>
      </c>
      <c r="M629" s="16">
        <v>64133.99</v>
      </c>
      <c r="N629" t="s">
        <v>125</v>
      </c>
      <c r="O629" t="s">
        <v>119</v>
      </c>
      <c r="P629" t="str">
        <f t="shared" si="9"/>
        <v>Pune|Monitor 27</v>
      </c>
    </row>
    <row r="630" spans="1:16" x14ac:dyDescent="0.3">
      <c r="A630" s="15">
        <v>46256</v>
      </c>
      <c r="B630" t="s">
        <v>34</v>
      </c>
      <c r="C630" t="s">
        <v>152</v>
      </c>
      <c r="D630" t="s">
        <v>156</v>
      </c>
      <c r="E630" t="s">
        <v>238</v>
      </c>
      <c r="F630" t="s">
        <v>96</v>
      </c>
      <c r="G630" t="s">
        <v>80</v>
      </c>
      <c r="H630" t="s">
        <v>135</v>
      </c>
      <c r="I630" t="s">
        <v>385</v>
      </c>
      <c r="J630">
        <v>4</v>
      </c>
      <c r="K630" s="16">
        <v>50000</v>
      </c>
      <c r="L630" s="16">
        <v>38020.94</v>
      </c>
      <c r="M630" s="16">
        <v>11979.06</v>
      </c>
      <c r="N630" t="s">
        <v>125</v>
      </c>
      <c r="O630" t="s">
        <v>113</v>
      </c>
      <c r="P630" t="str">
        <f t="shared" si="9"/>
        <v>Bengaluru|Office Chair</v>
      </c>
    </row>
    <row r="631" spans="1:16" x14ac:dyDescent="0.3">
      <c r="A631" s="15">
        <v>46173</v>
      </c>
      <c r="B631" t="s">
        <v>120</v>
      </c>
      <c r="C631" t="s">
        <v>126</v>
      </c>
      <c r="D631" t="s">
        <v>196</v>
      </c>
      <c r="E631" t="s">
        <v>208</v>
      </c>
      <c r="F631" t="s">
        <v>95</v>
      </c>
      <c r="G631" t="s">
        <v>78</v>
      </c>
      <c r="H631" t="s">
        <v>139</v>
      </c>
      <c r="I631" t="s">
        <v>376</v>
      </c>
      <c r="J631">
        <v>8</v>
      </c>
      <c r="K631" s="16">
        <v>33600</v>
      </c>
      <c r="L631" s="16">
        <v>26222.78</v>
      </c>
      <c r="M631" s="16">
        <v>7377.22</v>
      </c>
      <c r="N631" t="s">
        <v>141</v>
      </c>
      <c r="O631" t="s">
        <v>119</v>
      </c>
      <c r="P631" t="str">
        <f t="shared" si="9"/>
        <v>New Delhi|Webcam</v>
      </c>
    </row>
    <row r="632" spans="1:16" x14ac:dyDescent="0.3">
      <c r="A632" s="15">
        <v>46176</v>
      </c>
      <c r="B632" t="s">
        <v>34</v>
      </c>
      <c r="C632" t="s">
        <v>107</v>
      </c>
      <c r="D632" t="s">
        <v>149</v>
      </c>
      <c r="E632" t="s">
        <v>159</v>
      </c>
      <c r="F632" t="s">
        <v>95</v>
      </c>
      <c r="G632" t="s">
        <v>76</v>
      </c>
      <c r="H632" t="s">
        <v>184</v>
      </c>
      <c r="I632" t="s">
        <v>201</v>
      </c>
      <c r="J632">
        <v>9</v>
      </c>
      <c r="K632" s="16">
        <v>16200</v>
      </c>
      <c r="L632" s="16">
        <v>10579.12</v>
      </c>
      <c r="M632" s="16">
        <v>5620.88</v>
      </c>
      <c r="N632" t="s">
        <v>112</v>
      </c>
      <c r="O632" t="s">
        <v>113</v>
      </c>
      <c r="P632" t="str">
        <f t="shared" si="9"/>
        <v>Pune|Mouse</v>
      </c>
    </row>
    <row r="633" spans="1:16" x14ac:dyDescent="0.3">
      <c r="A633" s="15">
        <v>46038</v>
      </c>
      <c r="B633" t="s">
        <v>34</v>
      </c>
      <c r="C633" t="s">
        <v>152</v>
      </c>
      <c r="D633" t="s">
        <v>156</v>
      </c>
      <c r="E633" t="s">
        <v>157</v>
      </c>
      <c r="F633" t="s">
        <v>96</v>
      </c>
      <c r="G633" t="s">
        <v>84</v>
      </c>
      <c r="H633" t="s">
        <v>117</v>
      </c>
      <c r="I633" t="s">
        <v>167</v>
      </c>
      <c r="J633">
        <v>1</v>
      </c>
      <c r="K633" s="16">
        <v>14500</v>
      </c>
      <c r="L633" s="16">
        <v>10626.76</v>
      </c>
      <c r="M633" s="16">
        <v>3873.24</v>
      </c>
      <c r="N633" t="s">
        <v>131</v>
      </c>
      <c r="O633" t="s">
        <v>119</v>
      </c>
      <c r="P633" t="str">
        <f t="shared" si="9"/>
        <v>Mysuru|Filing Cabinet</v>
      </c>
    </row>
    <row r="634" spans="1:16" x14ac:dyDescent="0.3">
      <c r="A634" s="15">
        <v>46168</v>
      </c>
      <c r="B634" t="s">
        <v>120</v>
      </c>
      <c r="C634" t="s">
        <v>126</v>
      </c>
      <c r="D634" t="s">
        <v>162</v>
      </c>
      <c r="E634" t="s">
        <v>163</v>
      </c>
      <c r="F634" t="s">
        <v>95</v>
      </c>
      <c r="G634" t="s">
        <v>78</v>
      </c>
      <c r="H634" t="s">
        <v>173</v>
      </c>
      <c r="I634" t="s">
        <v>275</v>
      </c>
      <c r="J634">
        <v>4</v>
      </c>
      <c r="K634" s="16">
        <v>16800</v>
      </c>
      <c r="L634" s="16">
        <v>12367.95</v>
      </c>
      <c r="M634" s="16">
        <v>4432.05</v>
      </c>
      <c r="N634" t="s">
        <v>131</v>
      </c>
      <c r="O634" t="s">
        <v>113</v>
      </c>
      <c r="P634" t="str">
        <f t="shared" si="9"/>
        <v>Lucknow|Webcam</v>
      </c>
    </row>
    <row r="635" spans="1:16" x14ac:dyDescent="0.3">
      <c r="A635" s="15">
        <v>46143</v>
      </c>
      <c r="B635" t="s">
        <v>34</v>
      </c>
      <c r="C635" t="s">
        <v>152</v>
      </c>
      <c r="D635" t="s">
        <v>156</v>
      </c>
      <c r="E635" t="s">
        <v>157</v>
      </c>
      <c r="F635" t="s">
        <v>94</v>
      </c>
      <c r="G635" t="s">
        <v>61</v>
      </c>
      <c r="H635" t="s">
        <v>184</v>
      </c>
      <c r="I635" t="s">
        <v>240</v>
      </c>
      <c r="J635">
        <v>16</v>
      </c>
      <c r="K635" s="16">
        <v>1248000</v>
      </c>
      <c r="L635" s="16">
        <v>876498.17</v>
      </c>
      <c r="M635" s="16">
        <v>371501.83</v>
      </c>
      <c r="N635" t="s">
        <v>141</v>
      </c>
      <c r="O635" t="s">
        <v>113</v>
      </c>
      <c r="P635" t="str">
        <f t="shared" si="9"/>
        <v>Mysuru|Laptop Pro</v>
      </c>
    </row>
    <row r="636" spans="1:16" x14ac:dyDescent="0.3">
      <c r="A636" s="15">
        <v>46023</v>
      </c>
      <c r="B636" t="s">
        <v>34</v>
      </c>
      <c r="C636" t="s">
        <v>126</v>
      </c>
      <c r="D636" t="s">
        <v>196</v>
      </c>
      <c r="E636" t="s">
        <v>197</v>
      </c>
      <c r="F636" t="s">
        <v>97</v>
      </c>
      <c r="G636" t="s">
        <v>85</v>
      </c>
      <c r="H636" t="s">
        <v>133</v>
      </c>
      <c r="I636" t="s">
        <v>287</v>
      </c>
      <c r="J636">
        <v>15</v>
      </c>
      <c r="K636" s="16">
        <v>270000</v>
      </c>
      <c r="L636" s="16">
        <v>220857.41</v>
      </c>
      <c r="M636" s="16">
        <v>49142.59</v>
      </c>
      <c r="N636" t="s">
        <v>131</v>
      </c>
      <c r="O636" t="s">
        <v>113</v>
      </c>
      <c r="P636" t="str">
        <f t="shared" si="9"/>
        <v>Dwarka|Air Purifier</v>
      </c>
    </row>
    <row r="637" spans="1:16" x14ac:dyDescent="0.3">
      <c r="A637" s="15">
        <v>46245</v>
      </c>
      <c r="B637" t="s">
        <v>34</v>
      </c>
      <c r="C637" t="s">
        <v>107</v>
      </c>
      <c r="D637" t="s">
        <v>108</v>
      </c>
      <c r="E637" t="s">
        <v>132</v>
      </c>
      <c r="F637" t="s">
        <v>94</v>
      </c>
      <c r="G637" t="s">
        <v>70</v>
      </c>
      <c r="H637" t="s">
        <v>184</v>
      </c>
      <c r="I637" t="s">
        <v>386</v>
      </c>
      <c r="J637">
        <v>3</v>
      </c>
      <c r="K637" s="16">
        <v>46500</v>
      </c>
      <c r="L637" s="16">
        <v>37479.26</v>
      </c>
      <c r="M637" s="16">
        <v>9020.74</v>
      </c>
      <c r="N637" t="s">
        <v>125</v>
      </c>
      <c r="O637" t="s">
        <v>142</v>
      </c>
      <c r="P637" t="str">
        <f t="shared" si="9"/>
        <v>Jaipur|Printer Pro</v>
      </c>
    </row>
    <row r="638" spans="1:16" x14ac:dyDescent="0.3">
      <c r="A638" s="15">
        <v>46112</v>
      </c>
      <c r="B638" t="s">
        <v>120</v>
      </c>
      <c r="C638" t="s">
        <v>126</v>
      </c>
      <c r="D638" t="s">
        <v>127</v>
      </c>
      <c r="E638" t="s">
        <v>128</v>
      </c>
      <c r="F638" t="s">
        <v>96</v>
      </c>
      <c r="G638" t="s">
        <v>84</v>
      </c>
      <c r="H638" t="s">
        <v>133</v>
      </c>
      <c r="I638" t="s">
        <v>338</v>
      </c>
      <c r="J638">
        <v>17</v>
      </c>
      <c r="K638" s="16">
        <v>216920</v>
      </c>
      <c r="L638" s="16">
        <v>177233.13</v>
      </c>
      <c r="M638" s="16">
        <v>39686.870000000003</v>
      </c>
      <c r="N638" t="s">
        <v>141</v>
      </c>
      <c r="O638" t="s">
        <v>142</v>
      </c>
      <c r="P638" t="str">
        <f t="shared" si="9"/>
        <v>Gurugram|Filing Cabinet</v>
      </c>
    </row>
    <row r="639" spans="1:16" x14ac:dyDescent="0.3">
      <c r="A639" s="15">
        <v>46150</v>
      </c>
      <c r="B639" t="s">
        <v>114</v>
      </c>
      <c r="C639" t="s">
        <v>121</v>
      </c>
      <c r="D639" t="s">
        <v>137</v>
      </c>
      <c r="E639" t="s">
        <v>171</v>
      </c>
      <c r="F639" t="s">
        <v>94</v>
      </c>
      <c r="G639" t="s">
        <v>67</v>
      </c>
      <c r="H639" t="s">
        <v>129</v>
      </c>
      <c r="I639" t="s">
        <v>235</v>
      </c>
      <c r="J639">
        <v>17</v>
      </c>
      <c r="K639" s="16">
        <v>561000</v>
      </c>
      <c r="L639" s="16">
        <v>440753.51</v>
      </c>
      <c r="M639" s="16">
        <v>120246.49</v>
      </c>
      <c r="N639" t="s">
        <v>131</v>
      </c>
      <c r="O639" t="s">
        <v>142</v>
      </c>
      <c r="P639" t="str">
        <f t="shared" si="9"/>
        <v>Bhubaneswar|Tablet X</v>
      </c>
    </row>
    <row r="640" spans="1:16" x14ac:dyDescent="0.3">
      <c r="A640" s="15">
        <v>46193</v>
      </c>
      <c r="B640" t="s">
        <v>34</v>
      </c>
      <c r="C640" t="s">
        <v>126</v>
      </c>
      <c r="D640" t="s">
        <v>127</v>
      </c>
      <c r="E640" t="s">
        <v>128</v>
      </c>
      <c r="F640" t="s">
        <v>95</v>
      </c>
      <c r="G640" t="s">
        <v>78</v>
      </c>
      <c r="H640" t="s">
        <v>135</v>
      </c>
      <c r="I640" t="s">
        <v>280</v>
      </c>
      <c r="J640">
        <v>16</v>
      </c>
      <c r="K640" s="16">
        <v>63840</v>
      </c>
      <c r="L640" s="16">
        <v>42481.9</v>
      </c>
      <c r="M640" s="16">
        <v>21358.1</v>
      </c>
      <c r="N640" t="s">
        <v>141</v>
      </c>
      <c r="O640" t="s">
        <v>113</v>
      </c>
      <c r="P640" t="str">
        <f t="shared" si="9"/>
        <v>Gurugram|Webcam</v>
      </c>
    </row>
    <row r="641" spans="1:16" x14ac:dyDescent="0.3">
      <c r="A641" s="15">
        <v>46178</v>
      </c>
      <c r="B641" t="s">
        <v>114</v>
      </c>
      <c r="C641" t="s">
        <v>126</v>
      </c>
      <c r="D641" t="s">
        <v>127</v>
      </c>
      <c r="E641" t="s">
        <v>128</v>
      </c>
      <c r="F641" t="s">
        <v>97</v>
      </c>
      <c r="G641" t="s">
        <v>86</v>
      </c>
      <c r="H641" t="s">
        <v>139</v>
      </c>
      <c r="I641" t="s">
        <v>243</v>
      </c>
      <c r="J641">
        <v>14</v>
      </c>
      <c r="K641" s="16">
        <v>86450</v>
      </c>
      <c r="L641" s="16">
        <v>65462.58</v>
      </c>
      <c r="M641" s="16">
        <v>20987.42</v>
      </c>
      <c r="N641" t="s">
        <v>131</v>
      </c>
      <c r="O641" t="s">
        <v>113</v>
      </c>
      <c r="P641" t="str">
        <f t="shared" si="9"/>
        <v>Gurugram|Coffee Maker</v>
      </c>
    </row>
    <row r="642" spans="1:16" x14ac:dyDescent="0.3">
      <c r="A642" s="15">
        <v>46201</v>
      </c>
      <c r="B642" t="s">
        <v>34</v>
      </c>
      <c r="C642" t="s">
        <v>126</v>
      </c>
      <c r="D642" t="s">
        <v>127</v>
      </c>
      <c r="E642" t="s">
        <v>128</v>
      </c>
      <c r="F642" t="s">
        <v>96</v>
      </c>
      <c r="G642" t="s">
        <v>80</v>
      </c>
      <c r="H642" t="s">
        <v>173</v>
      </c>
      <c r="I642" t="s">
        <v>352</v>
      </c>
      <c r="J642">
        <v>5</v>
      </c>
      <c r="K642" s="16">
        <v>55000</v>
      </c>
      <c r="L642" s="16">
        <v>40973.51</v>
      </c>
      <c r="M642" s="16">
        <v>14026.49</v>
      </c>
      <c r="N642" t="s">
        <v>112</v>
      </c>
      <c r="O642" t="s">
        <v>113</v>
      </c>
      <c r="P642" t="str">
        <f t="shared" si="9"/>
        <v>Gurugram|Office Chair</v>
      </c>
    </row>
    <row r="643" spans="1:16" x14ac:dyDescent="0.3">
      <c r="A643" s="15">
        <v>46125</v>
      </c>
      <c r="B643" t="s">
        <v>120</v>
      </c>
      <c r="C643" t="s">
        <v>152</v>
      </c>
      <c r="D643" t="s">
        <v>153</v>
      </c>
      <c r="E643" t="s">
        <v>154</v>
      </c>
      <c r="F643" t="s">
        <v>94</v>
      </c>
      <c r="G643" t="s">
        <v>70</v>
      </c>
      <c r="H643" t="s">
        <v>184</v>
      </c>
      <c r="I643" t="s">
        <v>194</v>
      </c>
      <c r="J643">
        <v>14</v>
      </c>
      <c r="K643" s="16">
        <v>217000</v>
      </c>
      <c r="L643" s="16">
        <v>142441</v>
      </c>
      <c r="M643" s="16">
        <v>74559</v>
      </c>
      <c r="N643" t="s">
        <v>112</v>
      </c>
      <c r="O643" t="s">
        <v>113</v>
      </c>
      <c r="P643" t="str">
        <f t="shared" si="9"/>
        <v>Coimbatore|Printer Pro</v>
      </c>
    </row>
    <row r="644" spans="1:16" x14ac:dyDescent="0.3">
      <c r="A644" s="15">
        <v>46038</v>
      </c>
      <c r="B644" t="s">
        <v>120</v>
      </c>
      <c r="C644" t="s">
        <v>121</v>
      </c>
      <c r="D644" t="s">
        <v>122</v>
      </c>
      <c r="E644" t="s">
        <v>123</v>
      </c>
      <c r="F644" t="s">
        <v>96</v>
      </c>
      <c r="G644" t="s">
        <v>80</v>
      </c>
      <c r="H644" t="s">
        <v>139</v>
      </c>
      <c r="I644" t="s">
        <v>387</v>
      </c>
      <c r="J644">
        <v>18</v>
      </c>
      <c r="K644" s="16">
        <v>225000</v>
      </c>
      <c r="L644" s="16">
        <v>177303.35</v>
      </c>
      <c r="M644" s="16">
        <v>47696.65</v>
      </c>
      <c r="N644" t="s">
        <v>131</v>
      </c>
      <c r="O644" t="s">
        <v>142</v>
      </c>
      <c r="P644" t="str">
        <f t="shared" si="9"/>
        <v>Durgapur|Office Chair</v>
      </c>
    </row>
    <row r="645" spans="1:16" x14ac:dyDescent="0.3">
      <c r="A645" s="15">
        <v>46091</v>
      </c>
      <c r="B645" t="s">
        <v>34</v>
      </c>
      <c r="C645" t="s">
        <v>152</v>
      </c>
      <c r="D645" t="s">
        <v>156</v>
      </c>
      <c r="E645" t="s">
        <v>238</v>
      </c>
      <c r="F645" t="s">
        <v>94</v>
      </c>
      <c r="G645" t="s">
        <v>70</v>
      </c>
      <c r="H645" t="s">
        <v>184</v>
      </c>
      <c r="I645" t="s">
        <v>282</v>
      </c>
      <c r="J645">
        <v>15</v>
      </c>
      <c r="K645" s="16">
        <v>213900</v>
      </c>
      <c r="L645" s="16">
        <v>140195.66</v>
      </c>
      <c r="M645" s="16">
        <v>73704.34</v>
      </c>
      <c r="N645" t="s">
        <v>131</v>
      </c>
      <c r="O645" t="s">
        <v>113</v>
      </c>
      <c r="P645" t="str">
        <f t="shared" ref="P645:P708" si="10">E645&amp;"|"&amp;G645</f>
        <v>Bengaluru|Printer Pro</v>
      </c>
    </row>
    <row r="646" spans="1:16" x14ac:dyDescent="0.3">
      <c r="A646" s="15">
        <v>46258</v>
      </c>
      <c r="B646" t="s">
        <v>114</v>
      </c>
      <c r="C646" t="s">
        <v>152</v>
      </c>
      <c r="D646" t="s">
        <v>187</v>
      </c>
      <c r="E646" t="s">
        <v>199</v>
      </c>
      <c r="F646" t="s">
        <v>97</v>
      </c>
      <c r="G646" t="s">
        <v>86</v>
      </c>
      <c r="H646" t="s">
        <v>184</v>
      </c>
      <c r="I646" t="s">
        <v>333</v>
      </c>
      <c r="J646">
        <v>16</v>
      </c>
      <c r="K646" s="16">
        <v>95680</v>
      </c>
      <c r="L646" s="16">
        <v>60798.29</v>
      </c>
      <c r="M646" s="16">
        <v>34881.71</v>
      </c>
      <c r="N646" t="s">
        <v>125</v>
      </c>
      <c r="O646" t="s">
        <v>113</v>
      </c>
      <c r="P646" t="str">
        <f t="shared" si="10"/>
        <v>Hyderabad|Coffee Maker</v>
      </c>
    </row>
    <row r="647" spans="1:16" x14ac:dyDescent="0.3">
      <c r="A647" s="15">
        <v>46229</v>
      </c>
      <c r="B647" t="s">
        <v>34</v>
      </c>
      <c r="C647" t="s">
        <v>121</v>
      </c>
      <c r="D647" t="s">
        <v>146</v>
      </c>
      <c r="E647" t="s">
        <v>147</v>
      </c>
      <c r="F647" t="s">
        <v>97</v>
      </c>
      <c r="G647" t="s">
        <v>88</v>
      </c>
      <c r="H647" t="s">
        <v>133</v>
      </c>
      <c r="I647" t="s">
        <v>227</v>
      </c>
      <c r="J647">
        <v>6</v>
      </c>
      <c r="K647" s="16">
        <v>82650</v>
      </c>
      <c r="L647" s="16">
        <v>63569.39</v>
      </c>
      <c r="M647" s="16">
        <v>19080.61</v>
      </c>
      <c r="N647" t="s">
        <v>141</v>
      </c>
      <c r="O647" t="s">
        <v>113</v>
      </c>
      <c r="P647" t="str">
        <f t="shared" si="10"/>
        <v>Guwahati|Vacuum Cleaner</v>
      </c>
    </row>
    <row r="648" spans="1:16" x14ac:dyDescent="0.3">
      <c r="A648" s="15">
        <v>46034</v>
      </c>
      <c r="B648" t="s">
        <v>34</v>
      </c>
      <c r="C648" t="s">
        <v>121</v>
      </c>
      <c r="D648" t="s">
        <v>137</v>
      </c>
      <c r="E648" t="s">
        <v>171</v>
      </c>
      <c r="F648" t="s">
        <v>94</v>
      </c>
      <c r="G648" t="s">
        <v>61</v>
      </c>
      <c r="H648" t="s">
        <v>133</v>
      </c>
      <c r="I648" t="s">
        <v>312</v>
      </c>
      <c r="J648">
        <v>5</v>
      </c>
      <c r="K648" s="16">
        <v>390000</v>
      </c>
      <c r="L648" s="16">
        <v>283647.2</v>
      </c>
      <c r="M648" s="16">
        <v>106352.8</v>
      </c>
      <c r="N648" t="s">
        <v>131</v>
      </c>
      <c r="O648" t="s">
        <v>142</v>
      </c>
      <c r="P648" t="str">
        <f t="shared" si="10"/>
        <v>Bhubaneswar|Laptop Pro</v>
      </c>
    </row>
    <row r="649" spans="1:16" x14ac:dyDescent="0.3">
      <c r="A649" s="15">
        <v>46061</v>
      </c>
      <c r="B649" t="s">
        <v>34</v>
      </c>
      <c r="C649" t="s">
        <v>126</v>
      </c>
      <c r="D649" t="s">
        <v>196</v>
      </c>
      <c r="E649" t="s">
        <v>197</v>
      </c>
      <c r="F649" t="s">
        <v>96</v>
      </c>
      <c r="G649" t="s">
        <v>82</v>
      </c>
      <c r="H649" t="s">
        <v>110</v>
      </c>
      <c r="I649" t="s">
        <v>172</v>
      </c>
      <c r="J649">
        <v>1</v>
      </c>
      <c r="K649" s="16">
        <v>28500</v>
      </c>
      <c r="L649" s="16">
        <v>20003.09</v>
      </c>
      <c r="M649" s="16">
        <v>8496.91</v>
      </c>
      <c r="N649" t="s">
        <v>131</v>
      </c>
      <c r="O649" t="s">
        <v>113</v>
      </c>
      <c r="P649" t="str">
        <f t="shared" si="10"/>
        <v>Dwarka|Standing Desk</v>
      </c>
    </row>
    <row r="650" spans="1:16" x14ac:dyDescent="0.3">
      <c r="A650" s="15">
        <v>46095</v>
      </c>
      <c r="B650" t="s">
        <v>34</v>
      </c>
      <c r="C650" t="s">
        <v>107</v>
      </c>
      <c r="D650" t="s">
        <v>149</v>
      </c>
      <c r="E650" t="s">
        <v>159</v>
      </c>
      <c r="F650" t="s">
        <v>96</v>
      </c>
      <c r="G650" t="s">
        <v>83</v>
      </c>
      <c r="H650" t="s">
        <v>139</v>
      </c>
      <c r="I650" t="s">
        <v>388</v>
      </c>
      <c r="J650">
        <v>3</v>
      </c>
      <c r="K650" s="16">
        <v>108000</v>
      </c>
      <c r="L650" s="16">
        <v>83494.509999999995</v>
      </c>
      <c r="M650" s="16">
        <v>24505.49</v>
      </c>
      <c r="N650" t="s">
        <v>112</v>
      </c>
      <c r="O650" t="s">
        <v>113</v>
      </c>
      <c r="P650" t="str">
        <f t="shared" si="10"/>
        <v>Pune|Meeting Table</v>
      </c>
    </row>
    <row r="651" spans="1:16" x14ac:dyDescent="0.3">
      <c r="A651" s="15">
        <v>46229</v>
      </c>
      <c r="B651" t="s">
        <v>34</v>
      </c>
      <c r="C651" t="s">
        <v>107</v>
      </c>
      <c r="D651" t="s">
        <v>149</v>
      </c>
      <c r="E651" t="s">
        <v>150</v>
      </c>
      <c r="F651" t="s">
        <v>97</v>
      </c>
      <c r="G651" t="s">
        <v>86</v>
      </c>
      <c r="H651" t="s">
        <v>139</v>
      </c>
      <c r="I651" t="s">
        <v>183</v>
      </c>
      <c r="J651">
        <v>10</v>
      </c>
      <c r="K651" s="16">
        <v>61750</v>
      </c>
      <c r="L651" s="16">
        <v>48504.61</v>
      </c>
      <c r="M651" s="16">
        <v>13245.39</v>
      </c>
      <c r="N651" t="s">
        <v>125</v>
      </c>
      <c r="O651" t="s">
        <v>113</v>
      </c>
      <c r="P651" t="str">
        <f t="shared" si="10"/>
        <v>Mumbai|Coffee Maker</v>
      </c>
    </row>
    <row r="652" spans="1:16" x14ac:dyDescent="0.3">
      <c r="A652" s="15">
        <v>46224</v>
      </c>
      <c r="B652" t="s">
        <v>34</v>
      </c>
      <c r="C652" t="s">
        <v>107</v>
      </c>
      <c r="D652" t="s">
        <v>149</v>
      </c>
      <c r="E652" t="s">
        <v>159</v>
      </c>
      <c r="F652" t="s">
        <v>97</v>
      </c>
      <c r="G652" t="s">
        <v>86</v>
      </c>
      <c r="H652" t="s">
        <v>117</v>
      </c>
      <c r="I652" t="s">
        <v>357</v>
      </c>
      <c r="J652">
        <v>9</v>
      </c>
      <c r="K652" s="16">
        <v>51480</v>
      </c>
      <c r="L652" s="16">
        <v>36896.339999999997</v>
      </c>
      <c r="M652" s="16">
        <v>14583.66</v>
      </c>
      <c r="N652" t="s">
        <v>112</v>
      </c>
      <c r="O652" t="s">
        <v>113</v>
      </c>
      <c r="P652" t="str">
        <f t="shared" si="10"/>
        <v>Pune|Coffee Maker</v>
      </c>
    </row>
    <row r="653" spans="1:16" x14ac:dyDescent="0.3">
      <c r="A653" s="15">
        <v>46066</v>
      </c>
      <c r="B653" t="s">
        <v>34</v>
      </c>
      <c r="C653" t="s">
        <v>152</v>
      </c>
      <c r="D653" t="s">
        <v>187</v>
      </c>
      <c r="E653" t="s">
        <v>188</v>
      </c>
      <c r="F653" t="s">
        <v>96</v>
      </c>
      <c r="G653" t="s">
        <v>82</v>
      </c>
      <c r="H653" t="s">
        <v>110</v>
      </c>
      <c r="I653" t="s">
        <v>389</v>
      </c>
      <c r="J653">
        <v>11</v>
      </c>
      <c r="K653" s="16">
        <v>313500</v>
      </c>
      <c r="L653" s="16">
        <v>254683.46</v>
      </c>
      <c r="M653" s="16">
        <v>58816.54</v>
      </c>
      <c r="N653" t="s">
        <v>125</v>
      </c>
      <c r="O653" t="s">
        <v>119</v>
      </c>
      <c r="P653" t="str">
        <f t="shared" si="10"/>
        <v>Warangal|Standing Desk</v>
      </c>
    </row>
    <row r="654" spans="1:16" x14ac:dyDescent="0.3">
      <c r="A654" s="15">
        <v>46121</v>
      </c>
      <c r="B654" t="s">
        <v>34</v>
      </c>
      <c r="C654" t="s">
        <v>152</v>
      </c>
      <c r="D654" t="s">
        <v>153</v>
      </c>
      <c r="E654" t="s">
        <v>169</v>
      </c>
      <c r="F654" t="s">
        <v>96</v>
      </c>
      <c r="G654" t="s">
        <v>84</v>
      </c>
      <c r="H654" t="s">
        <v>173</v>
      </c>
      <c r="I654" t="s">
        <v>323</v>
      </c>
      <c r="J654">
        <v>7</v>
      </c>
      <c r="K654" s="16">
        <v>101500</v>
      </c>
      <c r="L654" s="16">
        <v>74093.600000000006</v>
      </c>
      <c r="M654" s="16">
        <v>27406.400000000001</v>
      </c>
      <c r="N654" t="s">
        <v>112</v>
      </c>
      <c r="O654" t="s">
        <v>113</v>
      </c>
      <c r="P654" t="str">
        <f t="shared" si="10"/>
        <v>Chennai|Filing Cabinet</v>
      </c>
    </row>
    <row r="655" spans="1:16" x14ac:dyDescent="0.3">
      <c r="A655" s="15">
        <v>46189</v>
      </c>
      <c r="B655" t="s">
        <v>34</v>
      </c>
      <c r="C655" t="s">
        <v>126</v>
      </c>
      <c r="D655" t="s">
        <v>162</v>
      </c>
      <c r="E655" t="s">
        <v>204</v>
      </c>
      <c r="F655" t="s">
        <v>94</v>
      </c>
      <c r="G655" t="s">
        <v>64</v>
      </c>
      <c r="H655" t="s">
        <v>184</v>
      </c>
      <c r="I655" t="s">
        <v>379</v>
      </c>
      <c r="J655">
        <v>5</v>
      </c>
      <c r="K655" s="16">
        <v>101850</v>
      </c>
      <c r="L655" s="16">
        <v>83001.03</v>
      </c>
      <c r="M655" s="16">
        <v>18848.97</v>
      </c>
      <c r="N655" t="s">
        <v>112</v>
      </c>
      <c r="O655" t="s">
        <v>113</v>
      </c>
      <c r="P655" t="str">
        <f t="shared" si="10"/>
        <v>Noida|Monitor 27</v>
      </c>
    </row>
    <row r="656" spans="1:16" x14ac:dyDescent="0.3">
      <c r="A656" s="15">
        <v>46203</v>
      </c>
      <c r="B656" t="s">
        <v>34</v>
      </c>
      <c r="C656" t="s">
        <v>152</v>
      </c>
      <c r="D656" t="s">
        <v>187</v>
      </c>
      <c r="E656" t="s">
        <v>188</v>
      </c>
      <c r="F656" t="s">
        <v>94</v>
      </c>
      <c r="G656" t="s">
        <v>70</v>
      </c>
      <c r="H656" t="s">
        <v>135</v>
      </c>
      <c r="I656" t="s">
        <v>177</v>
      </c>
      <c r="J656">
        <v>1</v>
      </c>
      <c r="K656" s="16">
        <v>15035</v>
      </c>
      <c r="L656" s="16">
        <v>12166.85</v>
      </c>
      <c r="M656" s="16">
        <v>2868.15</v>
      </c>
      <c r="N656" t="s">
        <v>131</v>
      </c>
      <c r="O656" t="s">
        <v>119</v>
      </c>
      <c r="P656" t="str">
        <f t="shared" si="10"/>
        <v>Warangal|Printer Pro</v>
      </c>
    </row>
    <row r="657" spans="1:16" x14ac:dyDescent="0.3">
      <c r="A657" s="15">
        <v>46111</v>
      </c>
      <c r="B657" t="s">
        <v>34</v>
      </c>
      <c r="C657" t="s">
        <v>152</v>
      </c>
      <c r="D657" t="s">
        <v>187</v>
      </c>
      <c r="E657" t="s">
        <v>188</v>
      </c>
      <c r="F657" t="s">
        <v>97</v>
      </c>
      <c r="G657" t="s">
        <v>85</v>
      </c>
      <c r="H657" t="s">
        <v>139</v>
      </c>
      <c r="I657" t="s">
        <v>212</v>
      </c>
      <c r="J657">
        <v>8</v>
      </c>
      <c r="K657" s="16">
        <v>144000</v>
      </c>
      <c r="L657" s="16">
        <v>96724.02</v>
      </c>
      <c r="M657" s="16">
        <v>47275.98</v>
      </c>
      <c r="N657" t="s">
        <v>131</v>
      </c>
      <c r="O657" t="s">
        <v>142</v>
      </c>
      <c r="P657" t="str">
        <f t="shared" si="10"/>
        <v>Warangal|Air Purifier</v>
      </c>
    </row>
    <row r="658" spans="1:16" x14ac:dyDescent="0.3">
      <c r="A658" s="15">
        <v>46104</v>
      </c>
      <c r="B658" t="s">
        <v>34</v>
      </c>
      <c r="C658" t="s">
        <v>126</v>
      </c>
      <c r="D658" t="s">
        <v>162</v>
      </c>
      <c r="E658" t="s">
        <v>163</v>
      </c>
      <c r="F658" t="s">
        <v>97</v>
      </c>
      <c r="G658" t="s">
        <v>87</v>
      </c>
      <c r="H658" t="s">
        <v>133</v>
      </c>
      <c r="I658" t="s">
        <v>373</v>
      </c>
      <c r="J658">
        <v>20</v>
      </c>
      <c r="K658" s="16">
        <v>220000</v>
      </c>
      <c r="L658" s="16">
        <v>168022.04</v>
      </c>
      <c r="M658" s="16">
        <v>51977.96</v>
      </c>
      <c r="N658" t="s">
        <v>141</v>
      </c>
      <c r="O658" t="s">
        <v>113</v>
      </c>
      <c r="P658" t="str">
        <f t="shared" si="10"/>
        <v>Lucknow|Microwave</v>
      </c>
    </row>
    <row r="659" spans="1:16" x14ac:dyDescent="0.3">
      <c r="A659" s="15">
        <v>46224</v>
      </c>
      <c r="B659" t="s">
        <v>34</v>
      </c>
      <c r="C659" t="s">
        <v>152</v>
      </c>
      <c r="D659" t="s">
        <v>153</v>
      </c>
      <c r="E659" t="s">
        <v>154</v>
      </c>
      <c r="F659" t="s">
        <v>95</v>
      </c>
      <c r="G659" t="s">
        <v>72</v>
      </c>
      <c r="H659" t="s">
        <v>173</v>
      </c>
      <c r="I659" t="s">
        <v>190</v>
      </c>
      <c r="J659">
        <v>18</v>
      </c>
      <c r="K659" s="16">
        <v>50688</v>
      </c>
      <c r="L659" s="16">
        <v>38789.07</v>
      </c>
      <c r="M659" s="16">
        <v>11898.93</v>
      </c>
      <c r="N659" t="s">
        <v>141</v>
      </c>
      <c r="O659" t="s">
        <v>142</v>
      </c>
      <c r="P659" t="str">
        <f t="shared" si="10"/>
        <v>Coimbatore|Keyboard</v>
      </c>
    </row>
    <row r="660" spans="1:16" x14ac:dyDescent="0.3">
      <c r="A660" s="15">
        <v>46041</v>
      </c>
      <c r="B660" t="s">
        <v>120</v>
      </c>
      <c r="C660" t="s">
        <v>152</v>
      </c>
      <c r="D660" t="s">
        <v>156</v>
      </c>
      <c r="E660" t="s">
        <v>157</v>
      </c>
      <c r="F660" t="s">
        <v>94</v>
      </c>
      <c r="G660" t="s">
        <v>70</v>
      </c>
      <c r="H660" t="s">
        <v>184</v>
      </c>
      <c r="I660" t="s">
        <v>309</v>
      </c>
      <c r="J660">
        <v>2</v>
      </c>
      <c r="K660" s="16">
        <v>31000</v>
      </c>
      <c r="L660" s="16">
        <v>21081.1</v>
      </c>
      <c r="M660" s="16">
        <v>9918.9</v>
      </c>
      <c r="N660" t="s">
        <v>112</v>
      </c>
      <c r="O660" t="s">
        <v>113</v>
      </c>
      <c r="P660" t="str">
        <f t="shared" si="10"/>
        <v>Mysuru|Printer Pro</v>
      </c>
    </row>
    <row r="661" spans="1:16" x14ac:dyDescent="0.3">
      <c r="A661" s="15">
        <v>46256</v>
      </c>
      <c r="B661" t="s">
        <v>34</v>
      </c>
      <c r="C661" t="s">
        <v>107</v>
      </c>
      <c r="D661" t="s">
        <v>115</v>
      </c>
      <c r="E661" t="s">
        <v>116</v>
      </c>
      <c r="F661" t="s">
        <v>95</v>
      </c>
      <c r="G661" t="s">
        <v>78</v>
      </c>
      <c r="H661" t="s">
        <v>139</v>
      </c>
      <c r="I661" t="s">
        <v>283</v>
      </c>
      <c r="J661">
        <v>3</v>
      </c>
      <c r="K661" s="16">
        <v>12600</v>
      </c>
      <c r="L661" s="16">
        <v>10084.530000000001</v>
      </c>
      <c r="M661" s="16">
        <v>2515.4699999999998</v>
      </c>
      <c r="N661" t="s">
        <v>141</v>
      </c>
      <c r="O661" t="s">
        <v>119</v>
      </c>
      <c r="P661" t="str">
        <f t="shared" si="10"/>
        <v>Ahmedabad|Webcam</v>
      </c>
    </row>
    <row r="662" spans="1:16" x14ac:dyDescent="0.3">
      <c r="A662" s="15">
        <v>46080</v>
      </c>
      <c r="B662" t="s">
        <v>120</v>
      </c>
      <c r="C662" t="s">
        <v>126</v>
      </c>
      <c r="D662" t="s">
        <v>196</v>
      </c>
      <c r="E662" t="s">
        <v>208</v>
      </c>
      <c r="F662" t="s">
        <v>94</v>
      </c>
      <c r="G662" t="s">
        <v>67</v>
      </c>
      <c r="H662" t="s">
        <v>173</v>
      </c>
      <c r="I662" t="s">
        <v>390</v>
      </c>
      <c r="J662">
        <v>11</v>
      </c>
      <c r="K662" s="16">
        <v>363000</v>
      </c>
      <c r="L662" s="16">
        <v>280808.87</v>
      </c>
      <c r="M662" s="16">
        <v>82191.13</v>
      </c>
      <c r="N662" t="s">
        <v>131</v>
      </c>
      <c r="O662" t="s">
        <v>119</v>
      </c>
      <c r="P662" t="str">
        <f t="shared" si="10"/>
        <v>New Delhi|Tablet X</v>
      </c>
    </row>
    <row r="663" spans="1:16" x14ac:dyDescent="0.3">
      <c r="A663" s="15">
        <v>46050</v>
      </c>
      <c r="B663" t="s">
        <v>120</v>
      </c>
      <c r="C663" t="s">
        <v>107</v>
      </c>
      <c r="D663" t="s">
        <v>149</v>
      </c>
      <c r="E663" t="s">
        <v>159</v>
      </c>
      <c r="F663" t="s">
        <v>96</v>
      </c>
      <c r="G663" t="s">
        <v>82</v>
      </c>
      <c r="H663" t="s">
        <v>117</v>
      </c>
      <c r="I663" t="s">
        <v>194</v>
      </c>
      <c r="J663">
        <v>13</v>
      </c>
      <c r="K663" s="16">
        <v>370500</v>
      </c>
      <c r="L663" s="16">
        <v>270060.53000000003</v>
      </c>
      <c r="M663" s="16">
        <v>100439.47</v>
      </c>
      <c r="N663" t="s">
        <v>131</v>
      </c>
      <c r="O663" t="s">
        <v>113</v>
      </c>
      <c r="P663" t="str">
        <f t="shared" si="10"/>
        <v>Pune|Standing Desk</v>
      </c>
    </row>
    <row r="664" spans="1:16" x14ac:dyDescent="0.3">
      <c r="A664" s="15">
        <v>46061</v>
      </c>
      <c r="B664" t="s">
        <v>34</v>
      </c>
      <c r="C664" t="s">
        <v>152</v>
      </c>
      <c r="D664" t="s">
        <v>156</v>
      </c>
      <c r="E664" t="s">
        <v>157</v>
      </c>
      <c r="F664" t="s">
        <v>95</v>
      </c>
      <c r="G664" t="s">
        <v>72</v>
      </c>
      <c r="H664" t="s">
        <v>133</v>
      </c>
      <c r="I664" t="s">
        <v>140</v>
      </c>
      <c r="J664">
        <v>9</v>
      </c>
      <c r="K664" s="16">
        <v>28800</v>
      </c>
      <c r="L664" s="16">
        <v>20545.09</v>
      </c>
      <c r="M664" s="16">
        <v>8254.91</v>
      </c>
      <c r="N664" t="s">
        <v>112</v>
      </c>
      <c r="O664" t="s">
        <v>113</v>
      </c>
      <c r="P664" t="str">
        <f t="shared" si="10"/>
        <v>Mysuru|Keyboard</v>
      </c>
    </row>
    <row r="665" spans="1:16" x14ac:dyDescent="0.3">
      <c r="A665" s="15">
        <v>46051</v>
      </c>
      <c r="B665" t="s">
        <v>34</v>
      </c>
      <c r="C665" t="s">
        <v>126</v>
      </c>
      <c r="D665" t="s">
        <v>162</v>
      </c>
      <c r="E665" t="s">
        <v>163</v>
      </c>
      <c r="F665" t="s">
        <v>95</v>
      </c>
      <c r="G665" t="s">
        <v>72</v>
      </c>
      <c r="H665" t="s">
        <v>173</v>
      </c>
      <c r="I665" t="s">
        <v>329</v>
      </c>
      <c r="J665">
        <v>19</v>
      </c>
      <c r="K665" s="16">
        <v>60800</v>
      </c>
      <c r="L665" s="16">
        <v>48912.79</v>
      </c>
      <c r="M665" s="16">
        <v>11887.21</v>
      </c>
      <c r="N665" t="s">
        <v>112</v>
      </c>
      <c r="O665" t="s">
        <v>119</v>
      </c>
      <c r="P665" t="str">
        <f t="shared" si="10"/>
        <v>Lucknow|Keyboard</v>
      </c>
    </row>
    <row r="666" spans="1:16" x14ac:dyDescent="0.3">
      <c r="A666" s="15">
        <v>46143</v>
      </c>
      <c r="B666" t="s">
        <v>34</v>
      </c>
      <c r="C666" t="s">
        <v>107</v>
      </c>
      <c r="D666" t="s">
        <v>108</v>
      </c>
      <c r="E666" t="s">
        <v>109</v>
      </c>
      <c r="F666" t="s">
        <v>96</v>
      </c>
      <c r="G666" t="s">
        <v>84</v>
      </c>
      <c r="H666" t="s">
        <v>184</v>
      </c>
      <c r="I666" t="s">
        <v>339</v>
      </c>
      <c r="J666">
        <v>15</v>
      </c>
      <c r="K666" s="16">
        <v>206625</v>
      </c>
      <c r="L666" s="16">
        <v>145688.89000000001</v>
      </c>
      <c r="M666" s="16">
        <v>60936.11</v>
      </c>
      <c r="N666" t="s">
        <v>131</v>
      </c>
      <c r="O666" t="s">
        <v>113</v>
      </c>
      <c r="P666" t="str">
        <f t="shared" si="10"/>
        <v>Udaipur|Filing Cabinet</v>
      </c>
    </row>
    <row r="667" spans="1:16" x14ac:dyDescent="0.3">
      <c r="A667" s="15">
        <v>46194</v>
      </c>
      <c r="B667" t="s">
        <v>34</v>
      </c>
      <c r="C667" t="s">
        <v>126</v>
      </c>
      <c r="D667" t="s">
        <v>127</v>
      </c>
      <c r="E667" t="s">
        <v>143</v>
      </c>
      <c r="F667" t="s">
        <v>96</v>
      </c>
      <c r="G667" t="s">
        <v>83</v>
      </c>
      <c r="H667" t="s">
        <v>135</v>
      </c>
      <c r="I667" t="s">
        <v>391</v>
      </c>
      <c r="J667">
        <v>14</v>
      </c>
      <c r="K667" s="16">
        <v>488880</v>
      </c>
      <c r="L667" s="16">
        <v>388312.5</v>
      </c>
      <c r="M667" s="16">
        <v>100567.5</v>
      </c>
      <c r="N667" t="s">
        <v>141</v>
      </c>
      <c r="O667" t="s">
        <v>119</v>
      </c>
      <c r="P667" t="str">
        <f t="shared" si="10"/>
        <v>Faridabad|Meeting Table</v>
      </c>
    </row>
    <row r="668" spans="1:16" x14ac:dyDescent="0.3">
      <c r="A668" s="15">
        <v>46214</v>
      </c>
      <c r="B668" t="s">
        <v>34</v>
      </c>
      <c r="C668" t="s">
        <v>121</v>
      </c>
      <c r="D668" t="s">
        <v>137</v>
      </c>
      <c r="E668" t="s">
        <v>171</v>
      </c>
      <c r="F668" t="s">
        <v>95</v>
      </c>
      <c r="G668" t="s">
        <v>74</v>
      </c>
      <c r="H668" t="s">
        <v>135</v>
      </c>
      <c r="I668" t="s">
        <v>170</v>
      </c>
      <c r="J668">
        <v>11</v>
      </c>
      <c r="K668" s="16">
        <v>52800</v>
      </c>
      <c r="L668" s="16">
        <v>32803</v>
      </c>
      <c r="M668" s="16">
        <v>19997</v>
      </c>
      <c r="N668" t="s">
        <v>141</v>
      </c>
      <c r="O668" t="s">
        <v>142</v>
      </c>
      <c r="P668" t="str">
        <f t="shared" si="10"/>
        <v>Bhubaneswar|Headset</v>
      </c>
    </row>
    <row r="669" spans="1:16" x14ac:dyDescent="0.3">
      <c r="A669" s="15">
        <v>46078</v>
      </c>
      <c r="B669" t="s">
        <v>120</v>
      </c>
      <c r="C669" t="s">
        <v>107</v>
      </c>
      <c r="D669" t="s">
        <v>108</v>
      </c>
      <c r="E669" t="s">
        <v>109</v>
      </c>
      <c r="F669" t="s">
        <v>94</v>
      </c>
      <c r="G669" t="s">
        <v>64</v>
      </c>
      <c r="H669" t="s">
        <v>117</v>
      </c>
      <c r="I669" t="s">
        <v>261</v>
      </c>
      <c r="J669">
        <v>12</v>
      </c>
      <c r="K669" s="16">
        <v>239400</v>
      </c>
      <c r="L669" s="16">
        <v>186753.17</v>
      </c>
      <c r="M669" s="16">
        <v>52646.83</v>
      </c>
      <c r="N669" t="s">
        <v>112</v>
      </c>
      <c r="O669" t="s">
        <v>113</v>
      </c>
      <c r="P669" t="str">
        <f t="shared" si="10"/>
        <v>Udaipur|Monitor 27</v>
      </c>
    </row>
    <row r="670" spans="1:16" x14ac:dyDescent="0.3">
      <c r="A670" s="15">
        <v>46179</v>
      </c>
      <c r="B670" t="s">
        <v>34</v>
      </c>
      <c r="C670" t="s">
        <v>107</v>
      </c>
      <c r="D670" t="s">
        <v>115</v>
      </c>
      <c r="E670" t="s">
        <v>191</v>
      </c>
      <c r="F670" t="s">
        <v>95</v>
      </c>
      <c r="G670" t="s">
        <v>78</v>
      </c>
      <c r="H670" t="s">
        <v>133</v>
      </c>
      <c r="I670" t="s">
        <v>333</v>
      </c>
      <c r="J670">
        <v>16</v>
      </c>
      <c r="K670" s="16">
        <v>61824</v>
      </c>
      <c r="L670" s="16">
        <v>40380.54</v>
      </c>
      <c r="M670" s="16">
        <v>21443.46</v>
      </c>
      <c r="N670" t="s">
        <v>131</v>
      </c>
      <c r="O670" t="s">
        <v>113</v>
      </c>
      <c r="P670" t="str">
        <f t="shared" si="10"/>
        <v>Surat|Webcam</v>
      </c>
    </row>
    <row r="671" spans="1:16" x14ac:dyDescent="0.3">
      <c r="A671" s="15">
        <v>46227</v>
      </c>
      <c r="B671" t="s">
        <v>120</v>
      </c>
      <c r="C671" t="s">
        <v>121</v>
      </c>
      <c r="D671" t="s">
        <v>122</v>
      </c>
      <c r="E671" t="s">
        <v>166</v>
      </c>
      <c r="F671" t="s">
        <v>97</v>
      </c>
      <c r="G671" t="s">
        <v>85</v>
      </c>
      <c r="H671" t="s">
        <v>139</v>
      </c>
      <c r="I671" t="s">
        <v>374</v>
      </c>
      <c r="J671">
        <v>15</v>
      </c>
      <c r="K671" s="16">
        <v>256500</v>
      </c>
      <c r="L671" s="16">
        <v>200162.04</v>
      </c>
      <c r="M671" s="16">
        <v>56337.96</v>
      </c>
      <c r="N671" t="s">
        <v>141</v>
      </c>
      <c r="O671" t="s">
        <v>113</v>
      </c>
      <c r="P671" t="str">
        <f t="shared" si="10"/>
        <v>Kolkata|Air Purifier</v>
      </c>
    </row>
    <row r="672" spans="1:16" x14ac:dyDescent="0.3">
      <c r="A672" s="15">
        <v>46056</v>
      </c>
      <c r="B672" t="s">
        <v>34</v>
      </c>
      <c r="C672" t="s">
        <v>126</v>
      </c>
      <c r="D672" t="s">
        <v>196</v>
      </c>
      <c r="E672" t="s">
        <v>208</v>
      </c>
      <c r="F672" t="s">
        <v>95</v>
      </c>
      <c r="G672" t="s">
        <v>74</v>
      </c>
      <c r="H672" t="s">
        <v>129</v>
      </c>
      <c r="I672" t="s">
        <v>213</v>
      </c>
      <c r="J672">
        <v>12</v>
      </c>
      <c r="K672" s="16">
        <v>54720</v>
      </c>
      <c r="L672" s="16">
        <v>34274.39</v>
      </c>
      <c r="M672" s="16">
        <v>20445.61</v>
      </c>
      <c r="N672" t="s">
        <v>141</v>
      </c>
      <c r="O672" t="s">
        <v>113</v>
      </c>
      <c r="P672" t="str">
        <f t="shared" si="10"/>
        <v>New Delhi|Headset</v>
      </c>
    </row>
    <row r="673" spans="1:16" x14ac:dyDescent="0.3">
      <c r="A673" s="15">
        <v>46148</v>
      </c>
      <c r="B673" t="s">
        <v>34</v>
      </c>
      <c r="C673" t="s">
        <v>152</v>
      </c>
      <c r="D673" t="s">
        <v>153</v>
      </c>
      <c r="E673" t="s">
        <v>169</v>
      </c>
      <c r="F673" t="s">
        <v>97</v>
      </c>
      <c r="G673" t="s">
        <v>88</v>
      </c>
      <c r="H673" t="s">
        <v>133</v>
      </c>
      <c r="I673" t="s">
        <v>258</v>
      </c>
      <c r="J673">
        <v>11</v>
      </c>
      <c r="K673" s="16">
        <v>154715</v>
      </c>
      <c r="L673" s="16">
        <v>102674.86</v>
      </c>
      <c r="M673" s="16">
        <v>52040.14</v>
      </c>
      <c r="N673" t="s">
        <v>141</v>
      </c>
      <c r="O673" t="s">
        <v>142</v>
      </c>
      <c r="P673" t="str">
        <f t="shared" si="10"/>
        <v>Chennai|Vacuum Cleaner</v>
      </c>
    </row>
    <row r="674" spans="1:16" x14ac:dyDescent="0.3">
      <c r="A674" s="15">
        <v>46204</v>
      </c>
      <c r="B674" t="s">
        <v>34</v>
      </c>
      <c r="C674" t="s">
        <v>121</v>
      </c>
      <c r="D674" t="s">
        <v>122</v>
      </c>
      <c r="E674" t="s">
        <v>123</v>
      </c>
      <c r="F674" t="s">
        <v>95</v>
      </c>
      <c r="G674" t="s">
        <v>74</v>
      </c>
      <c r="H674" t="s">
        <v>184</v>
      </c>
      <c r="I674" t="s">
        <v>351</v>
      </c>
      <c r="J674">
        <v>11</v>
      </c>
      <c r="K674" s="16">
        <v>52800</v>
      </c>
      <c r="L674" s="16">
        <v>36931.58</v>
      </c>
      <c r="M674" s="16">
        <v>15868.42</v>
      </c>
      <c r="N674" t="s">
        <v>141</v>
      </c>
      <c r="O674" t="s">
        <v>119</v>
      </c>
      <c r="P674" t="str">
        <f t="shared" si="10"/>
        <v>Durgapur|Headset</v>
      </c>
    </row>
    <row r="675" spans="1:16" x14ac:dyDescent="0.3">
      <c r="A675" s="15">
        <v>46076</v>
      </c>
      <c r="B675" t="s">
        <v>34</v>
      </c>
      <c r="C675" t="s">
        <v>126</v>
      </c>
      <c r="D675" t="s">
        <v>162</v>
      </c>
      <c r="E675" t="s">
        <v>204</v>
      </c>
      <c r="F675" t="s">
        <v>97</v>
      </c>
      <c r="G675" t="s">
        <v>85</v>
      </c>
      <c r="H675" t="s">
        <v>135</v>
      </c>
      <c r="I675" t="s">
        <v>367</v>
      </c>
      <c r="J675">
        <v>10</v>
      </c>
      <c r="K675" s="16">
        <v>158400</v>
      </c>
      <c r="L675" s="16">
        <v>128550.55</v>
      </c>
      <c r="M675" s="16">
        <v>29849.45</v>
      </c>
      <c r="N675" t="s">
        <v>125</v>
      </c>
      <c r="O675" t="s">
        <v>142</v>
      </c>
      <c r="P675" t="str">
        <f t="shared" si="10"/>
        <v>Noida|Air Purifier</v>
      </c>
    </row>
    <row r="676" spans="1:16" x14ac:dyDescent="0.3">
      <c r="A676" s="15">
        <v>46217</v>
      </c>
      <c r="B676" t="s">
        <v>114</v>
      </c>
      <c r="C676" t="s">
        <v>152</v>
      </c>
      <c r="D676" t="s">
        <v>187</v>
      </c>
      <c r="E676" t="s">
        <v>199</v>
      </c>
      <c r="F676" t="s">
        <v>97</v>
      </c>
      <c r="G676" t="s">
        <v>86</v>
      </c>
      <c r="H676" t="s">
        <v>117</v>
      </c>
      <c r="I676" t="s">
        <v>200</v>
      </c>
      <c r="J676">
        <v>20</v>
      </c>
      <c r="K676" s="16">
        <v>114400</v>
      </c>
      <c r="L676" s="16">
        <v>85887.29</v>
      </c>
      <c r="M676" s="16">
        <v>28512.71</v>
      </c>
      <c r="N676" t="s">
        <v>141</v>
      </c>
      <c r="O676" t="s">
        <v>113</v>
      </c>
      <c r="P676" t="str">
        <f t="shared" si="10"/>
        <v>Hyderabad|Coffee Maker</v>
      </c>
    </row>
    <row r="677" spans="1:16" x14ac:dyDescent="0.3">
      <c r="A677" s="15">
        <v>46208</v>
      </c>
      <c r="B677" t="s">
        <v>34</v>
      </c>
      <c r="C677" t="s">
        <v>126</v>
      </c>
      <c r="D677" t="s">
        <v>196</v>
      </c>
      <c r="E677" t="s">
        <v>208</v>
      </c>
      <c r="F677" t="s">
        <v>95</v>
      </c>
      <c r="G677" t="s">
        <v>76</v>
      </c>
      <c r="H677" t="s">
        <v>139</v>
      </c>
      <c r="I677" t="s">
        <v>392</v>
      </c>
      <c r="J677">
        <v>15</v>
      </c>
      <c r="K677" s="16">
        <v>24840</v>
      </c>
      <c r="L677" s="16">
        <v>18349.23</v>
      </c>
      <c r="M677" s="16">
        <v>6490.77</v>
      </c>
      <c r="N677" t="s">
        <v>131</v>
      </c>
      <c r="O677" t="s">
        <v>119</v>
      </c>
      <c r="P677" t="str">
        <f t="shared" si="10"/>
        <v>New Delhi|Mouse</v>
      </c>
    </row>
    <row r="678" spans="1:16" x14ac:dyDescent="0.3">
      <c r="A678" s="15">
        <v>46077</v>
      </c>
      <c r="B678" t="s">
        <v>120</v>
      </c>
      <c r="C678" t="s">
        <v>107</v>
      </c>
      <c r="D678" t="s">
        <v>149</v>
      </c>
      <c r="E678" t="s">
        <v>159</v>
      </c>
      <c r="F678" t="s">
        <v>97</v>
      </c>
      <c r="G678" t="s">
        <v>86</v>
      </c>
      <c r="H678" t="s">
        <v>139</v>
      </c>
      <c r="I678" t="s">
        <v>289</v>
      </c>
      <c r="J678">
        <v>20</v>
      </c>
      <c r="K678" s="16">
        <v>114400</v>
      </c>
      <c r="L678" s="16">
        <v>74212.899999999994</v>
      </c>
      <c r="M678" s="16">
        <v>40187.1</v>
      </c>
      <c r="N678" t="s">
        <v>141</v>
      </c>
      <c r="O678" t="s">
        <v>119</v>
      </c>
      <c r="P678" t="str">
        <f t="shared" si="10"/>
        <v>Pune|Coffee Maker</v>
      </c>
    </row>
    <row r="679" spans="1:16" x14ac:dyDescent="0.3">
      <c r="A679" s="15">
        <v>46097</v>
      </c>
      <c r="B679" t="s">
        <v>34</v>
      </c>
      <c r="C679" t="s">
        <v>126</v>
      </c>
      <c r="D679" t="s">
        <v>127</v>
      </c>
      <c r="E679" t="s">
        <v>128</v>
      </c>
      <c r="F679" t="s">
        <v>96</v>
      </c>
      <c r="G679" t="s">
        <v>83</v>
      </c>
      <c r="H679" t="s">
        <v>110</v>
      </c>
      <c r="I679" t="s">
        <v>281</v>
      </c>
      <c r="J679">
        <v>9</v>
      </c>
      <c r="K679" s="16">
        <v>314280</v>
      </c>
      <c r="L679" s="16">
        <v>252360.91</v>
      </c>
      <c r="M679" s="16">
        <v>61919.09</v>
      </c>
      <c r="N679" t="s">
        <v>125</v>
      </c>
      <c r="O679" t="s">
        <v>119</v>
      </c>
      <c r="P679" t="str">
        <f t="shared" si="10"/>
        <v>Gurugram|Meeting Table</v>
      </c>
    </row>
    <row r="680" spans="1:16" x14ac:dyDescent="0.3">
      <c r="A680" s="15">
        <v>46035</v>
      </c>
      <c r="B680" t="s">
        <v>120</v>
      </c>
      <c r="C680" t="s">
        <v>152</v>
      </c>
      <c r="D680" t="s">
        <v>156</v>
      </c>
      <c r="E680" t="s">
        <v>157</v>
      </c>
      <c r="F680" t="s">
        <v>95</v>
      </c>
      <c r="G680" t="s">
        <v>78</v>
      </c>
      <c r="H680" t="s">
        <v>129</v>
      </c>
      <c r="I680" t="s">
        <v>324</v>
      </c>
      <c r="J680">
        <v>15</v>
      </c>
      <c r="K680" s="16">
        <v>63000</v>
      </c>
      <c r="L680" s="16">
        <v>46755.79</v>
      </c>
      <c r="M680" s="16">
        <v>16244.21</v>
      </c>
      <c r="N680" t="s">
        <v>131</v>
      </c>
      <c r="O680" t="s">
        <v>113</v>
      </c>
      <c r="P680" t="str">
        <f t="shared" si="10"/>
        <v>Mysuru|Webcam</v>
      </c>
    </row>
    <row r="681" spans="1:16" x14ac:dyDescent="0.3">
      <c r="A681" s="15">
        <v>46170</v>
      </c>
      <c r="B681" t="s">
        <v>34</v>
      </c>
      <c r="C681" t="s">
        <v>121</v>
      </c>
      <c r="D681" t="s">
        <v>137</v>
      </c>
      <c r="E681" t="s">
        <v>138</v>
      </c>
      <c r="F681" t="s">
        <v>97</v>
      </c>
      <c r="G681" t="s">
        <v>88</v>
      </c>
      <c r="H681" t="s">
        <v>139</v>
      </c>
      <c r="I681" t="s">
        <v>322</v>
      </c>
      <c r="J681">
        <v>3</v>
      </c>
      <c r="K681" s="16">
        <v>42195</v>
      </c>
      <c r="L681" s="16">
        <v>34355.360000000001</v>
      </c>
      <c r="M681" s="16">
        <v>7839.64</v>
      </c>
      <c r="N681" t="s">
        <v>141</v>
      </c>
      <c r="O681" t="s">
        <v>113</v>
      </c>
      <c r="P681" t="str">
        <f t="shared" si="10"/>
        <v>Cuttack|Vacuum Cleaner</v>
      </c>
    </row>
    <row r="682" spans="1:16" x14ac:dyDescent="0.3">
      <c r="A682" s="15">
        <v>46240</v>
      </c>
      <c r="B682" t="s">
        <v>34</v>
      </c>
      <c r="C682" t="s">
        <v>107</v>
      </c>
      <c r="D682" t="s">
        <v>115</v>
      </c>
      <c r="E682" t="s">
        <v>191</v>
      </c>
      <c r="F682" t="s">
        <v>97</v>
      </c>
      <c r="G682" t="s">
        <v>86</v>
      </c>
      <c r="H682" t="s">
        <v>129</v>
      </c>
      <c r="I682" t="s">
        <v>393</v>
      </c>
      <c r="J682">
        <v>16</v>
      </c>
      <c r="K682" s="16">
        <v>95680</v>
      </c>
      <c r="L682" s="16">
        <v>77040.25</v>
      </c>
      <c r="M682" s="16">
        <v>18639.75</v>
      </c>
      <c r="N682" t="s">
        <v>141</v>
      </c>
      <c r="O682" t="s">
        <v>113</v>
      </c>
      <c r="P682" t="str">
        <f t="shared" si="10"/>
        <v>Surat|Coffee Maker</v>
      </c>
    </row>
    <row r="683" spans="1:16" x14ac:dyDescent="0.3">
      <c r="A683" s="15">
        <v>46124</v>
      </c>
      <c r="B683" t="s">
        <v>34</v>
      </c>
      <c r="C683" t="s">
        <v>121</v>
      </c>
      <c r="D683" t="s">
        <v>146</v>
      </c>
      <c r="E683" t="s">
        <v>147</v>
      </c>
      <c r="F683" t="s">
        <v>94</v>
      </c>
      <c r="G683" t="s">
        <v>64</v>
      </c>
      <c r="H683" t="s">
        <v>133</v>
      </c>
      <c r="I683" t="s">
        <v>174</v>
      </c>
      <c r="J683">
        <v>12</v>
      </c>
      <c r="K683" s="16">
        <v>221760</v>
      </c>
      <c r="L683" s="16">
        <v>177176.32000000001</v>
      </c>
      <c r="M683" s="16">
        <v>44583.68</v>
      </c>
      <c r="N683" t="s">
        <v>131</v>
      </c>
      <c r="O683" t="s">
        <v>119</v>
      </c>
      <c r="P683" t="str">
        <f t="shared" si="10"/>
        <v>Guwahati|Monitor 27</v>
      </c>
    </row>
    <row r="684" spans="1:16" x14ac:dyDescent="0.3">
      <c r="A684" s="15">
        <v>46092</v>
      </c>
      <c r="B684" t="s">
        <v>34</v>
      </c>
      <c r="C684" t="s">
        <v>152</v>
      </c>
      <c r="D684" t="s">
        <v>156</v>
      </c>
      <c r="E684" t="s">
        <v>238</v>
      </c>
      <c r="F684" t="s">
        <v>96</v>
      </c>
      <c r="G684" t="s">
        <v>84</v>
      </c>
      <c r="H684" t="s">
        <v>184</v>
      </c>
      <c r="I684" t="s">
        <v>235</v>
      </c>
      <c r="J684">
        <v>6</v>
      </c>
      <c r="K684" s="16">
        <v>87000</v>
      </c>
      <c r="L684" s="16">
        <v>68279.100000000006</v>
      </c>
      <c r="M684" s="16">
        <v>18720.900000000001</v>
      </c>
      <c r="N684" t="s">
        <v>112</v>
      </c>
      <c r="O684" t="s">
        <v>119</v>
      </c>
      <c r="P684" t="str">
        <f t="shared" si="10"/>
        <v>Bengaluru|Filing Cabinet</v>
      </c>
    </row>
    <row r="685" spans="1:16" x14ac:dyDescent="0.3">
      <c r="A685" s="15">
        <v>46225</v>
      </c>
      <c r="B685" t="s">
        <v>34</v>
      </c>
      <c r="C685" t="s">
        <v>107</v>
      </c>
      <c r="D685" t="s">
        <v>115</v>
      </c>
      <c r="E685" t="s">
        <v>191</v>
      </c>
      <c r="F685" t="s">
        <v>97</v>
      </c>
      <c r="G685" t="s">
        <v>86</v>
      </c>
      <c r="H685" t="s">
        <v>117</v>
      </c>
      <c r="I685" t="s">
        <v>201</v>
      </c>
      <c r="J685">
        <v>3</v>
      </c>
      <c r="K685" s="16">
        <v>17940</v>
      </c>
      <c r="L685" s="16">
        <v>13559.02</v>
      </c>
      <c r="M685" s="16">
        <v>4380.9799999999996</v>
      </c>
      <c r="N685" t="s">
        <v>125</v>
      </c>
      <c r="O685" t="s">
        <v>113</v>
      </c>
      <c r="P685" t="str">
        <f t="shared" si="10"/>
        <v>Surat|Coffee Maker</v>
      </c>
    </row>
    <row r="686" spans="1:16" x14ac:dyDescent="0.3">
      <c r="A686" s="15">
        <v>46027</v>
      </c>
      <c r="B686" t="s">
        <v>114</v>
      </c>
      <c r="C686" t="s">
        <v>107</v>
      </c>
      <c r="D686" t="s">
        <v>149</v>
      </c>
      <c r="E686" t="s">
        <v>150</v>
      </c>
      <c r="F686" t="s">
        <v>95</v>
      </c>
      <c r="G686" t="s">
        <v>72</v>
      </c>
      <c r="H686" t="s">
        <v>184</v>
      </c>
      <c r="I686" t="s">
        <v>390</v>
      </c>
      <c r="J686">
        <v>10</v>
      </c>
      <c r="K686" s="16">
        <v>29440</v>
      </c>
      <c r="L686" s="16">
        <v>20804.8</v>
      </c>
      <c r="M686" s="16">
        <v>8635.2000000000007</v>
      </c>
      <c r="N686" t="s">
        <v>125</v>
      </c>
      <c r="O686" t="s">
        <v>113</v>
      </c>
      <c r="P686" t="str">
        <f t="shared" si="10"/>
        <v>Mumbai|Keyboard</v>
      </c>
    </row>
    <row r="687" spans="1:16" x14ac:dyDescent="0.3">
      <c r="A687" s="15">
        <v>46083</v>
      </c>
      <c r="B687" t="s">
        <v>34</v>
      </c>
      <c r="C687" t="s">
        <v>107</v>
      </c>
      <c r="D687" t="s">
        <v>149</v>
      </c>
      <c r="E687" t="s">
        <v>150</v>
      </c>
      <c r="F687" t="s">
        <v>94</v>
      </c>
      <c r="G687" t="s">
        <v>61</v>
      </c>
      <c r="H687" t="s">
        <v>133</v>
      </c>
      <c r="I687" t="s">
        <v>334</v>
      </c>
      <c r="J687">
        <v>1</v>
      </c>
      <c r="K687" s="16">
        <v>68640</v>
      </c>
      <c r="L687" s="16">
        <v>44974.02</v>
      </c>
      <c r="M687" s="16">
        <v>23665.98</v>
      </c>
      <c r="N687" t="s">
        <v>125</v>
      </c>
      <c r="O687" t="s">
        <v>142</v>
      </c>
      <c r="P687" t="str">
        <f t="shared" si="10"/>
        <v>Mumbai|Laptop Pro</v>
      </c>
    </row>
    <row r="688" spans="1:16" x14ac:dyDescent="0.3">
      <c r="A688" s="15">
        <v>46264</v>
      </c>
      <c r="B688" t="s">
        <v>120</v>
      </c>
      <c r="C688" t="s">
        <v>126</v>
      </c>
      <c r="D688" t="s">
        <v>196</v>
      </c>
      <c r="E688" t="s">
        <v>208</v>
      </c>
      <c r="F688" t="s">
        <v>96</v>
      </c>
      <c r="G688" t="s">
        <v>82</v>
      </c>
      <c r="H688" t="s">
        <v>184</v>
      </c>
      <c r="I688" t="s">
        <v>285</v>
      </c>
      <c r="J688">
        <v>17</v>
      </c>
      <c r="K688" s="16">
        <v>469965</v>
      </c>
      <c r="L688" s="16">
        <v>294472.25</v>
      </c>
      <c r="M688" s="16">
        <v>175492.75</v>
      </c>
      <c r="N688" t="s">
        <v>141</v>
      </c>
      <c r="O688" t="s">
        <v>119</v>
      </c>
      <c r="P688" t="str">
        <f t="shared" si="10"/>
        <v>New Delhi|Standing Desk</v>
      </c>
    </row>
    <row r="689" spans="1:16" x14ac:dyDescent="0.3">
      <c r="A689" s="15">
        <v>46241</v>
      </c>
      <c r="B689" t="s">
        <v>120</v>
      </c>
      <c r="C689" t="s">
        <v>107</v>
      </c>
      <c r="D689" t="s">
        <v>115</v>
      </c>
      <c r="E689" t="s">
        <v>116</v>
      </c>
      <c r="F689" t="s">
        <v>95</v>
      </c>
      <c r="G689" t="s">
        <v>72</v>
      </c>
      <c r="H689" t="s">
        <v>184</v>
      </c>
      <c r="I689" t="s">
        <v>118</v>
      </c>
      <c r="J689">
        <v>5</v>
      </c>
      <c r="K689" s="16">
        <v>16000</v>
      </c>
      <c r="L689" s="16">
        <v>12331.41</v>
      </c>
      <c r="M689" s="16">
        <v>3668.59</v>
      </c>
      <c r="N689" t="s">
        <v>141</v>
      </c>
      <c r="O689" t="s">
        <v>113</v>
      </c>
      <c r="P689" t="str">
        <f t="shared" si="10"/>
        <v>Ahmedabad|Keyboard</v>
      </c>
    </row>
    <row r="690" spans="1:16" x14ac:dyDescent="0.3">
      <c r="A690" s="15">
        <v>46124</v>
      </c>
      <c r="B690" t="s">
        <v>34</v>
      </c>
      <c r="C690" t="s">
        <v>107</v>
      </c>
      <c r="D690" t="s">
        <v>108</v>
      </c>
      <c r="E690" t="s">
        <v>132</v>
      </c>
      <c r="F690" t="s">
        <v>94</v>
      </c>
      <c r="G690" t="s">
        <v>67</v>
      </c>
      <c r="H690" t="s">
        <v>135</v>
      </c>
      <c r="I690" t="s">
        <v>239</v>
      </c>
      <c r="J690">
        <v>19</v>
      </c>
      <c r="K690" s="16">
        <v>627000</v>
      </c>
      <c r="L690" s="16">
        <v>410557.34</v>
      </c>
      <c r="M690" s="16">
        <v>216442.66</v>
      </c>
      <c r="N690" t="s">
        <v>125</v>
      </c>
      <c r="O690" t="s">
        <v>113</v>
      </c>
      <c r="P690" t="str">
        <f t="shared" si="10"/>
        <v>Jaipur|Tablet X</v>
      </c>
    </row>
    <row r="691" spans="1:16" x14ac:dyDescent="0.3">
      <c r="A691" s="15">
        <v>46078</v>
      </c>
      <c r="B691" t="s">
        <v>120</v>
      </c>
      <c r="C691" t="s">
        <v>107</v>
      </c>
      <c r="D691" t="s">
        <v>149</v>
      </c>
      <c r="E691" t="s">
        <v>159</v>
      </c>
      <c r="F691" t="s">
        <v>96</v>
      </c>
      <c r="G691" t="s">
        <v>83</v>
      </c>
      <c r="H691" t="s">
        <v>139</v>
      </c>
      <c r="I691" t="s">
        <v>335</v>
      </c>
      <c r="J691">
        <v>7</v>
      </c>
      <c r="K691" s="16">
        <v>231840</v>
      </c>
      <c r="L691" s="16">
        <v>144170.76</v>
      </c>
      <c r="M691" s="16">
        <v>87669.24</v>
      </c>
      <c r="N691" t="s">
        <v>125</v>
      </c>
      <c r="O691" t="s">
        <v>113</v>
      </c>
      <c r="P691" t="str">
        <f t="shared" si="10"/>
        <v>Pune|Meeting Table</v>
      </c>
    </row>
    <row r="692" spans="1:16" x14ac:dyDescent="0.3">
      <c r="A692" s="15">
        <v>46196</v>
      </c>
      <c r="B692" t="s">
        <v>34</v>
      </c>
      <c r="C692" t="s">
        <v>107</v>
      </c>
      <c r="D692" t="s">
        <v>115</v>
      </c>
      <c r="E692" t="s">
        <v>116</v>
      </c>
      <c r="F692" t="s">
        <v>94</v>
      </c>
      <c r="G692" t="s">
        <v>67</v>
      </c>
      <c r="H692" t="s">
        <v>173</v>
      </c>
      <c r="I692" t="s">
        <v>192</v>
      </c>
      <c r="J692">
        <v>8</v>
      </c>
      <c r="K692" s="16">
        <v>264000</v>
      </c>
      <c r="L692" s="16">
        <v>173930.23999999999</v>
      </c>
      <c r="M692" s="16">
        <v>90069.759999999995</v>
      </c>
      <c r="N692" t="s">
        <v>112</v>
      </c>
      <c r="O692" t="s">
        <v>113</v>
      </c>
      <c r="P692" t="str">
        <f t="shared" si="10"/>
        <v>Ahmedabad|Tablet X</v>
      </c>
    </row>
    <row r="693" spans="1:16" x14ac:dyDescent="0.3">
      <c r="A693" s="15">
        <v>46127</v>
      </c>
      <c r="B693" t="s">
        <v>34</v>
      </c>
      <c r="C693" t="s">
        <v>107</v>
      </c>
      <c r="D693" t="s">
        <v>149</v>
      </c>
      <c r="E693" t="s">
        <v>150</v>
      </c>
      <c r="F693" t="s">
        <v>94</v>
      </c>
      <c r="G693" t="s">
        <v>67</v>
      </c>
      <c r="H693" t="s">
        <v>133</v>
      </c>
      <c r="I693" t="s">
        <v>394</v>
      </c>
      <c r="J693">
        <v>6</v>
      </c>
      <c r="K693" s="16">
        <v>198000</v>
      </c>
      <c r="L693" s="16">
        <v>123081.25</v>
      </c>
      <c r="M693" s="16">
        <v>74918.75</v>
      </c>
      <c r="N693" t="s">
        <v>125</v>
      </c>
      <c r="O693" t="s">
        <v>113</v>
      </c>
      <c r="P693" t="str">
        <f t="shared" si="10"/>
        <v>Mumbai|Tablet X</v>
      </c>
    </row>
    <row r="694" spans="1:16" x14ac:dyDescent="0.3">
      <c r="A694" s="15">
        <v>46097</v>
      </c>
      <c r="B694" t="s">
        <v>34</v>
      </c>
      <c r="C694" t="s">
        <v>107</v>
      </c>
      <c r="D694" t="s">
        <v>108</v>
      </c>
      <c r="E694" t="s">
        <v>109</v>
      </c>
      <c r="F694" t="s">
        <v>95</v>
      </c>
      <c r="G694" t="s">
        <v>78</v>
      </c>
      <c r="H694" t="s">
        <v>117</v>
      </c>
      <c r="I694" t="s">
        <v>198</v>
      </c>
      <c r="J694">
        <v>7</v>
      </c>
      <c r="K694" s="16">
        <v>27048</v>
      </c>
      <c r="L694" s="16">
        <v>17317.96</v>
      </c>
      <c r="M694" s="16">
        <v>9730.0400000000009</v>
      </c>
      <c r="N694" t="s">
        <v>131</v>
      </c>
      <c r="O694" t="s">
        <v>142</v>
      </c>
      <c r="P694" t="str">
        <f t="shared" si="10"/>
        <v>Udaipur|Webcam</v>
      </c>
    </row>
    <row r="695" spans="1:16" x14ac:dyDescent="0.3">
      <c r="A695" s="15">
        <v>46077</v>
      </c>
      <c r="B695" t="s">
        <v>34</v>
      </c>
      <c r="C695" t="s">
        <v>126</v>
      </c>
      <c r="D695" t="s">
        <v>196</v>
      </c>
      <c r="E695" t="s">
        <v>197</v>
      </c>
      <c r="F695" t="s">
        <v>97</v>
      </c>
      <c r="G695" t="s">
        <v>88</v>
      </c>
      <c r="H695" t="s">
        <v>133</v>
      </c>
      <c r="I695" t="s">
        <v>140</v>
      </c>
      <c r="J695">
        <v>15</v>
      </c>
      <c r="K695" s="16">
        <v>217500</v>
      </c>
      <c r="L695" s="16">
        <v>140853.4</v>
      </c>
      <c r="M695" s="16">
        <v>76646.600000000006</v>
      </c>
      <c r="N695" t="s">
        <v>112</v>
      </c>
      <c r="O695" t="s">
        <v>113</v>
      </c>
      <c r="P695" t="str">
        <f t="shared" si="10"/>
        <v>Dwarka|Vacuum Cleaner</v>
      </c>
    </row>
    <row r="696" spans="1:16" x14ac:dyDescent="0.3">
      <c r="A696" s="15">
        <v>46158</v>
      </c>
      <c r="B696" t="s">
        <v>34</v>
      </c>
      <c r="C696" t="s">
        <v>121</v>
      </c>
      <c r="D696" t="s">
        <v>146</v>
      </c>
      <c r="E696" t="s">
        <v>147</v>
      </c>
      <c r="F696" t="s">
        <v>94</v>
      </c>
      <c r="G696" t="s">
        <v>70</v>
      </c>
      <c r="H696" t="s">
        <v>184</v>
      </c>
      <c r="I696" t="s">
        <v>395</v>
      </c>
      <c r="J696">
        <v>11</v>
      </c>
      <c r="K696" s="16">
        <v>161975</v>
      </c>
      <c r="L696" s="16">
        <v>100425.64</v>
      </c>
      <c r="M696" s="16">
        <v>61549.36</v>
      </c>
      <c r="N696" t="s">
        <v>131</v>
      </c>
      <c r="O696" t="s">
        <v>113</v>
      </c>
      <c r="P696" t="str">
        <f t="shared" si="10"/>
        <v>Guwahati|Printer Pro</v>
      </c>
    </row>
    <row r="697" spans="1:16" x14ac:dyDescent="0.3">
      <c r="A697" s="15">
        <v>46148</v>
      </c>
      <c r="B697" t="s">
        <v>34</v>
      </c>
      <c r="C697" t="s">
        <v>126</v>
      </c>
      <c r="D697" t="s">
        <v>162</v>
      </c>
      <c r="E697" t="s">
        <v>204</v>
      </c>
      <c r="F697" t="s">
        <v>97</v>
      </c>
      <c r="G697" t="s">
        <v>85</v>
      </c>
      <c r="H697" t="s">
        <v>129</v>
      </c>
      <c r="I697" t="s">
        <v>294</v>
      </c>
      <c r="J697">
        <v>3</v>
      </c>
      <c r="K697" s="16">
        <v>47520</v>
      </c>
      <c r="L697" s="16">
        <v>38944</v>
      </c>
      <c r="M697" s="16">
        <v>8576</v>
      </c>
      <c r="N697" t="s">
        <v>112</v>
      </c>
      <c r="O697" t="s">
        <v>113</v>
      </c>
      <c r="P697" t="str">
        <f t="shared" si="10"/>
        <v>Noida|Air Purifier</v>
      </c>
    </row>
    <row r="698" spans="1:16" x14ac:dyDescent="0.3">
      <c r="A698" s="15">
        <v>46165</v>
      </c>
      <c r="B698" t="s">
        <v>34</v>
      </c>
      <c r="C698" t="s">
        <v>121</v>
      </c>
      <c r="D698" t="s">
        <v>122</v>
      </c>
      <c r="E698" t="s">
        <v>123</v>
      </c>
      <c r="F698" t="s">
        <v>97</v>
      </c>
      <c r="G698" t="s">
        <v>85</v>
      </c>
      <c r="H698" t="s">
        <v>133</v>
      </c>
      <c r="I698" t="s">
        <v>269</v>
      </c>
      <c r="J698">
        <v>6</v>
      </c>
      <c r="K698" s="16">
        <v>99360</v>
      </c>
      <c r="L698" s="16">
        <v>68219.69</v>
      </c>
      <c r="M698" s="16">
        <v>31140.31</v>
      </c>
      <c r="N698" t="s">
        <v>112</v>
      </c>
      <c r="O698" t="s">
        <v>142</v>
      </c>
      <c r="P698" t="str">
        <f t="shared" si="10"/>
        <v>Durgapur|Air Purifier</v>
      </c>
    </row>
    <row r="699" spans="1:16" x14ac:dyDescent="0.3">
      <c r="A699" s="15">
        <v>46104</v>
      </c>
      <c r="B699" t="s">
        <v>34</v>
      </c>
      <c r="C699" t="s">
        <v>152</v>
      </c>
      <c r="D699" t="s">
        <v>153</v>
      </c>
      <c r="E699" t="s">
        <v>169</v>
      </c>
      <c r="F699" t="s">
        <v>97</v>
      </c>
      <c r="G699" t="s">
        <v>86</v>
      </c>
      <c r="H699" t="s">
        <v>133</v>
      </c>
      <c r="I699" t="s">
        <v>260</v>
      </c>
      <c r="J699">
        <v>14</v>
      </c>
      <c r="K699" s="16">
        <v>91000</v>
      </c>
      <c r="L699" s="16">
        <v>63945.21</v>
      </c>
      <c r="M699" s="16">
        <v>27054.79</v>
      </c>
      <c r="N699" t="s">
        <v>141</v>
      </c>
      <c r="O699" t="s">
        <v>113</v>
      </c>
      <c r="P699" t="str">
        <f t="shared" si="10"/>
        <v>Chennai|Coffee Maker</v>
      </c>
    </row>
    <row r="700" spans="1:16" x14ac:dyDescent="0.3">
      <c r="A700" s="15">
        <v>46036</v>
      </c>
      <c r="B700" t="s">
        <v>114</v>
      </c>
      <c r="C700" t="s">
        <v>152</v>
      </c>
      <c r="D700" t="s">
        <v>156</v>
      </c>
      <c r="E700" t="s">
        <v>238</v>
      </c>
      <c r="F700" t="s">
        <v>97</v>
      </c>
      <c r="G700" t="s">
        <v>85</v>
      </c>
      <c r="H700" t="s">
        <v>129</v>
      </c>
      <c r="I700" t="s">
        <v>160</v>
      </c>
      <c r="J700">
        <v>19</v>
      </c>
      <c r="K700" s="16">
        <v>314640</v>
      </c>
      <c r="L700" s="16">
        <v>243481.72</v>
      </c>
      <c r="M700" s="16">
        <v>71158.28</v>
      </c>
      <c r="N700" t="s">
        <v>112</v>
      </c>
      <c r="O700" t="s">
        <v>113</v>
      </c>
      <c r="P700" t="str">
        <f t="shared" si="10"/>
        <v>Bengaluru|Air Purifier</v>
      </c>
    </row>
    <row r="701" spans="1:16" x14ac:dyDescent="0.3">
      <c r="A701" s="15">
        <v>46085</v>
      </c>
      <c r="B701" t="s">
        <v>34</v>
      </c>
      <c r="C701" t="s">
        <v>126</v>
      </c>
      <c r="D701" t="s">
        <v>196</v>
      </c>
      <c r="E701" t="s">
        <v>197</v>
      </c>
      <c r="F701" t="s">
        <v>96</v>
      </c>
      <c r="G701" t="s">
        <v>83</v>
      </c>
      <c r="H701" t="s">
        <v>117</v>
      </c>
      <c r="I701" t="s">
        <v>200</v>
      </c>
      <c r="J701">
        <v>6</v>
      </c>
      <c r="K701" s="16">
        <v>216000</v>
      </c>
      <c r="L701" s="16">
        <v>146876.96</v>
      </c>
      <c r="M701" s="16">
        <v>69123.039999999994</v>
      </c>
      <c r="N701" t="s">
        <v>125</v>
      </c>
      <c r="O701" t="s">
        <v>113</v>
      </c>
      <c r="P701" t="str">
        <f t="shared" si="10"/>
        <v>Dwarka|Meeting Table</v>
      </c>
    </row>
    <row r="702" spans="1:16" x14ac:dyDescent="0.3">
      <c r="A702" s="15">
        <v>46048</v>
      </c>
      <c r="B702" t="s">
        <v>34</v>
      </c>
      <c r="C702" t="s">
        <v>107</v>
      </c>
      <c r="D702" t="s">
        <v>108</v>
      </c>
      <c r="E702" t="s">
        <v>109</v>
      </c>
      <c r="F702" t="s">
        <v>97</v>
      </c>
      <c r="G702" t="s">
        <v>86</v>
      </c>
      <c r="H702" t="s">
        <v>139</v>
      </c>
      <c r="I702" t="s">
        <v>351</v>
      </c>
      <c r="J702">
        <v>5</v>
      </c>
      <c r="K702" s="16">
        <v>31525</v>
      </c>
      <c r="L702" s="16">
        <v>23540.55</v>
      </c>
      <c r="M702" s="16">
        <v>7984.45</v>
      </c>
      <c r="N702" t="s">
        <v>131</v>
      </c>
      <c r="O702" t="s">
        <v>142</v>
      </c>
      <c r="P702" t="str">
        <f t="shared" si="10"/>
        <v>Udaipur|Coffee Maker</v>
      </c>
    </row>
    <row r="703" spans="1:16" x14ac:dyDescent="0.3">
      <c r="A703" s="15">
        <v>46224</v>
      </c>
      <c r="B703" t="s">
        <v>34</v>
      </c>
      <c r="C703" t="s">
        <v>107</v>
      </c>
      <c r="D703" t="s">
        <v>108</v>
      </c>
      <c r="E703" t="s">
        <v>132</v>
      </c>
      <c r="F703" t="s">
        <v>96</v>
      </c>
      <c r="G703" t="s">
        <v>83</v>
      </c>
      <c r="H703" t="s">
        <v>133</v>
      </c>
      <c r="I703" t="s">
        <v>248</v>
      </c>
      <c r="J703">
        <v>8</v>
      </c>
      <c r="K703" s="16">
        <v>273600</v>
      </c>
      <c r="L703" s="16">
        <v>217061.63</v>
      </c>
      <c r="M703" s="16">
        <v>56538.37</v>
      </c>
      <c r="N703" t="s">
        <v>141</v>
      </c>
      <c r="O703" t="s">
        <v>113</v>
      </c>
      <c r="P703" t="str">
        <f t="shared" si="10"/>
        <v>Jaipur|Meeting Table</v>
      </c>
    </row>
    <row r="704" spans="1:16" x14ac:dyDescent="0.3">
      <c r="A704" s="15">
        <v>46254</v>
      </c>
      <c r="B704" t="s">
        <v>34</v>
      </c>
      <c r="C704" t="s">
        <v>126</v>
      </c>
      <c r="D704" t="s">
        <v>127</v>
      </c>
      <c r="E704" t="s">
        <v>128</v>
      </c>
      <c r="F704" t="s">
        <v>94</v>
      </c>
      <c r="G704" t="s">
        <v>64</v>
      </c>
      <c r="H704" t="s">
        <v>117</v>
      </c>
      <c r="I704" t="s">
        <v>321</v>
      </c>
      <c r="J704">
        <v>3</v>
      </c>
      <c r="K704" s="16">
        <v>63000</v>
      </c>
      <c r="L704" s="16">
        <v>44718.64</v>
      </c>
      <c r="M704" s="16">
        <v>18281.36</v>
      </c>
      <c r="N704" t="s">
        <v>112</v>
      </c>
      <c r="O704" t="s">
        <v>113</v>
      </c>
      <c r="P704" t="str">
        <f t="shared" si="10"/>
        <v>Gurugram|Monitor 27</v>
      </c>
    </row>
    <row r="705" spans="1:16" x14ac:dyDescent="0.3">
      <c r="A705" s="15">
        <v>46264</v>
      </c>
      <c r="B705" t="s">
        <v>34</v>
      </c>
      <c r="C705" t="s">
        <v>152</v>
      </c>
      <c r="D705" t="s">
        <v>153</v>
      </c>
      <c r="E705" t="s">
        <v>154</v>
      </c>
      <c r="F705" t="s">
        <v>96</v>
      </c>
      <c r="G705" t="s">
        <v>82</v>
      </c>
      <c r="H705" t="s">
        <v>133</v>
      </c>
      <c r="I705" t="s">
        <v>222</v>
      </c>
      <c r="J705">
        <v>17</v>
      </c>
      <c r="K705" s="16">
        <v>460275</v>
      </c>
      <c r="L705" s="16">
        <v>350290.83</v>
      </c>
      <c r="M705" s="16">
        <v>109984.17</v>
      </c>
      <c r="N705" t="s">
        <v>131</v>
      </c>
      <c r="O705" t="s">
        <v>119</v>
      </c>
      <c r="P705" t="str">
        <f t="shared" si="10"/>
        <v>Coimbatore|Standing Desk</v>
      </c>
    </row>
    <row r="706" spans="1:16" x14ac:dyDescent="0.3">
      <c r="A706" s="15">
        <v>46164</v>
      </c>
      <c r="B706" t="s">
        <v>34</v>
      </c>
      <c r="C706" t="s">
        <v>152</v>
      </c>
      <c r="D706" t="s">
        <v>153</v>
      </c>
      <c r="E706" t="s">
        <v>169</v>
      </c>
      <c r="F706" t="s">
        <v>97</v>
      </c>
      <c r="G706" t="s">
        <v>85</v>
      </c>
      <c r="H706" t="s">
        <v>117</v>
      </c>
      <c r="I706" t="s">
        <v>212</v>
      </c>
      <c r="J706">
        <v>16</v>
      </c>
      <c r="K706" s="16">
        <v>288000</v>
      </c>
      <c r="L706" s="16">
        <v>203265.93</v>
      </c>
      <c r="M706" s="16">
        <v>84734.07</v>
      </c>
      <c r="N706" t="s">
        <v>112</v>
      </c>
      <c r="O706" t="s">
        <v>142</v>
      </c>
      <c r="P706" t="str">
        <f t="shared" si="10"/>
        <v>Chennai|Air Purifier</v>
      </c>
    </row>
    <row r="707" spans="1:16" x14ac:dyDescent="0.3">
      <c r="A707" s="15">
        <v>46207</v>
      </c>
      <c r="B707" t="s">
        <v>34</v>
      </c>
      <c r="C707" t="s">
        <v>126</v>
      </c>
      <c r="D707" t="s">
        <v>127</v>
      </c>
      <c r="E707" t="s">
        <v>143</v>
      </c>
      <c r="F707" t="s">
        <v>95</v>
      </c>
      <c r="G707" t="s">
        <v>74</v>
      </c>
      <c r="H707" t="s">
        <v>117</v>
      </c>
      <c r="I707" t="s">
        <v>396</v>
      </c>
      <c r="J707">
        <v>10</v>
      </c>
      <c r="K707" s="16">
        <v>46560</v>
      </c>
      <c r="L707" s="16">
        <v>32777.83</v>
      </c>
      <c r="M707" s="16">
        <v>13782.17</v>
      </c>
      <c r="N707" t="s">
        <v>131</v>
      </c>
      <c r="O707" t="s">
        <v>142</v>
      </c>
      <c r="P707" t="str">
        <f t="shared" si="10"/>
        <v>Faridabad|Headset</v>
      </c>
    </row>
    <row r="708" spans="1:16" x14ac:dyDescent="0.3">
      <c r="A708" s="15">
        <v>46113</v>
      </c>
      <c r="B708" t="s">
        <v>120</v>
      </c>
      <c r="C708" t="s">
        <v>107</v>
      </c>
      <c r="D708" t="s">
        <v>108</v>
      </c>
      <c r="E708" t="s">
        <v>109</v>
      </c>
      <c r="F708" t="s">
        <v>95</v>
      </c>
      <c r="G708" t="s">
        <v>74</v>
      </c>
      <c r="H708" t="s">
        <v>135</v>
      </c>
      <c r="I708" t="s">
        <v>364</v>
      </c>
      <c r="J708">
        <v>14</v>
      </c>
      <c r="K708" s="16">
        <v>65184</v>
      </c>
      <c r="L708" s="16">
        <v>50763.839999999997</v>
      </c>
      <c r="M708" s="16">
        <v>14420.16</v>
      </c>
      <c r="N708" t="s">
        <v>112</v>
      </c>
      <c r="O708" t="s">
        <v>142</v>
      </c>
      <c r="P708" t="str">
        <f t="shared" si="10"/>
        <v>Udaipur|Headset</v>
      </c>
    </row>
    <row r="709" spans="1:16" x14ac:dyDescent="0.3">
      <c r="A709" s="15">
        <v>46210</v>
      </c>
      <c r="B709" t="s">
        <v>34</v>
      </c>
      <c r="C709" t="s">
        <v>126</v>
      </c>
      <c r="D709" t="s">
        <v>196</v>
      </c>
      <c r="E709" t="s">
        <v>208</v>
      </c>
      <c r="F709" t="s">
        <v>94</v>
      </c>
      <c r="G709" t="s">
        <v>61</v>
      </c>
      <c r="H709" t="s">
        <v>184</v>
      </c>
      <c r="I709" t="s">
        <v>232</v>
      </c>
      <c r="J709">
        <v>5</v>
      </c>
      <c r="K709" s="16">
        <v>390000</v>
      </c>
      <c r="L709" s="16">
        <v>311044.17</v>
      </c>
      <c r="M709" s="16">
        <v>78955.83</v>
      </c>
      <c r="N709" t="s">
        <v>141</v>
      </c>
      <c r="O709" t="s">
        <v>113</v>
      </c>
      <c r="P709" t="str">
        <f t="shared" ref="P709:P772" si="11">E709&amp;"|"&amp;G709</f>
        <v>New Delhi|Laptop Pro</v>
      </c>
    </row>
    <row r="710" spans="1:16" x14ac:dyDescent="0.3">
      <c r="A710" s="15">
        <v>46253</v>
      </c>
      <c r="B710" t="s">
        <v>34</v>
      </c>
      <c r="C710" t="s">
        <v>126</v>
      </c>
      <c r="D710" t="s">
        <v>127</v>
      </c>
      <c r="E710" t="s">
        <v>143</v>
      </c>
      <c r="F710" t="s">
        <v>96</v>
      </c>
      <c r="G710" t="s">
        <v>80</v>
      </c>
      <c r="H710" t="s">
        <v>135</v>
      </c>
      <c r="I710" t="s">
        <v>220</v>
      </c>
      <c r="J710">
        <v>7</v>
      </c>
      <c r="K710" s="16">
        <v>80500</v>
      </c>
      <c r="L710" s="16">
        <v>57797.64</v>
      </c>
      <c r="M710" s="16">
        <v>22702.36</v>
      </c>
      <c r="N710" t="s">
        <v>125</v>
      </c>
      <c r="O710" t="s">
        <v>113</v>
      </c>
      <c r="P710" t="str">
        <f t="shared" si="11"/>
        <v>Faridabad|Office Chair</v>
      </c>
    </row>
    <row r="711" spans="1:16" x14ac:dyDescent="0.3">
      <c r="A711" s="15">
        <v>46198</v>
      </c>
      <c r="B711" t="s">
        <v>34</v>
      </c>
      <c r="C711" t="s">
        <v>107</v>
      </c>
      <c r="D711" t="s">
        <v>149</v>
      </c>
      <c r="E711" t="s">
        <v>159</v>
      </c>
      <c r="F711" t="s">
        <v>94</v>
      </c>
      <c r="G711" t="s">
        <v>61</v>
      </c>
      <c r="H711" t="s">
        <v>139</v>
      </c>
      <c r="I711" t="s">
        <v>272</v>
      </c>
      <c r="J711">
        <v>5</v>
      </c>
      <c r="K711" s="16">
        <v>370500</v>
      </c>
      <c r="L711" s="16">
        <v>254858.01</v>
      </c>
      <c r="M711" s="16">
        <v>115641.99</v>
      </c>
      <c r="N711" t="s">
        <v>125</v>
      </c>
      <c r="O711" t="s">
        <v>113</v>
      </c>
      <c r="P711" t="str">
        <f t="shared" si="11"/>
        <v>Pune|Laptop Pro</v>
      </c>
    </row>
    <row r="712" spans="1:16" x14ac:dyDescent="0.3">
      <c r="A712" s="15">
        <v>46218</v>
      </c>
      <c r="B712" t="s">
        <v>114</v>
      </c>
      <c r="C712" t="s">
        <v>107</v>
      </c>
      <c r="D712" t="s">
        <v>108</v>
      </c>
      <c r="E712" t="s">
        <v>109</v>
      </c>
      <c r="F712" t="s">
        <v>94</v>
      </c>
      <c r="G712" t="s">
        <v>67</v>
      </c>
      <c r="H712" t="s">
        <v>173</v>
      </c>
      <c r="I712" t="s">
        <v>210</v>
      </c>
      <c r="J712">
        <v>12</v>
      </c>
      <c r="K712" s="16">
        <v>384120</v>
      </c>
      <c r="L712" s="16">
        <v>308252.69</v>
      </c>
      <c r="M712" s="16">
        <v>75867.31</v>
      </c>
      <c r="N712" t="s">
        <v>131</v>
      </c>
      <c r="O712" t="s">
        <v>113</v>
      </c>
      <c r="P712" t="str">
        <f t="shared" si="11"/>
        <v>Udaipur|Tablet X</v>
      </c>
    </row>
    <row r="713" spans="1:16" x14ac:dyDescent="0.3">
      <c r="A713" s="15">
        <v>46165</v>
      </c>
      <c r="B713" t="s">
        <v>120</v>
      </c>
      <c r="C713" t="s">
        <v>107</v>
      </c>
      <c r="D713" t="s">
        <v>149</v>
      </c>
      <c r="E713" t="s">
        <v>150</v>
      </c>
      <c r="F713" t="s">
        <v>97</v>
      </c>
      <c r="G713" t="s">
        <v>87</v>
      </c>
      <c r="H713" t="s">
        <v>135</v>
      </c>
      <c r="I713" t="s">
        <v>317</v>
      </c>
      <c r="J713">
        <v>15</v>
      </c>
      <c r="K713" s="16">
        <v>187500</v>
      </c>
      <c r="L713" s="16">
        <v>123781.51</v>
      </c>
      <c r="M713" s="16">
        <v>63718.49</v>
      </c>
      <c r="N713" t="s">
        <v>141</v>
      </c>
      <c r="O713" t="s">
        <v>113</v>
      </c>
      <c r="P713" t="str">
        <f t="shared" si="11"/>
        <v>Mumbai|Microwave</v>
      </c>
    </row>
    <row r="714" spans="1:16" x14ac:dyDescent="0.3">
      <c r="A714" s="15">
        <v>46102</v>
      </c>
      <c r="B714" t="s">
        <v>120</v>
      </c>
      <c r="C714" t="s">
        <v>121</v>
      </c>
      <c r="D714" t="s">
        <v>122</v>
      </c>
      <c r="E714" t="s">
        <v>166</v>
      </c>
      <c r="F714" t="s">
        <v>95</v>
      </c>
      <c r="G714" t="s">
        <v>76</v>
      </c>
      <c r="H714" t="s">
        <v>184</v>
      </c>
      <c r="I714" t="s">
        <v>118</v>
      </c>
      <c r="J714">
        <v>19</v>
      </c>
      <c r="K714" s="16">
        <v>34200</v>
      </c>
      <c r="L714" s="16">
        <v>21830.560000000001</v>
      </c>
      <c r="M714" s="16">
        <v>12369.44</v>
      </c>
      <c r="N714" t="s">
        <v>125</v>
      </c>
      <c r="O714" t="s">
        <v>142</v>
      </c>
      <c r="P714" t="str">
        <f t="shared" si="11"/>
        <v>Kolkata|Mouse</v>
      </c>
    </row>
    <row r="715" spans="1:16" x14ac:dyDescent="0.3">
      <c r="A715" s="15">
        <v>46231</v>
      </c>
      <c r="B715" t="s">
        <v>114</v>
      </c>
      <c r="C715" t="s">
        <v>126</v>
      </c>
      <c r="D715" t="s">
        <v>162</v>
      </c>
      <c r="E715" t="s">
        <v>163</v>
      </c>
      <c r="F715" t="s">
        <v>97</v>
      </c>
      <c r="G715" t="s">
        <v>88</v>
      </c>
      <c r="H715" t="s">
        <v>110</v>
      </c>
      <c r="I715" t="s">
        <v>212</v>
      </c>
      <c r="J715">
        <v>11</v>
      </c>
      <c r="K715" s="16">
        <v>154715</v>
      </c>
      <c r="L715" s="16">
        <v>99559.55</v>
      </c>
      <c r="M715" s="16">
        <v>55155.45</v>
      </c>
      <c r="N715" t="s">
        <v>125</v>
      </c>
      <c r="O715" t="s">
        <v>119</v>
      </c>
      <c r="P715" t="str">
        <f t="shared" si="11"/>
        <v>Lucknow|Vacuum Cleaner</v>
      </c>
    </row>
    <row r="716" spans="1:16" x14ac:dyDescent="0.3">
      <c r="A716" s="15">
        <v>46099</v>
      </c>
      <c r="B716" t="s">
        <v>34</v>
      </c>
      <c r="C716" t="s">
        <v>126</v>
      </c>
      <c r="D716" t="s">
        <v>127</v>
      </c>
      <c r="E716" t="s">
        <v>128</v>
      </c>
      <c r="F716" t="s">
        <v>95</v>
      </c>
      <c r="G716" t="s">
        <v>74</v>
      </c>
      <c r="H716" t="s">
        <v>129</v>
      </c>
      <c r="I716" t="s">
        <v>285</v>
      </c>
      <c r="J716">
        <v>17</v>
      </c>
      <c r="K716" s="16">
        <v>79152</v>
      </c>
      <c r="L716" s="16">
        <v>63689.05</v>
      </c>
      <c r="M716" s="16">
        <v>15462.95</v>
      </c>
      <c r="N716" t="s">
        <v>141</v>
      </c>
      <c r="O716" t="s">
        <v>119</v>
      </c>
      <c r="P716" t="str">
        <f t="shared" si="11"/>
        <v>Gurugram|Headset</v>
      </c>
    </row>
    <row r="717" spans="1:16" x14ac:dyDescent="0.3">
      <c r="A717" s="15">
        <v>46217</v>
      </c>
      <c r="B717" t="s">
        <v>114</v>
      </c>
      <c r="C717" t="s">
        <v>121</v>
      </c>
      <c r="D717" t="s">
        <v>137</v>
      </c>
      <c r="E717" t="s">
        <v>171</v>
      </c>
      <c r="F717" t="s">
        <v>95</v>
      </c>
      <c r="G717" t="s">
        <v>72</v>
      </c>
      <c r="H717" t="s">
        <v>139</v>
      </c>
      <c r="I717" t="s">
        <v>302</v>
      </c>
      <c r="J717">
        <v>7</v>
      </c>
      <c r="K717" s="16">
        <v>19712</v>
      </c>
      <c r="L717" s="16">
        <v>14468.66</v>
      </c>
      <c r="M717" s="16">
        <v>5243.34</v>
      </c>
      <c r="N717" t="s">
        <v>112</v>
      </c>
      <c r="O717" t="s">
        <v>119</v>
      </c>
      <c r="P717" t="str">
        <f t="shared" si="11"/>
        <v>Bhubaneswar|Keyboard</v>
      </c>
    </row>
    <row r="718" spans="1:16" x14ac:dyDescent="0.3">
      <c r="A718" s="15">
        <v>46079</v>
      </c>
      <c r="B718" t="s">
        <v>120</v>
      </c>
      <c r="C718" t="s">
        <v>126</v>
      </c>
      <c r="D718" t="s">
        <v>162</v>
      </c>
      <c r="E718" t="s">
        <v>204</v>
      </c>
      <c r="F718" t="s">
        <v>97</v>
      </c>
      <c r="G718" t="s">
        <v>88</v>
      </c>
      <c r="H718" t="s">
        <v>129</v>
      </c>
      <c r="I718" t="s">
        <v>269</v>
      </c>
      <c r="J718">
        <v>16</v>
      </c>
      <c r="K718" s="16">
        <v>213440</v>
      </c>
      <c r="L718" s="16">
        <v>166699.99</v>
      </c>
      <c r="M718" s="16">
        <v>46740.01</v>
      </c>
      <c r="N718" t="s">
        <v>125</v>
      </c>
      <c r="O718" t="s">
        <v>113</v>
      </c>
      <c r="P718" t="str">
        <f t="shared" si="11"/>
        <v>Noida|Vacuum Cleaner</v>
      </c>
    </row>
    <row r="719" spans="1:16" x14ac:dyDescent="0.3">
      <c r="A719" s="15">
        <v>46042</v>
      </c>
      <c r="B719" t="s">
        <v>120</v>
      </c>
      <c r="C719" t="s">
        <v>121</v>
      </c>
      <c r="D719" t="s">
        <v>122</v>
      </c>
      <c r="E719" t="s">
        <v>166</v>
      </c>
      <c r="F719" t="s">
        <v>97</v>
      </c>
      <c r="G719" t="s">
        <v>86</v>
      </c>
      <c r="H719" t="s">
        <v>184</v>
      </c>
      <c r="I719" t="s">
        <v>211</v>
      </c>
      <c r="J719">
        <v>2</v>
      </c>
      <c r="K719" s="16">
        <v>12610</v>
      </c>
      <c r="L719" s="16">
        <v>9485.6299999999992</v>
      </c>
      <c r="M719" s="16">
        <v>3124.37</v>
      </c>
      <c r="N719" t="s">
        <v>141</v>
      </c>
      <c r="O719" t="s">
        <v>142</v>
      </c>
      <c r="P719" t="str">
        <f t="shared" si="11"/>
        <v>Kolkata|Coffee Maker</v>
      </c>
    </row>
    <row r="720" spans="1:16" x14ac:dyDescent="0.3">
      <c r="A720" s="15">
        <v>46167</v>
      </c>
      <c r="B720" t="s">
        <v>120</v>
      </c>
      <c r="C720" t="s">
        <v>152</v>
      </c>
      <c r="D720" t="s">
        <v>156</v>
      </c>
      <c r="E720" t="s">
        <v>238</v>
      </c>
      <c r="F720" t="s">
        <v>94</v>
      </c>
      <c r="G720" t="s">
        <v>67</v>
      </c>
      <c r="H720" t="s">
        <v>110</v>
      </c>
      <c r="I720" t="s">
        <v>329</v>
      </c>
      <c r="J720">
        <v>2</v>
      </c>
      <c r="K720" s="16">
        <v>62700</v>
      </c>
      <c r="L720" s="16">
        <v>42390.23</v>
      </c>
      <c r="M720" s="16">
        <v>20309.77</v>
      </c>
      <c r="N720" t="s">
        <v>125</v>
      </c>
      <c r="O720" t="s">
        <v>142</v>
      </c>
      <c r="P720" t="str">
        <f t="shared" si="11"/>
        <v>Bengaluru|Tablet X</v>
      </c>
    </row>
    <row r="721" spans="1:16" x14ac:dyDescent="0.3">
      <c r="A721" s="15">
        <v>46185</v>
      </c>
      <c r="B721" t="s">
        <v>34</v>
      </c>
      <c r="C721" t="s">
        <v>107</v>
      </c>
      <c r="D721" t="s">
        <v>115</v>
      </c>
      <c r="E721" t="s">
        <v>191</v>
      </c>
      <c r="F721" t="s">
        <v>97</v>
      </c>
      <c r="G721" t="s">
        <v>85</v>
      </c>
      <c r="H721" t="s">
        <v>129</v>
      </c>
      <c r="I721" t="s">
        <v>193</v>
      </c>
      <c r="J721">
        <v>18</v>
      </c>
      <c r="K721" s="16">
        <v>298080</v>
      </c>
      <c r="L721" s="16">
        <v>197452.97</v>
      </c>
      <c r="M721" s="16">
        <v>100627.03</v>
      </c>
      <c r="N721" t="s">
        <v>125</v>
      </c>
      <c r="O721" t="s">
        <v>113</v>
      </c>
      <c r="P721" t="str">
        <f t="shared" si="11"/>
        <v>Surat|Air Purifier</v>
      </c>
    </row>
    <row r="722" spans="1:16" x14ac:dyDescent="0.3">
      <c r="A722" s="15">
        <v>46148</v>
      </c>
      <c r="B722" t="s">
        <v>34</v>
      </c>
      <c r="C722" t="s">
        <v>107</v>
      </c>
      <c r="D722" t="s">
        <v>149</v>
      </c>
      <c r="E722" t="s">
        <v>150</v>
      </c>
      <c r="F722" t="s">
        <v>97</v>
      </c>
      <c r="G722" t="s">
        <v>88</v>
      </c>
      <c r="H722" t="s">
        <v>110</v>
      </c>
      <c r="I722" t="s">
        <v>224</v>
      </c>
      <c r="J722">
        <v>13</v>
      </c>
      <c r="K722" s="16">
        <v>182845</v>
      </c>
      <c r="L722" s="16">
        <v>127107.33</v>
      </c>
      <c r="M722" s="16">
        <v>55737.67</v>
      </c>
      <c r="N722" t="s">
        <v>125</v>
      </c>
      <c r="O722" t="s">
        <v>142</v>
      </c>
      <c r="P722" t="str">
        <f t="shared" si="11"/>
        <v>Mumbai|Vacuum Cleaner</v>
      </c>
    </row>
    <row r="723" spans="1:16" x14ac:dyDescent="0.3">
      <c r="A723" s="15">
        <v>46038</v>
      </c>
      <c r="B723" t="s">
        <v>34</v>
      </c>
      <c r="C723" t="s">
        <v>126</v>
      </c>
      <c r="D723" t="s">
        <v>127</v>
      </c>
      <c r="E723" t="s">
        <v>128</v>
      </c>
      <c r="F723" t="s">
        <v>96</v>
      </c>
      <c r="G723" t="s">
        <v>82</v>
      </c>
      <c r="H723" t="s">
        <v>117</v>
      </c>
      <c r="I723" t="s">
        <v>201</v>
      </c>
      <c r="J723">
        <v>8</v>
      </c>
      <c r="K723" s="16">
        <v>216600</v>
      </c>
      <c r="L723" s="16">
        <v>155404.75</v>
      </c>
      <c r="M723" s="16">
        <v>61195.25</v>
      </c>
      <c r="N723" t="s">
        <v>112</v>
      </c>
      <c r="O723" t="s">
        <v>142</v>
      </c>
      <c r="P723" t="str">
        <f t="shared" si="11"/>
        <v>Gurugram|Standing Desk</v>
      </c>
    </row>
    <row r="724" spans="1:16" x14ac:dyDescent="0.3">
      <c r="A724" s="15">
        <v>46217</v>
      </c>
      <c r="B724" t="s">
        <v>34</v>
      </c>
      <c r="C724" t="s">
        <v>121</v>
      </c>
      <c r="D724" t="s">
        <v>122</v>
      </c>
      <c r="E724" t="s">
        <v>166</v>
      </c>
      <c r="F724" t="s">
        <v>96</v>
      </c>
      <c r="G724" t="s">
        <v>80</v>
      </c>
      <c r="H724" t="s">
        <v>110</v>
      </c>
      <c r="I724" t="s">
        <v>391</v>
      </c>
      <c r="J724">
        <v>7</v>
      </c>
      <c r="K724" s="16">
        <v>83125</v>
      </c>
      <c r="L724" s="16">
        <v>53062.239999999998</v>
      </c>
      <c r="M724" s="16">
        <v>30062.76</v>
      </c>
      <c r="N724" t="s">
        <v>125</v>
      </c>
      <c r="O724" t="s">
        <v>119</v>
      </c>
      <c r="P724" t="str">
        <f t="shared" si="11"/>
        <v>Kolkata|Office Chair</v>
      </c>
    </row>
    <row r="725" spans="1:16" x14ac:dyDescent="0.3">
      <c r="A725" s="15">
        <v>46077</v>
      </c>
      <c r="B725" t="s">
        <v>34</v>
      </c>
      <c r="C725" t="s">
        <v>126</v>
      </c>
      <c r="D725" t="s">
        <v>196</v>
      </c>
      <c r="E725" t="s">
        <v>208</v>
      </c>
      <c r="F725" t="s">
        <v>94</v>
      </c>
      <c r="G725" t="s">
        <v>67</v>
      </c>
      <c r="H725" t="s">
        <v>117</v>
      </c>
      <c r="I725" t="s">
        <v>227</v>
      </c>
      <c r="J725">
        <v>17</v>
      </c>
      <c r="K725" s="16">
        <v>516120</v>
      </c>
      <c r="L725" s="16">
        <v>357367.55</v>
      </c>
      <c r="M725" s="16">
        <v>158752.45000000001</v>
      </c>
      <c r="N725" t="s">
        <v>125</v>
      </c>
      <c r="O725" t="s">
        <v>113</v>
      </c>
      <c r="P725" t="str">
        <f t="shared" si="11"/>
        <v>New Delhi|Tablet X</v>
      </c>
    </row>
    <row r="726" spans="1:16" x14ac:dyDescent="0.3">
      <c r="A726" s="15">
        <v>46073</v>
      </c>
      <c r="B726" t="s">
        <v>34</v>
      </c>
      <c r="C726" t="s">
        <v>152</v>
      </c>
      <c r="D726" t="s">
        <v>153</v>
      </c>
      <c r="E726" t="s">
        <v>154</v>
      </c>
      <c r="F726" t="s">
        <v>95</v>
      </c>
      <c r="G726" t="s">
        <v>76</v>
      </c>
      <c r="H726" t="s">
        <v>110</v>
      </c>
      <c r="I726" t="s">
        <v>151</v>
      </c>
      <c r="J726">
        <v>19</v>
      </c>
      <c r="K726" s="16">
        <v>32490</v>
      </c>
      <c r="L726" s="16">
        <v>21906.17</v>
      </c>
      <c r="M726" s="16">
        <v>10583.83</v>
      </c>
      <c r="N726" t="s">
        <v>125</v>
      </c>
      <c r="O726" t="s">
        <v>113</v>
      </c>
      <c r="P726" t="str">
        <f t="shared" si="11"/>
        <v>Coimbatore|Mouse</v>
      </c>
    </row>
    <row r="727" spans="1:16" x14ac:dyDescent="0.3">
      <c r="A727" s="15">
        <v>46230</v>
      </c>
      <c r="B727" t="s">
        <v>34</v>
      </c>
      <c r="C727" t="s">
        <v>126</v>
      </c>
      <c r="D727" t="s">
        <v>127</v>
      </c>
      <c r="E727" t="s">
        <v>128</v>
      </c>
      <c r="F727" t="s">
        <v>94</v>
      </c>
      <c r="G727" t="s">
        <v>67</v>
      </c>
      <c r="H727" t="s">
        <v>173</v>
      </c>
      <c r="I727" t="s">
        <v>267</v>
      </c>
      <c r="J727">
        <v>12</v>
      </c>
      <c r="K727" s="16">
        <v>384120</v>
      </c>
      <c r="L727" s="16">
        <v>305229.31</v>
      </c>
      <c r="M727" s="16">
        <v>78890.69</v>
      </c>
      <c r="N727" t="s">
        <v>131</v>
      </c>
      <c r="O727" t="s">
        <v>113</v>
      </c>
      <c r="P727" t="str">
        <f t="shared" si="11"/>
        <v>Gurugram|Tablet X</v>
      </c>
    </row>
    <row r="728" spans="1:16" x14ac:dyDescent="0.3">
      <c r="A728" s="15">
        <v>46077</v>
      </c>
      <c r="B728" t="s">
        <v>34</v>
      </c>
      <c r="C728" t="s">
        <v>121</v>
      </c>
      <c r="D728" t="s">
        <v>122</v>
      </c>
      <c r="E728" t="s">
        <v>166</v>
      </c>
      <c r="F728" t="s">
        <v>94</v>
      </c>
      <c r="G728" t="s">
        <v>70</v>
      </c>
      <c r="H728" t="s">
        <v>184</v>
      </c>
      <c r="I728" t="s">
        <v>145</v>
      </c>
      <c r="J728">
        <v>17</v>
      </c>
      <c r="K728" s="16">
        <v>250325</v>
      </c>
      <c r="L728" s="16">
        <v>172874.81</v>
      </c>
      <c r="M728" s="16">
        <v>77450.19</v>
      </c>
      <c r="N728" t="s">
        <v>141</v>
      </c>
      <c r="O728" t="s">
        <v>113</v>
      </c>
      <c r="P728" t="str">
        <f t="shared" si="11"/>
        <v>Kolkata|Printer Pro</v>
      </c>
    </row>
    <row r="729" spans="1:16" x14ac:dyDescent="0.3">
      <c r="A729" s="15">
        <v>46182</v>
      </c>
      <c r="B729" t="s">
        <v>120</v>
      </c>
      <c r="C729" t="s">
        <v>121</v>
      </c>
      <c r="D729" t="s">
        <v>146</v>
      </c>
      <c r="E729" t="s">
        <v>175</v>
      </c>
      <c r="F729" t="s">
        <v>94</v>
      </c>
      <c r="G729" t="s">
        <v>64</v>
      </c>
      <c r="H729" t="s">
        <v>184</v>
      </c>
      <c r="I729" t="s">
        <v>397</v>
      </c>
      <c r="J729">
        <v>2</v>
      </c>
      <c r="K729" s="16">
        <v>42000</v>
      </c>
      <c r="L729" s="16">
        <v>33047.35</v>
      </c>
      <c r="M729" s="16">
        <v>8952.65</v>
      </c>
      <c r="N729" t="s">
        <v>131</v>
      </c>
      <c r="O729" t="s">
        <v>119</v>
      </c>
      <c r="P729" t="str">
        <f t="shared" si="11"/>
        <v>Dibrugarh|Monitor 27</v>
      </c>
    </row>
    <row r="730" spans="1:16" x14ac:dyDescent="0.3">
      <c r="A730" s="15">
        <v>46063</v>
      </c>
      <c r="B730" t="s">
        <v>34</v>
      </c>
      <c r="C730" t="s">
        <v>126</v>
      </c>
      <c r="D730" t="s">
        <v>127</v>
      </c>
      <c r="E730" t="s">
        <v>143</v>
      </c>
      <c r="F730" t="s">
        <v>96</v>
      </c>
      <c r="G730" t="s">
        <v>84</v>
      </c>
      <c r="H730" t="s">
        <v>117</v>
      </c>
      <c r="I730" t="s">
        <v>244</v>
      </c>
      <c r="J730">
        <v>14</v>
      </c>
      <c r="K730" s="16">
        <v>196910</v>
      </c>
      <c r="L730" s="16">
        <v>146510.57</v>
      </c>
      <c r="M730" s="16">
        <v>50399.43</v>
      </c>
      <c r="N730" t="s">
        <v>141</v>
      </c>
      <c r="O730" t="s">
        <v>113</v>
      </c>
      <c r="P730" t="str">
        <f t="shared" si="11"/>
        <v>Faridabad|Filing Cabinet</v>
      </c>
    </row>
    <row r="731" spans="1:16" x14ac:dyDescent="0.3">
      <c r="A731" s="15">
        <v>46170</v>
      </c>
      <c r="B731" t="s">
        <v>34</v>
      </c>
      <c r="C731" t="s">
        <v>152</v>
      </c>
      <c r="D731" t="s">
        <v>156</v>
      </c>
      <c r="E731" t="s">
        <v>238</v>
      </c>
      <c r="F731" t="s">
        <v>94</v>
      </c>
      <c r="G731" t="s">
        <v>61</v>
      </c>
      <c r="H731" t="s">
        <v>117</v>
      </c>
      <c r="I731" t="s">
        <v>213</v>
      </c>
      <c r="J731">
        <v>8</v>
      </c>
      <c r="K731" s="16">
        <v>574080</v>
      </c>
      <c r="L731" s="16">
        <v>364211.23</v>
      </c>
      <c r="M731" s="16">
        <v>209868.77</v>
      </c>
      <c r="N731" t="s">
        <v>131</v>
      </c>
      <c r="O731" t="s">
        <v>142</v>
      </c>
      <c r="P731" t="str">
        <f t="shared" si="11"/>
        <v>Bengaluru|Laptop Pro</v>
      </c>
    </row>
    <row r="732" spans="1:16" x14ac:dyDescent="0.3">
      <c r="A732" s="15">
        <v>46071</v>
      </c>
      <c r="B732" t="s">
        <v>114</v>
      </c>
      <c r="C732" t="s">
        <v>126</v>
      </c>
      <c r="D732" t="s">
        <v>196</v>
      </c>
      <c r="E732" t="s">
        <v>208</v>
      </c>
      <c r="F732" t="s">
        <v>94</v>
      </c>
      <c r="G732" t="s">
        <v>70</v>
      </c>
      <c r="H732" t="s">
        <v>184</v>
      </c>
      <c r="I732" t="s">
        <v>148</v>
      </c>
      <c r="J732">
        <v>20</v>
      </c>
      <c r="K732" s="16">
        <v>310000</v>
      </c>
      <c r="L732" s="16">
        <v>206411.23</v>
      </c>
      <c r="M732" s="16">
        <v>103588.77</v>
      </c>
      <c r="N732" t="s">
        <v>141</v>
      </c>
      <c r="O732" t="s">
        <v>119</v>
      </c>
      <c r="P732" t="str">
        <f t="shared" si="11"/>
        <v>New Delhi|Printer Pro</v>
      </c>
    </row>
    <row r="733" spans="1:16" x14ac:dyDescent="0.3">
      <c r="A733" s="15">
        <v>46115</v>
      </c>
      <c r="B733" t="s">
        <v>34</v>
      </c>
      <c r="C733" t="s">
        <v>107</v>
      </c>
      <c r="D733" t="s">
        <v>115</v>
      </c>
      <c r="E733" t="s">
        <v>191</v>
      </c>
      <c r="F733" t="s">
        <v>97</v>
      </c>
      <c r="G733" t="s">
        <v>87</v>
      </c>
      <c r="H733" t="s">
        <v>110</v>
      </c>
      <c r="I733" t="s">
        <v>263</v>
      </c>
      <c r="J733">
        <v>9</v>
      </c>
      <c r="K733" s="16">
        <v>99000</v>
      </c>
      <c r="L733" s="16">
        <v>74668.05</v>
      </c>
      <c r="M733" s="16">
        <v>24331.95</v>
      </c>
      <c r="N733" t="s">
        <v>112</v>
      </c>
      <c r="O733" t="s">
        <v>113</v>
      </c>
      <c r="P733" t="str">
        <f t="shared" si="11"/>
        <v>Surat|Microwave</v>
      </c>
    </row>
    <row r="734" spans="1:16" x14ac:dyDescent="0.3">
      <c r="A734" s="15">
        <v>46109</v>
      </c>
      <c r="B734" t="s">
        <v>34</v>
      </c>
      <c r="C734" t="s">
        <v>152</v>
      </c>
      <c r="D734" t="s">
        <v>156</v>
      </c>
      <c r="E734" t="s">
        <v>238</v>
      </c>
      <c r="F734" t="s">
        <v>97</v>
      </c>
      <c r="G734" t="s">
        <v>87</v>
      </c>
      <c r="H734" t="s">
        <v>184</v>
      </c>
      <c r="I734" t="s">
        <v>145</v>
      </c>
      <c r="J734">
        <v>11</v>
      </c>
      <c r="K734" s="16">
        <v>130625</v>
      </c>
      <c r="L734" s="16">
        <v>85769.97</v>
      </c>
      <c r="M734" s="16">
        <v>44855.03</v>
      </c>
      <c r="N734" t="s">
        <v>141</v>
      </c>
      <c r="O734" t="s">
        <v>142</v>
      </c>
      <c r="P734" t="str">
        <f t="shared" si="11"/>
        <v>Bengaluru|Microwave</v>
      </c>
    </row>
    <row r="735" spans="1:16" x14ac:dyDescent="0.3">
      <c r="A735" s="15">
        <v>46198</v>
      </c>
      <c r="B735" t="s">
        <v>120</v>
      </c>
      <c r="C735" t="s">
        <v>107</v>
      </c>
      <c r="D735" t="s">
        <v>108</v>
      </c>
      <c r="E735" t="s">
        <v>132</v>
      </c>
      <c r="F735" t="s">
        <v>96</v>
      </c>
      <c r="G735" t="s">
        <v>83</v>
      </c>
      <c r="H735" t="s">
        <v>117</v>
      </c>
      <c r="I735" t="s">
        <v>382</v>
      </c>
      <c r="J735">
        <v>15</v>
      </c>
      <c r="K735" s="16">
        <v>540000</v>
      </c>
      <c r="L735" s="16">
        <v>382041.88</v>
      </c>
      <c r="M735" s="16">
        <v>157958.12</v>
      </c>
      <c r="N735" t="s">
        <v>112</v>
      </c>
      <c r="O735" t="s">
        <v>113</v>
      </c>
      <c r="P735" t="str">
        <f t="shared" si="11"/>
        <v>Jaipur|Meeting Table</v>
      </c>
    </row>
    <row r="736" spans="1:16" x14ac:dyDescent="0.3">
      <c r="A736" s="15">
        <v>46042</v>
      </c>
      <c r="B736" t="s">
        <v>120</v>
      </c>
      <c r="C736" t="s">
        <v>152</v>
      </c>
      <c r="D736" t="s">
        <v>153</v>
      </c>
      <c r="E736" t="s">
        <v>169</v>
      </c>
      <c r="F736" t="s">
        <v>94</v>
      </c>
      <c r="G736" t="s">
        <v>64</v>
      </c>
      <c r="H736" t="s">
        <v>135</v>
      </c>
      <c r="I736" t="s">
        <v>316</v>
      </c>
      <c r="J736">
        <v>10</v>
      </c>
      <c r="K736" s="16">
        <v>210000</v>
      </c>
      <c r="L736" s="16">
        <v>132185.16</v>
      </c>
      <c r="M736" s="16">
        <v>77814.84</v>
      </c>
      <c r="N736" t="s">
        <v>141</v>
      </c>
      <c r="O736" t="s">
        <v>113</v>
      </c>
      <c r="P736" t="str">
        <f t="shared" si="11"/>
        <v>Chennai|Monitor 27</v>
      </c>
    </row>
    <row r="737" spans="1:16" x14ac:dyDescent="0.3">
      <c r="A737" s="15">
        <v>46043</v>
      </c>
      <c r="B737" t="s">
        <v>34</v>
      </c>
      <c r="C737" t="s">
        <v>152</v>
      </c>
      <c r="D737" t="s">
        <v>187</v>
      </c>
      <c r="E737" t="s">
        <v>188</v>
      </c>
      <c r="F737" t="s">
        <v>96</v>
      </c>
      <c r="G737" t="s">
        <v>80</v>
      </c>
      <c r="H737" t="s">
        <v>129</v>
      </c>
      <c r="I737" t="s">
        <v>111</v>
      </c>
      <c r="J737">
        <v>10</v>
      </c>
      <c r="K737" s="16">
        <v>125000</v>
      </c>
      <c r="L737" s="16">
        <v>98358.89</v>
      </c>
      <c r="M737" s="16">
        <v>26641.11</v>
      </c>
      <c r="N737" t="s">
        <v>141</v>
      </c>
      <c r="O737" t="s">
        <v>113</v>
      </c>
      <c r="P737" t="str">
        <f t="shared" si="11"/>
        <v>Warangal|Office Chair</v>
      </c>
    </row>
    <row r="738" spans="1:16" x14ac:dyDescent="0.3">
      <c r="A738" s="15">
        <v>46254</v>
      </c>
      <c r="B738" t="s">
        <v>34</v>
      </c>
      <c r="C738" t="s">
        <v>107</v>
      </c>
      <c r="D738" t="s">
        <v>115</v>
      </c>
      <c r="E738" t="s">
        <v>191</v>
      </c>
      <c r="F738" t="s">
        <v>95</v>
      </c>
      <c r="G738" t="s">
        <v>76</v>
      </c>
      <c r="H738" t="s">
        <v>117</v>
      </c>
      <c r="I738" t="s">
        <v>172</v>
      </c>
      <c r="J738">
        <v>8</v>
      </c>
      <c r="K738" s="16">
        <v>13248</v>
      </c>
      <c r="L738" s="16">
        <v>8973.2800000000007</v>
      </c>
      <c r="M738" s="16">
        <v>4274.72</v>
      </c>
      <c r="N738" t="s">
        <v>125</v>
      </c>
      <c r="O738" t="s">
        <v>142</v>
      </c>
      <c r="P738" t="str">
        <f t="shared" si="11"/>
        <v>Surat|Mouse</v>
      </c>
    </row>
    <row r="739" spans="1:16" x14ac:dyDescent="0.3">
      <c r="A739" s="15">
        <v>46079</v>
      </c>
      <c r="B739" t="s">
        <v>34</v>
      </c>
      <c r="C739" t="s">
        <v>121</v>
      </c>
      <c r="D739" t="s">
        <v>146</v>
      </c>
      <c r="E739" t="s">
        <v>147</v>
      </c>
      <c r="F739" t="s">
        <v>95</v>
      </c>
      <c r="G739" t="s">
        <v>72</v>
      </c>
      <c r="H739" t="s">
        <v>173</v>
      </c>
      <c r="I739" t="s">
        <v>218</v>
      </c>
      <c r="J739">
        <v>18</v>
      </c>
      <c r="K739" s="16">
        <v>57600</v>
      </c>
      <c r="L739" s="16">
        <v>36461.18</v>
      </c>
      <c r="M739" s="16">
        <v>21138.82</v>
      </c>
      <c r="N739" t="s">
        <v>141</v>
      </c>
      <c r="O739" t="s">
        <v>142</v>
      </c>
      <c r="P739" t="str">
        <f t="shared" si="11"/>
        <v>Guwahati|Keyboard</v>
      </c>
    </row>
    <row r="740" spans="1:16" x14ac:dyDescent="0.3">
      <c r="A740" s="15">
        <v>46187</v>
      </c>
      <c r="B740" t="s">
        <v>120</v>
      </c>
      <c r="C740" t="s">
        <v>107</v>
      </c>
      <c r="D740" t="s">
        <v>149</v>
      </c>
      <c r="E740" t="s">
        <v>150</v>
      </c>
      <c r="F740" t="s">
        <v>97</v>
      </c>
      <c r="G740" t="s">
        <v>87</v>
      </c>
      <c r="H740" t="s">
        <v>133</v>
      </c>
      <c r="I740" t="s">
        <v>326</v>
      </c>
      <c r="J740">
        <v>4</v>
      </c>
      <c r="K740" s="16">
        <v>46000</v>
      </c>
      <c r="L740" s="16">
        <v>37660.33</v>
      </c>
      <c r="M740" s="16">
        <v>8339.67</v>
      </c>
      <c r="N740" t="s">
        <v>141</v>
      </c>
      <c r="O740" t="s">
        <v>119</v>
      </c>
      <c r="P740" t="str">
        <f t="shared" si="11"/>
        <v>Mumbai|Microwave</v>
      </c>
    </row>
    <row r="741" spans="1:16" x14ac:dyDescent="0.3">
      <c r="A741" s="15">
        <v>46224</v>
      </c>
      <c r="B741" t="s">
        <v>34</v>
      </c>
      <c r="C741" t="s">
        <v>107</v>
      </c>
      <c r="D741" t="s">
        <v>115</v>
      </c>
      <c r="E741" t="s">
        <v>116</v>
      </c>
      <c r="F741" t="s">
        <v>95</v>
      </c>
      <c r="G741" t="s">
        <v>74</v>
      </c>
      <c r="H741" t="s">
        <v>173</v>
      </c>
      <c r="I741" t="s">
        <v>254</v>
      </c>
      <c r="J741">
        <v>16</v>
      </c>
      <c r="K741" s="16">
        <v>74496</v>
      </c>
      <c r="L741" s="16">
        <v>58551.88</v>
      </c>
      <c r="M741" s="16">
        <v>15944.12</v>
      </c>
      <c r="N741" t="s">
        <v>112</v>
      </c>
      <c r="O741" t="s">
        <v>113</v>
      </c>
      <c r="P741" t="str">
        <f t="shared" si="11"/>
        <v>Ahmedabad|Headset</v>
      </c>
    </row>
    <row r="742" spans="1:16" x14ac:dyDescent="0.3">
      <c r="A742" s="15">
        <v>46103</v>
      </c>
      <c r="B742" t="s">
        <v>34</v>
      </c>
      <c r="C742" t="s">
        <v>107</v>
      </c>
      <c r="D742" t="s">
        <v>108</v>
      </c>
      <c r="E742" t="s">
        <v>109</v>
      </c>
      <c r="F742" t="s">
        <v>95</v>
      </c>
      <c r="G742" t="s">
        <v>78</v>
      </c>
      <c r="H742" t="s">
        <v>110</v>
      </c>
      <c r="I742" t="s">
        <v>395</v>
      </c>
      <c r="J742">
        <v>15</v>
      </c>
      <c r="K742" s="16">
        <v>63000</v>
      </c>
      <c r="L742" s="16">
        <v>47665.01</v>
      </c>
      <c r="M742" s="16">
        <v>15334.99</v>
      </c>
      <c r="N742" t="s">
        <v>125</v>
      </c>
      <c r="O742" t="s">
        <v>113</v>
      </c>
      <c r="P742" t="str">
        <f t="shared" si="11"/>
        <v>Udaipur|Webcam</v>
      </c>
    </row>
    <row r="743" spans="1:16" x14ac:dyDescent="0.3">
      <c r="A743" s="15">
        <v>46256</v>
      </c>
      <c r="B743" t="s">
        <v>34</v>
      </c>
      <c r="C743" t="s">
        <v>152</v>
      </c>
      <c r="D743" t="s">
        <v>187</v>
      </c>
      <c r="E743" t="s">
        <v>188</v>
      </c>
      <c r="F743" t="s">
        <v>95</v>
      </c>
      <c r="G743" t="s">
        <v>76</v>
      </c>
      <c r="H743" t="s">
        <v>117</v>
      </c>
      <c r="I743" t="s">
        <v>140</v>
      </c>
      <c r="J743">
        <v>1</v>
      </c>
      <c r="K743" s="16">
        <v>1656</v>
      </c>
      <c r="L743" s="16">
        <v>1069.29</v>
      </c>
      <c r="M743" s="16">
        <v>586.71</v>
      </c>
      <c r="N743" t="s">
        <v>125</v>
      </c>
      <c r="O743" t="s">
        <v>142</v>
      </c>
      <c r="P743" t="str">
        <f t="shared" si="11"/>
        <v>Warangal|Mouse</v>
      </c>
    </row>
    <row r="744" spans="1:16" x14ac:dyDescent="0.3">
      <c r="A744" s="15">
        <v>46144</v>
      </c>
      <c r="B744" t="s">
        <v>34</v>
      </c>
      <c r="C744" t="s">
        <v>126</v>
      </c>
      <c r="D744" t="s">
        <v>127</v>
      </c>
      <c r="E744" t="s">
        <v>143</v>
      </c>
      <c r="F744" t="s">
        <v>96</v>
      </c>
      <c r="G744" t="s">
        <v>80</v>
      </c>
      <c r="H744" t="s">
        <v>139</v>
      </c>
      <c r="I744" t="s">
        <v>291</v>
      </c>
      <c r="J744">
        <v>17</v>
      </c>
      <c r="K744" s="16">
        <v>195500</v>
      </c>
      <c r="L744" s="16">
        <v>135510.24</v>
      </c>
      <c r="M744" s="16">
        <v>59989.760000000002</v>
      </c>
      <c r="N744" t="s">
        <v>112</v>
      </c>
      <c r="O744" t="s">
        <v>142</v>
      </c>
      <c r="P744" t="str">
        <f t="shared" si="11"/>
        <v>Faridabad|Office Chair</v>
      </c>
    </row>
    <row r="745" spans="1:16" x14ac:dyDescent="0.3">
      <c r="A745" s="15">
        <v>46222</v>
      </c>
      <c r="B745" t="s">
        <v>120</v>
      </c>
      <c r="C745" t="s">
        <v>126</v>
      </c>
      <c r="D745" t="s">
        <v>127</v>
      </c>
      <c r="E745" t="s">
        <v>128</v>
      </c>
      <c r="F745" t="s">
        <v>94</v>
      </c>
      <c r="G745" t="s">
        <v>61</v>
      </c>
      <c r="H745" t="s">
        <v>139</v>
      </c>
      <c r="I745" t="s">
        <v>284</v>
      </c>
      <c r="J745">
        <v>6</v>
      </c>
      <c r="K745" s="16">
        <v>453960</v>
      </c>
      <c r="L745" s="16">
        <v>337851.26</v>
      </c>
      <c r="M745" s="16">
        <v>116108.74</v>
      </c>
      <c r="N745" t="s">
        <v>112</v>
      </c>
      <c r="O745" t="s">
        <v>142</v>
      </c>
      <c r="P745" t="str">
        <f t="shared" si="11"/>
        <v>Gurugram|Laptop Pro</v>
      </c>
    </row>
    <row r="746" spans="1:16" x14ac:dyDescent="0.3">
      <c r="A746" s="15">
        <v>46263</v>
      </c>
      <c r="B746" t="s">
        <v>34</v>
      </c>
      <c r="C746" t="s">
        <v>107</v>
      </c>
      <c r="D746" t="s">
        <v>108</v>
      </c>
      <c r="E746" t="s">
        <v>132</v>
      </c>
      <c r="F746" t="s">
        <v>94</v>
      </c>
      <c r="G746" t="s">
        <v>64</v>
      </c>
      <c r="H746" t="s">
        <v>117</v>
      </c>
      <c r="I746" t="s">
        <v>301</v>
      </c>
      <c r="J746">
        <v>11</v>
      </c>
      <c r="K746" s="16">
        <v>219450</v>
      </c>
      <c r="L746" s="16">
        <v>149447.87</v>
      </c>
      <c r="M746" s="16">
        <v>70002.13</v>
      </c>
      <c r="N746" t="s">
        <v>112</v>
      </c>
      <c r="O746" t="s">
        <v>113</v>
      </c>
      <c r="P746" t="str">
        <f t="shared" si="11"/>
        <v>Jaipur|Monitor 27</v>
      </c>
    </row>
    <row r="747" spans="1:16" x14ac:dyDescent="0.3">
      <c r="A747" s="15">
        <v>46052</v>
      </c>
      <c r="B747" t="s">
        <v>34</v>
      </c>
      <c r="C747" t="s">
        <v>126</v>
      </c>
      <c r="D747" t="s">
        <v>127</v>
      </c>
      <c r="E747" t="s">
        <v>143</v>
      </c>
      <c r="F747" t="s">
        <v>95</v>
      </c>
      <c r="G747" t="s">
        <v>72</v>
      </c>
      <c r="H747" t="s">
        <v>110</v>
      </c>
      <c r="I747" t="s">
        <v>145</v>
      </c>
      <c r="J747">
        <v>5</v>
      </c>
      <c r="K747" s="16">
        <v>14080</v>
      </c>
      <c r="L747" s="16">
        <v>10974.93</v>
      </c>
      <c r="M747" s="16">
        <v>3105.07</v>
      </c>
      <c r="N747" t="s">
        <v>125</v>
      </c>
      <c r="O747" t="s">
        <v>113</v>
      </c>
      <c r="P747" t="str">
        <f t="shared" si="11"/>
        <v>Faridabad|Keyboard</v>
      </c>
    </row>
    <row r="748" spans="1:16" x14ac:dyDescent="0.3">
      <c r="A748" s="15">
        <v>46135</v>
      </c>
      <c r="B748" t="s">
        <v>34</v>
      </c>
      <c r="C748" t="s">
        <v>121</v>
      </c>
      <c r="D748" t="s">
        <v>122</v>
      </c>
      <c r="E748" t="s">
        <v>123</v>
      </c>
      <c r="F748" t="s">
        <v>96</v>
      </c>
      <c r="G748" t="s">
        <v>82</v>
      </c>
      <c r="H748" t="s">
        <v>110</v>
      </c>
      <c r="I748" t="s">
        <v>228</v>
      </c>
      <c r="J748">
        <v>6</v>
      </c>
      <c r="K748" s="16">
        <v>171000</v>
      </c>
      <c r="L748" s="16">
        <v>126038.49</v>
      </c>
      <c r="M748" s="16">
        <v>44961.51</v>
      </c>
      <c r="N748" t="s">
        <v>112</v>
      </c>
      <c r="O748" t="s">
        <v>113</v>
      </c>
      <c r="P748" t="str">
        <f t="shared" si="11"/>
        <v>Durgapur|Standing Desk</v>
      </c>
    </row>
    <row r="749" spans="1:16" x14ac:dyDescent="0.3">
      <c r="A749" s="15">
        <v>46182</v>
      </c>
      <c r="B749" t="s">
        <v>114</v>
      </c>
      <c r="C749" t="s">
        <v>107</v>
      </c>
      <c r="D749" t="s">
        <v>115</v>
      </c>
      <c r="E749" t="s">
        <v>116</v>
      </c>
      <c r="F749" t="s">
        <v>95</v>
      </c>
      <c r="G749" t="s">
        <v>74</v>
      </c>
      <c r="H749" t="s">
        <v>129</v>
      </c>
      <c r="I749" t="s">
        <v>355</v>
      </c>
      <c r="J749">
        <v>13</v>
      </c>
      <c r="K749" s="16">
        <v>60528</v>
      </c>
      <c r="L749" s="16">
        <v>47439.47</v>
      </c>
      <c r="M749" s="16">
        <v>13088.53</v>
      </c>
      <c r="N749" t="s">
        <v>141</v>
      </c>
      <c r="O749" t="s">
        <v>119</v>
      </c>
      <c r="P749" t="str">
        <f t="shared" si="11"/>
        <v>Ahmedabad|Headset</v>
      </c>
    </row>
    <row r="750" spans="1:16" x14ac:dyDescent="0.3">
      <c r="A750" s="15">
        <v>46184</v>
      </c>
      <c r="B750" t="s">
        <v>34</v>
      </c>
      <c r="C750" t="s">
        <v>121</v>
      </c>
      <c r="D750" t="s">
        <v>146</v>
      </c>
      <c r="E750" t="s">
        <v>147</v>
      </c>
      <c r="F750" t="s">
        <v>96</v>
      </c>
      <c r="G750" t="s">
        <v>84</v>
      </c>
      <c r="H750" t="s">
        <v>184</v>
      </c>
      <c r="I750" t="s">
        <v>347</v>
      </c>
      <c r="J750">
        <v>9</v>
      </c>
      <c r="K750" s="16">
        <v>120060</v>
      </c>
      <c r="L750" s="16">
        <v>93016.68</v>
      </c>
      <c r="M750" s="16">
        <v>27043.32</v>
      </c>
      <c r="N750" t="s">
        <v>131</v>
      </c>
      <c r="O750" t="s">
        <v>113</v>
      </c>
      <c r="P750" t="str">
        <f t="shared" si="11"/>
        <v>Guwahati|Filing Cabinet</v>
      </c>
    </row>
    <row r="751" spans="1:16" x14ac:dyDescent="0.3">
      <c r="A751" s="15">
        <v>46182</v>
      </c>
      <c r="B751" t="s">
        <v>34</v>
      </c>
      <c r="C751" t="s">
        <v>121</v>
      </c>
      <c r="D751" t="s">
        <v>122</v>
      </c>
      <c r="E751" t="s">
        <v>166</v>
      </c>
      <c r="F751" t="s">
        <v>94</v>
      </c>
      <c r="G751" t="s">
        <v>64</v>
      </c>
      <c r="H751" t="s">
        <v>184</v>
      </c>
      <c r="I751" t="s">
        <v>258</v>
      </c>
      <c r="J751">
        <v>11</v>
      </c>
      <c r="K751" s="16">
        <v>203280</v>
      </c>
      <c r="L751" s="16">
        <v>129186.12</v>
      </c>
      <c r="M751" s="16">
        <v>74093.88</v>
      </c>
      <c r="N751" t="s">
        <v>125</v>
      </c>
      <c r="O751" t="s">
        <v>119</v>
      </c>
      <c r="P751" t="str">
        <f t="shared" si="11"/>
        <v>Kolkata|Monitor 27</v>
      </c>
    </row>
    <row r="752" spans="1:16" x14ac:dyDescent="0.3">
      <c r="A752" s="15">
        <v>46229</v>
      </c>
      <c r="B752" t="s">
        <v>34</v>
      </c>
      <c r="C752" t="s">
        <v>121</v>
      </c>
      <c r="D752" t="s">
        <v>146</v>
      </c>
      <c r="E752" t="s">
        <v>175</v>
      </c>
      <c r="F752" t="s">
        <v>94</v>
      </c>
      <c r="G752" t="s">
        <v>61</v>
      </c>
      <c r="H752" t="s">
        <v>133</v>
      </c>
      <c r="I752" t="s">
        <v>310</v>
      </c>
      <c r="J752">
        <v>9</v>
      </c>
      <c r="K752" s="16">
        <v>645840</v>
      </c>
      <c r="L752" s="16">
        <v>419338.94</v>
      </c>
      <c r="M752" s="16">
        <v>226501.06</v>
      </c>
      <c r="N752" t="s">
        <v>141</v>
      </c>
      <c r="O752" t="s">
        <v>113</v>
      </c>
      <c r="P752" t="str">
        <f t="shared" si="11"/>
        <v>Dibrugarh|Laptop Pro</v>
      </c>
    </row>
    <row r="753" spans="1:16" x14ac:dyDescent="0.3">
      <c r="A753" s="15">
        <v>46202</v>
      </c>
      <c r="B753" t="s">
        <v>34</v>
      </c>
      <c r="C753" t="s">
        <v>152</v>
      </c>
      <c r="D753" t="s">
        <v>153</v>
      </c>
      <c r="E753" t="s">
        <v>169</v>
      </c>
      <c r="F753" t="s">
        <v>97</v>
      </c>
      <c r="G753" t="s">
        <v>88</v>
      </c>
      <c r="H753" t="s">
        <v>117</v>
      </c>
      <c r="I753" t="s">
        <v>258</v>
      </c>
      <c r="J753">
        <v>1</v>
      </c>
      <c r="K753" s="16">
        <v>13340</v>
      </c>
      <c r="L753" s="16">
        <v>9313.56</v>
      </c>
      <c r="M753" s="16">
        <v>4026.44</v>
      </c>
      <c r="N753" t="s">
        <v>125</v>
      </c>
      <c r="O753" t="s">
        <v>119</v>
      </c>
      <c r="P753" t="str">
        <f t="shared" si="11"/>
        <v>Chennai|Vacuum Cleaner</v>
      </c>
    </row>
    <row r="754" spans="1:16" x14ac:dyDescent="0.3">
      <c r="A754" s="15">
        <v>46031</v>
      </c>
      <c r="B754" t="s">
        <v>34</v>
      </c>
      <c r="C754" t="s">
        <v>121</v>
      </c>
      <c r="D754" t="s">
        <v>146</v>
      </c>
      <c r="E754" t="s">
        <v>147</v>
      </c>
      <c r="F754" t="s">
        <v>95</v>
      </c>
      <c r="G754" t="s">
        <v>74</v>
      </c>
      <c r="H754" t="s">
        <v>129</v>
      </c>
      <c r="I754" t="s">
        <v>179</v>
      </c>
      <c r="J754">
        <v>13</v>
      </c>
      <c r="K754" s="16">
        <v>62400</v>
      </c>
      <c r="L754" s="16">
        <v>44367.519999999997</v>
      </c>
      <c r="M754" s="16">
        <v>18032.48</v>
      </c>
      <c r="N754" t="s">
        <v>141</v>
      </c>
      <c r="O754" t="s">
        <v>119</v>
      </c>
      <c r="P754" t="str">
        <f t="shared" si="11"/>
        <v>Guwahati|Headset</v>
      </c>
    </row>
    <row r="755" spans="1:16" x14ac:dyDescent="0.3">
      <c r="A755" s="15">
        <v>46220</v>
      </c>
      <c r="B755" t="s">
        <v>120</v>
      </c>
      <c r="C755" t="s">
        <v>107</v>
      </c>
      <c r="D755" t="s">
        <v>108</v>
      </c>
      <c r="E755" t="s">
        <v>132</v>
      </c>
      <c r="F755" t="s">
        <v>94</v>
      </c>
      <c r="G755" t="s">
        <v>67</v>
      </c>
      <c r="H755" t="s">
        <v>110</v>
      </c>
      <c r="I755" t="s">
        <v>193</v>
      </c>
      <c r="J755">
        <v>1</v>
      </c>
      <c r="K755" s="16">
        <v>32010</v>
      </c>
      <c r="L755" s="16">
        <v>20086.73</v>
      </c>
      <c r="M755" s="16">
        <v>11923.27</v>
      </c>
      <c r="N755" t="s">
        <v>125</v>
      </c>
      <c r="O755" t="s">
        <v>113</v>
      </c>
      <c r="P755" t="str">
        <f t="shared" si="11"/>
        <v>Jaipur|Tablet X</v>
      </c>
    </row>
    <row r="756" spans="1:16" x14ac:dyDescent="0.3">
      <c r="A756" s="15">
        <v>46093</v>
      </c>
      <c r="B756" t="s">
        <v>120</v>
      </c>
      <c r="C756" t="s">
        <v>107</v>
      </c>
      <c r="D756" t="s">
        <v>149</v>
      </c>
      <c r="E756" t="s">
        <v>159</v>
      </c>
      <c r="F756" t="s">
        <v>96</v>
      </c>
      <c r="G756" t="s">
        <v>80</v>
      </c>
      <c r="H756" t="s">
        <v>117</v>
      </c>
      <c r="I756" t="s">
        <v>254</v>
      </c>
      <c r="J756">
        <v>10</v>
      </c>
      <c r="K756" s="16">
        <v>115000</v>
      </c>
      <c r="L756" s="16">
        <v>73747.820000000007</v>
      </c>
      <c r="M756" s="16">
        <v>41252.18</v>
      </c>
      <c r="N756" t="s">
        <v>131</v>
      </c>
      <c r="O756" t="s">
        <v>113</v>
      </c>
      <c r="P756" t="str">
        <f t="shared" si="11"/>
        <v>Pune|Office Chair</v>
      </c>
    </row>
    <row r="757" spans="1:16" x14ac:dyDescent="0.3">
      <c r="A757" s="15">
        <v>46130</v>
      </c>
      <c r="B757" t="s">
        <v>34</v>
      </c>
      <c r="C757" t="s">
        <v>121</v>
      </c>
      <c r="D757" t="s">
        <v>137</v>
      </c>
      <c r="E757" t="s">
        <v>138</v>
      </c>
      <c r="F757" t="s">
        <v>95</v>
      </c>
      <c r="G757" t="s">
        <v>78</v>
      </c>
      <c r="H757" t="s">
        <v>110</v>
      </c>
      <c r="I757" t="s">
        <v>340</v>
      </c>
      <c r="J757">
        <v>10</v>
      </c>
      <c r="K757" s="16">
        <v>40740</v>
      </c>
      <c r="L757" s="16">
        <v>28128.97</v>
      </c>
      <c r="M757" s="16">
        <v>12611.03</v>
      </c>
      <c r="N757" t="s">
        <v>112</v>
      </c>
      <c r="O757" t="s">
        <v>113</v>
      </c>
      <c r="P757" t="str">
        <f t="shared" si="11"/>
        <v>Cuttack|Webcam</v>
      </c>
    </row>
    <row r="758" spans="1:16" x14ac:dyDescent="0.3">
      <c r="A758" s="15">
        <v>46132</v>
      </c>
      <c r="B758" t="s">
        <v>114</v>
      </c>
      <c r="C758" t="s">
        <v>126</v>
      </c>
      <c r="D758" t="s">
        <v>196</v>
      </c>
      <c r="E758" t="s">
        <v>197</v>
      </c>
      <c r="F758" t="s">
        <v>96</v>
      </c>
      <c r="G758" t="s">
        <v>84</v>
      </c>
      <c r="H758" t="s">
        <v>110</v>
      </c>
      <c r="I758" t="s">
        <v>306</v>
      </c>
      <c r="J758">
        <v>9</v>
      </c>
      <c r="K758" s="16">
        <v>123975</v>
      </c>
      <c r="L758" s="16">
        <v>89814.77</v>
      </c>
      <c r="M758" s="16">
        <v>34160.230000000003</v>
      </c>
      <c r="N758" t="s">
        <v>131</v>
      </c>
      <c r="O758" t="s">
        <v>113</v>
      </c>
      <c r="P758" t="str">
        <f t="shared" si="11"/>
        <v>Dwarka|Filing Cabinet</v>
      </c>
    </row>
    <row r="759" spans="1:16" x14ac:dyDescent="0.3">
      <c r="A759" s="15">
        <v>46178</v>
      </c>
      <c r="B759" t="s">
        <v>114</v>
      </c>
      <c r="C759" t="s">
        <v>121</v>
      </c>
      <c r="D759" t="s">
        <v>137</v>
      </c>
      <c r="E759" t="s">
        <v>171</v>
      </c>
      <c r="F759" t="s">
        <v>96</v>
      </c>
      <c r="G759" t="s">
        <v>80</v>
      </c>
      <c r="H759" t="s">
        <v>184</v>
      </c>
      <c r="I759" t="s">
        <v>249</v>
      </c>
      <c r="J759">
        <v>10</v>
      </c>
      <c r="K759" s="16">
        <v>121250</v>
      </c>
      <c r="L759" s="16">
        <v>85862.81</v>
      </c>
      <c r="M759" s="16">
        <v>35387.19</v>
      </c>
      <c r="N759" t="s">
        <v>141</v>
      </c>
      <c r="O759" t="s">
        <v>142</v>
      </c>
      <c r="P759" t="str">
        <f t="shared" si="11"/>
        <v>Bhubaneswar|Office Chair</v>
      </c>
    </row>
    <row r="760" spans="1:16" x14ac:dyDescent="0.3">
      <c r="A760" s="15">
        <v>46162</v>
      </c>
      <c r="B760" t="s">
        <v>34</v>
      </c>
      <c r="C760" t="s">
        <v>126</v>
      </c>
      <c r="D760" t="s">
        <v>162</v>
      </c>
      <c r="E760" t="s">
        <v>163</v>
      </c>
      <c r="F760" t="s">
        <v>94</v>
      </c>
      <c r="G760" t="s">
        <v>67</v>
      </c>
      <c r="H760" t="s">
        <v>139</v>
      </c>
      <c r="I760" t="s">
        <v>316</v>
      </c>
      <c r="J760">
        <v>5</v>
      </c>
      <c r="K760" s="16">
        <v>160050</v>
      </c>
      <c r="L760" s="16">
        <v>124696.69</v>
      </c>
      <c r="M760" s="16">
        <v>35353.31</v>
      </c>
      <c r="N760" t="s">
        <v>141</v>
      </c>
      <c r="O760" t="s">
        <v>142</v>
      </c>
      <c r="P760" t="str">
        <f t="shared" si="11"/>
        <v>Lucknow|Tablet X</v>
      </c>
    </row>
    <row r="761" spans="1:16" x14ac:dyDescent="0.3">
      <c r="A761" s="15">
        <v>46144</v>
      </c>
      <c r="B761" t="s">
        <v>114</v>
      </c>
      <c r="C761" t="s">
        <v>152</v>
      </c>
      <c r="D761" t="s">
        <v>187</v>
      </c>
      <c r="E761" t="s">
        <v>188</v>
      </c>
      <c r="F761" t="s">
        <v>96</v>
      </c>
      <c r="G761" t="s">
        <v>80</v>
      </c>
      <c r="H761" t="s">
        <v>173</v>
      </c>
      <c r="I761" t="s">
        <v>198</v>
      </c>
      <c r="J761">
        <v>15</v>
      </c>
      <c r="K761" s="16">
        <v>178125</v>
      </c>
      <c r="L761" s="16">
        <v>129871.77</v>
      </c>
      <c r="M761" s="16">
        <v>48253.23</v>
      </c>
      <c r="N761" t="s">
        <v>125</v>
      </c>
      <c r="O761" t="s">
        <v>142</v>
      </c>
      <c r="P761" t="str">
        <f t="shared" si="11"/>
        <v>Warangal|Office Chair</v>
      </c>
    </row>
    <row r="762" spans="1:16" x14ac:dyDescent="0.3">
      <c r="A762" s="15">
        <v>46259</v>
      </c>
      <c r="B762" t="s">
        <v>34</v>
      </c>
      <c r="C762" t="s">
        <v>107</v>
      </c>
      <c r="D762" t="s">
        <v>115</v>
      </c>
      <c r="E762" t="s">
        <v>191</v>
      </c>
      <c r="F762" t="s">
        <v>96</v>
      </c>
      <c r="G762" t="s">
        <v>84</v>
      </c>
      <c r="H762" t="s">
        <v>110</v>
      </c>
      <c r="I762" t="s">
        <v>229</v>
      </c>
      <c r="J762">
        <v>11</v>
      </c>
      <c r="K762" s="16">
        <v>159500</v>
      </c>
      <c r="L762" s="16">
        <v>120088.54</v>
      </c>
      <c r="M762" s="16">
        <v>39411.46</v>
      </c>
      <c r="N762" t="s">
        <v>131</v>
      </c>
      <c r="O762" t="s">
        <v>113</v>
      </c>
      <c r="P762" t="str">
        <f t="shared" si="11"/>
        <v>Surat|Filing Cabinet</v>
      </c>
    </row>
    <row r="763" spans="1:16" x14ac:dyDescent="0.3">
      <c r="A763" s="15">
        <v>46245</v>
      </c>
      <c r="B763" t="s">
        <v>120</v>
      </c>
      <c r="C763" t="s">
        <v>152</v>
      </c>
      <c r="D763" t="s">
        <v>187</v>
      </c>
      <c r="E763" t="s">
        <v>199</v>
      </c>
      <c r="F763" t="s">
        <v>95</v>
      </c>
      <c r="G763" t="s">
        <v>74</v>
      </c>
      <c r="H763" t="s">
        <v>133</v>
      </c>
      <c r="I763" t="s">
        <v>272</v>
      </c>
      <c r="J763">
        <v>1</v>
      </c>
      <c r="K763" s="16">
        <v>4800</v>
      </c>
      <c r="L763" s="16">
        <v>3865.66</v>
      </c>
      <c r="M763" s="16">
        <v>934.34</v>
      </c>
      <c r="N763" t="s">
        <v>112</v>
      </c>
      <c r="O763" t="s">
        <v>113</v>
      </c>
      <c r="P763" t="str">
        <f t="shared" si="11"/>
        <v>Hyderabad|Headset</v>
      </c>
    </row>
    <row r="764" spans="1:16" x14ac:dyDescent="0.3">
      <c r="A764" s="15">
        <v>46170</v>
      </c>
      <c r="B764" t="s">
        <v>34</v>
      </c>
      <c r="C764" t="s">
        <v>121</v>
      </c>
      <c r="D764" t="s">
        <v>122</v>
      </c>
      <c r="E764" t="s">
        <v>123</v>
      </c>
      <c r="F764" t="s">
        <v>97</v>
      </c>
      <c r="G764" t="s">
        <v>85</v>
      </c>
      <c r="H764" t="s">
        <v>133</v>
      </c>
      <c r="I764" t="s">
        <v>358</v>
      </c>
      <c r="J764">
        <v>18</v>
      </c>
      <c r="K764" s="16">
        <v>298080</v>
      </c>
      <c r="L764" s="16">
        <v>214622.9</v>
      </c>
      <c r="M764" s="16">
        <v>83457.100000000006</v>
      </c>
      <c r="N764" t="s">
        <v>141</v>
      </c>
      <c r="O764" t="s">
        <v>113</v>
      </c>
      <c r="P764" t="str">
        <f t="shared" si="11"/>
        <v>Durgapur|Air Purifier</v>
      </c>
    </row>
    <row r="765" spans="1:16" x14ac:dyDescent="0.3">
      <c r="A765" s="15">
        <v>46135</v>
      </c>
      <c r="B765" t="s">
        <v>34</v>
      </c>
      <c r="C765" t="s">
        <v>107</v>
      </c>
      <c r="D765" t="s">
        <v>149</v>
      </c>
      <c r="E765" t="s">
        <v>159</v>
      </c>
      <c r="F765" t="s">
        <v>94</v>
      </c>
      <c r="G765" t="s">
        <v>61</v>
      </c>
      <c r="H765" t="s">
        <v>110</v>
      </c>
      <c r="I765" t="s">
        <v>346</v>
      </c>
      <c r="J765">
        <v>9</v>
      </c>
      <c r="K765" s="16">
        <v>702000</v>
      </c>
      <c r="L765" s="16">
        <v>497705.85</v>
      </c>
      <c r="M765" s="16">
        <v>204294.15</v>
      </c>
      <c r="N765" t="s">
        <v>141</v>
      </c>
      <c r="O765" t="s">
        <v>119</v>
      </c>
      <c r="P765" t="str">
        <f t="shared" si="11"/>
        <v>Pune|Laptop Pro</v>
      </c>
    </row>
    <row r="766" spans="1:16" x14ac:dyDescent="0.3">
      <c r="A766" s="15">
        <v>46169</v>
      </c>
      <c r="B766" t="s">
        <v>120</v>
      </c>
      <c r="C766" t="s">
        <v>126</v>
      </c>
      <c r="D766" t="s">
        <v>127</v>
      </c>
      <c r="E766" t="s">
        <v>128</v>
      </c>
      <c r="F766" t="s">
        <v>96</v>
      </c>
      <c r="G766" t="s">
        <v>83</v>
      </c>
      <c r="H766" t="s">
        <v>139</v>
      </c>
      <c r="I766" t="s">
        <v>398</v>
      </c>
      <c r="J766">
        <v>4</v>
      </c>
      <c r="K766" s="16">
        <v>136800</v>
      </c>
      <c r="L766" s="16">
        <v>102723.61</v>
      </c>
      <c r="M766" s="16">
        <v>34076.39</v>
      </c>
      <c r="N766" t="s">
        <v>125</v>
      </c>
      <c r="O766" t="s">
        <v>113</v>
      </c>
      <c r="P766" t="str">
        <f t="shared" si="11"/>
        <v>Gurugram|Meeting Table</v>
      </c>
    </row>
    <row r="767" spans="1:16" x14ac:dyDescent="0.3">
      <c r="A767" s="15">
        <v>46185</v>
      </c>
      <c r="B767" t="s">
        <v>34</v>
      </c>
      <c r="C767" t="s">
        <v>121</v>
      </c>
      <c r="D767" t="s">
        <v>146</v>
      </c>
      <c r="E767" t="s">
        <v>147</v>
      </c>
      <c r="F767" t="s">
        <v>97</v>
      </c>
      <c r="G767" t="s">
        <v>86</v>
      </c>
      <c r="H767" t="s">
        <v>133</v>
      </c>
      <c r="I767" t="s">
        <v>193</v>
      </c>
      <c r="J767">
        <v>13</v>
      </c>
      <c r="K767" s="16">
        <v>84500</v>
      </c>
      <c r="L767" s="16">
        <v>65253.64</v>
      </c>
      <c r="M767" s="16">
        <v>19246.36</v>
      </c>
      <c r="N767" t="s">
        <v>125</v>
      </c>
      <c r="O767" t="s">
        <v>119</v>
      </c>
      <c r="P767" t="str">
        <f t="shared" si="11"/>
        <v>Guwahati|Coffee Maker</v>
      </c>
    </row>
    <row r="768" spans="1:16" x14ac:dyDescent="0.3">
      <c r="A768" s="15">
        <v>46108</v>
      </c>
      <c r="B768" t="s">
        <v>34</v>
      </c>
      <c r="C768" t="s">
        <v>107</v>
      </c>
      <c r="D768" t="s">
        <v>108</v>
      </c>
      <c r="E768" t="s">
        <v>109</v>
      </c>
      <c r="F768" t="s">
        <v>96</v>
      </c>
      <c r="G768" t="s">
        <v>83</v>
      </c>
      <c r="H768" t="s">
        <v>117</v>
      </c>
      <c r="I768" t="s">
        <v>178</v>
      </c>
      <c r="J768">
        <v>6</v>
      </c>
      <c r="K768" s="16">
        <v>216000</v>
      </c>
      <c r="L768" s="16">
        <v>169056.94</v>
      </c>
      <c r="M768" s="16">
        <v>46943.06</v>
      </c>
      <c r="N768" t="s">
        <v>112</v>
      </c>
      <c r="O768" t="s">
        <v>113</v>
      </c>
      <c r="P768" t="str">
        <f t="shared" si="11"/>
        <v>Udaipur|Meeting Table</v>
      </c>
    </row>
    <row r="769" spans="1:16" x14ac:dyDescent="0.3">
      <c r="A769" s="15">
        <v>46049</v>
      </c>
      <c r="B769" t="s">
        <v>34</v>
      </c>
      <c r="C769" t="s">
        <v>121</v>
      </c>
      <c r="D769" t="s">
        <v>146</v>
      </c>
      <c r="E769" t="s">
        <v>147</v>
      </c>
      <c r="F769" t="s">
        <v>94</v>
      </c>
      <c r="G769" t="s">
        <v>70</v>
      </c>
      <c r="H769" t="s">
        <v>173</v>
      </c>
      <c r="I769" t="s">
        <v>230</v>
      </c>
      <c r="J769">
        <v>19</v>
      </c>
      <c r="K769" s="16">
        <v>285665</v>
      </c>
      <c r="L769" s="16">
        <v>192241.68</v>
      </c>
      <c r="M769" s="16">
        <v>93423.32</v>
      </c>
      <c r="N769" t="s">
        <v>125</v>
      </c>
      <c r="O769" t="s">
        <v>113</v>
      </c>
      <c r="P769" t="str">
        <f t="shared" si="11"/>
        <v>Guwahati|Printer Pro</v>
      </c>
    </row>
    <row r="770" spans="1:16" x14ac:dyDescent="0.3">
      <c r="A770" s="15">
        <v>46085</v>
      </c>
      <c r="B770" t="s">
        <v>34</v>
      </c>
      <c r="C770" t="s">
        <v>121</v>
      </c>
      <c r="D770" t="s">
        <v>137</v>
      </c>
      <c r="E770" t="s">
        <v>171</v>
      </c>
      <c r="F770" t="s">
        <v>94</v>
      </c>
      <c r="G770" t="s">
        <v>64</v>
      </c>
      <c r="H770" t="s">
        <v>133</v>
      </c>
      <c r="I770" t="s">
        <v>360</v>
      </c>
      <c r="J770">
        <v>2</v>
      </c>
      <c r="K770" s="16">
        <v>40740</v>
      </c>
      <c r="L770" s="16">
        <v>28522.13</v>
      </c>
      <c r="M770" s="16">
        <v>12217.87</v>
      </c>
      <c r="N770" t="s">
        <v>141</v>
      </c>
      <c r="O770" t="s">
        <v>113</v>
      </c>
      <c r="P770" t="str">
        <f t="shared" si="11"/>
        <v>Bhubaneswar|Monitor 27</v>
      </c>
    </row>
    <row r="771" spans="1:16" x14ac:dyDescent="0.3">
      <c r="A771" s="15">
        <v>46027</v>
      </c>
      <c r="B771" t="s">
        <v>34</v>
      </c>
      <c r="C771" t="s">
        <v>121</v>
      </c>
      <c r="D771" t="s">
        <v>146</v>
      </c>
      <c r="E771" t="s">
        <v>147</v>
      </c>
      <c r="F771" t="s">
        <v>94</v>
      </c>
      <c r="G771" t="s">
        <v>61</v>
      </c>
      <c r="H771" t="s">
        <v>135</v>
      </c>
      <c r="I771" t="s">
        <v>287</v>
      </c>
      <c r="J771">
        <v>10</v>
      </c>
      <c r="K771" s="16">
        <v>756600</v>
      </c>
      <c r="L771" s="16">
        <v>502434.16</v>
      </c>
      <c r="M771" s="16">
        <v>254165.84</v>
      </c>
      <c r="N771" t="s">
        <v>131</v>
      </c>
      <c r="O771" t="s">
        <v>113</v>
      </c>
      <c r="P771" t="str">
        <f t="shared" si="11"/>
        <v>Guwahati|Laptop Pro</v>
      </c>
    </row>
    <row r="772" spans="1:16" x14ac:dyDescent="0.3">
      <c r="A772" s="15">
        <v>46091</v>
      </c>
      <c r="B772" t="s">
        <v>34</v>
      </c>
      <c r="C772" t="s">
        <v>126</v>
      </c>
      <c r="D772" t="s">
        <v>127</v>
      </c>
      <c r="E772" t="s">
        <v>143</v>
      </c>
      <c r="F772" t="s">
        <v>94</v>
      </c>
      <c r="G772" t="s">
        <v>67</v>
      </c>
      <c r="H772" t="s">
        <v>133</v>
      </c>
      <c r="I772" t="s">
        <v>145</v>
      </c>
      <c r="J772">
        <v>8</v>
      </c>
      <c r="K772" s="16">
        <v>232320</v>
      </c>
      <c r="L772" s="16">
        <v>155329.29</v>
      </c>
      <c r="M772" s="16">
        <v>76990.710000000006</v>
      </c>
      <c r="N772" t="s">
        <v>141</v>
      </c>
      <c r="O772" t="s">
        <v>119</v>
      </c>
      <c r="P772" t="str">
        <f t="shared" si="11"/>
        <v>Faridabad|Tablet X</v>
      </c>
    </row>
    <row r="773" spans="1:16" x14ac:dyDescent="0.3">
      <c r="A773" s="15">
        <v>46052</v>
      </c>
      <c r="B773" t="s">
        <v>34</v>
      </c>
      <c r="C773" t="s">
        <v>152</v>
      </c>
      <c r="D773" t="s">
        <v>153</v>
      </c>
      <c r="E773" t="s">
        <v>169</v>
      </c>
      <c r="F773" t="s">
        <v>94</v>
      </c>
      <c r="G773" t="s">
        <v>70</v>
      </c>
      <c r="H773" t="s">
        <v>133</v>
      </c>
      <c r="I773" t="s">
        <v>203</v>
      </c>
      <c r="J773">
        <v>17</v>
      </c>
      <c r="K773" s="16">
        <v>231880</v>
      </c>
      <c r="L773" s="16">
        <v>176108.11</v>
      </c>
      <c r="M773" s="16">
        <v>55771.89</v>
      </c>
      <c r="N773" t="s">
        <v>125</v>
      </c>
      <c r="O773" t="s">
        <v>119</v>
      </c>
      <c r="P773" t="str">
        <f t="shared" ref="P773:P836" si="12">E773&amp;"|"&amp;G773</f>
        <v>Chennai|Printer Pro</v>
      </c>
    </row>
    <row r="774" spans="1:16" x14ac:dyDescent="0.3">
      <c r="A774" s="15">
        <v>46115</v>
      </c>
      <c r="B774" t="s">
        <v>34</v>
      </c>
      <c r="C774" t="s">
        <v>121</v>
      </c>
      <c r="D774" t="s">
        <v>122</v>
      </c>
      <c r="E774" t="s">
        <v>123</v>
      </c>
      <c r="F774" t="s">
        <v>95</v>
      </c>
      <c r="G774" t="s">
        <v>76</v>
      </c>
      <c r="H774" t="s">
        <v>173</v>
      </c>
      <c r="I774" t="s">
        <v>202</v>
      </c>
      <c r="J774">
        <v>3</v>
      </c>
      <c r="K774" s="16">
        <v>4752</v>
      </c>
      <c r="L774" s="16">
        <v>3360.91</v>
      </c>
      <c r="M774" s="16">
        <v>1391.09</v>
      </c>
      <c r="N774" t="s">
        <v>125</v>
      </c>
      <c r="O774" t="s">
        <v>113</v>
      </c>
      <c r="P774" t="str">
        <f t="shared" si="12"/>
        <v>Durgapur|Mouse</v>
      </c>
    </row>
    <row r="775" spans="1:16" x14ac:dyDescent="0.3">
      <c r="A775" s="15">
        <v>46243</v>
      </c>
      <c r="B775" t="s">
        <v>34</v>
      </c>
      <c r="C775" t="s">
        <v>152</v>
      </c>
      <c r="D775" t="s">
        <v>156</v>
      </c>
      <c r="E775" t="s">
        <v>238</v>
      </c>
      <c r="F775" t="s">
        <v>94</v>
      </c>
      <c r="G775" t="s">
        <v>61</v>
      </c>
      <c r="H775" t="s">
        <v>135</v>
      </c>
      <c r="I775" t="s">
        <v>371</v>
      </c>
      <c r="J775">
        <v>1</v>
      </c>
      <c r="K775" s="16">
        <v>75660</v>
      </c>
      <c r="L775" s="16">
        <v>62023.54</v>
      </c>
      <c r="M775" s="16">
        <v>13636.46</v>
      </c>
      <c r="N775" t="s">
        <v>112</v>
      </c>
      <c r="O775" t="s">
        <v>113</v>
      </c>
      <c r="P775" t="str">
        <f t="shared" si="12"/>
        <v>Bengaluru|Laptop Pro</v>
      </c>
    </row>
    <row r="776" spans="1:16" x14ac:dyDescent="0.3">
      <c r="A776" s="15">
        <v>46130</v>
      </c>
      <c r="B776" t="s">
        <v>34</v>
      </c>
      <c r="C776" t="s">
        <v>152</v>
      </c>
      <c r="D776" t="s">
        <v>156</v>
      </c>
      <c r="E776" t="s">
        <v>238</v>
      </c>
      <c r="F776" t="s">
        <v>95</v>
      </c>
      <c r="G776" t="s">
        <v>72</v>
      </c>
      <c r="H776" t="s">
        <v>173</v>
      </c>
      <c r="I776" t="s">
        <v>263</v>
      </c>
      <c r="J776">
        <v>11</v>
      </c>
      <c r="K776" s="16">
        <v>34144</v>
      </c>
      <c r="L776" s="16">
        <v>23968.720000000001</v>
      </c>
      <c r="M776" s="16">
        <v>10175.280000000001</v>
      </c>
      <c r="N776" t="s">
        <v>131</v>
      </c>
      <c r="O776" t="s">
        <v>142</v>
      </c>
      <c r="P776" t="str">
        <f t="shared" si="12"/>
        <v>Bengaluru|Keyboard</v>
      </c>
    </row>
    <row r="777" spans="1:16" x14ac:dyDescent="0.3">
      <c r="A777" s="15">
        <v>46035</v>
      </c>
      <c r="B777" t="s">
        <v>114</v>
      </c>
      <c r="C777" t="s">
        <v>126</v>
      </c>
      <c r="D777" t="s">
        <v>162</v>
      </c>
      <c r="E777" t="s">
        <v>204</v>
      </c>
      <c r="F777" t="s">
        <v>95</v>
      </c>
      <c r="G777" t="s">
        <v>74</v>
      </c>
      <c r="H777" t="s">
        <v>133</v>
      </c>
      <c r="I777" t="s">
        <v>247</v>
      </c>
      <c r="J777">
        <v>13</v>
      </c>
      <c r="K777" s="16">
        <v>57408</v>
      </c>
      <c r="L777" s="16">
        <v>38842.04</v>
      </c>
      <c r="M777" s="16">
        <v>18565.96</v>
      </c>
      <c r="N777" t="s">
        <v>125</v>
      </c>
      <c r="O777" t="s">
        <v>113</v>
      </c>
      <c r="P777" t="str">
        <f t="shared" si="12"/>
        <v>Noida|Headset</v>
      </c>
    </row>
    <row r="778" spans="1:16" x14ac:dyDescent="0.3">
      <c r="A778" s="15">
        <v>46090</v>
      </c>
      <c r="B778" t="s">
        <v>34</v>
      </c>
      <c r="C778" t="s">
        <v>121</v>
      </c>
      <c r="D778" t="s">
        <v>146</v>
      </c>
      <c r="E778" t="s">
        <v>175</v>
      </c>
      <c r="F778" t="s">
        <v>95</v>
      </c>
      <c r="G778" t="s">
        <v>78</v>
      </c>
      <c r="H778" t="s">
        <v>173</v>
      </c>
      <c r="I778" t="s">
        <v>251</v>
      </c>
      <c r="J778">
        <v>16</v>
      </c>
      <c r="K778" s="16">
        <v>59136</v>
      </c>
      <c r="L778" s="16">
        <v>45828.22</v>
      </c>
      <c r="M778" s="16">
        <v>13307.78</v>
      </c>
      <c r="N778" t="s">
        <v>112</v>
      </c>
      <c r="O778" t="s">
        <v>113</v>
      </c>
      <c r="P778" t="str">
        <f t="shared" si="12"/>
        <v>Dibrugarh|Webcam</v>
      </c>
    </row>
    <row r="779" spans="1:16" x14ac:dyDescent="0.3">
      <c r="A779" s="15">
        <v>46072</v>
      </c>
      <c r="B779" t="s">
        <v>120</v>
      </c>
      <c r="C779" t="s">
        <v>126</v>
      </c>
      <c r="D779" t="s">
        <v>162</v>
      </c>
      <c r="E779" t="s">
        <v>163</v>
      </c>
      <c r="F779" t="s">
        <v>95</v>
      </c>
      <c r="G779" t="s">
        <v>72</v>
      </c>
      <c r="H779" t="s">
        <v>110</v>
      </c>
      <c r="I779" t="s">
        <v>342</v>
      </c>
      <c r="J779">
        <v>5</v>
      </c>
      <c r="K779" s="16">
        <v>16000</v>
      </c>
      <c r="L779" s="16">
        <v>11320.59</v>
      </c>
      <c r="M779" s="16">
        <v>4679.41</v>
      </c>
      <c r="N779" t="s">
        <v>125</v>
      </c>
      <c r="O779" t="s">
        <v>113</v>
      </c>
      <c r="P779" t="str">
        <f t="shared" si="12"/>
        <v>Lucknow|Keyboard</v>
      </c>
    </row>
    <row r="780" spans="1:16" x14ac:dyDescent="0.3">
      <c r="A780" s="15">
        <v>46089</v>
      </c>
      <c r="B780" t="s">
        <v>34</v>
      </c>
      <c r="C780" t="s">
        <v>107</v>
      </c>
      <c r="D780" t="s">
        <v>149</v>
      </c>
      <c r="E780" t="s">
        <v>159</v>
      </c>
      <c r="F780" t="s">
        <v>97</v>
      </c>
      <c r="G780" t="s">
        <v>87</v>
      </c>
      <c r="H780" t="s">
        <v>133</v>
      </c>
      <c r="I780" t="s">
        <v>241</v>
      </c>
      <c r="J780">
        <v>8</v>
      </c>
      <c r="K780" s="16">
        <v>92000</v>
      </c>
      <c r="L780" s="16">
        <v>74139.23</v>
      </c>
      <c r="M780" s="16">
        <v>17860.77</v>
      </c>
      <c r="N780" t="s">
        <v>112</v>
      </c>
      <c r="O780" t="s">
        <v>142</v>
      </c>
      <c r="P780" t="str">
        <f t="shared" si="12"/>
        <v>Pune|Microwave</v>
      </c>
    </row>
    <row r="781" spans="1:16" x14ac:dyDescent="0.3">
      <c r="A781" s="15">
        <v>46249</v>
      </c>
      <c r="B781" t="s">
        <v>34</v>
      </c>
      <c r="C781" t="s">
        <v>107</v>
      </c>
      <c r="D781" t="s">
        <v>108</v>
      </c>
      <c r="E781" t="s">
        <v>109</v>
      </c>
      <c r="F781" t="s">
        <v>96</v>
      </c>
      <c r="G781" t="s">
        <v>84</v>
      </c>
      <c r="H781" t="s">
        <v>184</v>
      </c>
      <c r="I781" t="s">
        <v>315</v>
      </c>
      <c r="J781">
        <v>16</v>
      </c>
      <c r="K781" s="16">
        <v>225040</v>
      </c>
      <c r="L781" s="16">
        <v>180994.15</v>
      </c>
      <c r="M781" s="16">
        <v>44045.85</v>
      </c>
      <c r="N781" t="s">
        <v>125</v>
      </c>
      <c r="O781" t="s">
        <v>142</v>
      </c>
      <c r="P781" t="str">
        <f t="shared" si="12"/>
        <v>Udaipur|Filing Cabinet</v>
      </c>
    </row>
    <row r="782" spans="1:16" x14ac:dyDescent="0.3">
      <c r="A782" s="15">
        <v>46157</v>
      </c>
      <c r="B782" t="s">
        <v>34</v>
      </c>
      <c r="C782" t="s">
        <v>126</v>
      </c>
      <c r="D782" t="s">
        <v>127</v>
      </c>
      <c r="E782" t="s">
        <v>143</v>
      </c>
      <c r="F782" t="s">
        <v>97</v>
      </c>
      <c r="G782" t="s">
        <v>87</v>
      </c>
      <c r="H782" t="s">
        <v>133</v>
      </c>
      <c r="I782" t="s">
        <v>386</v>
      </c>
      <c r="J782">
        <v>2</v>
      </c>
      <c r="K782" s="16">
        <v>23000</v>
      </c>
      <c r="L782" s="16">
        <v>14264.74</v>
      </c>
      <c r="M782" s="16">
        <v>8735.26</v>
      </c>
      <c r="N782" t="s">
        <v>112</v>
      </c>
      <c r="O782" t="s">
        <v>113</v>
      </c>
      <c r="P782" t="str">
        <f t="shared" si="12"/>
        <v>Faridabad|Microwave</v>
      </c>
    </row>
    <row r="783" spans="1:16" x14ac:dyDescent="0.3">
      <c r="A783" s="15">
        <v>46261</v>
      </c>
      <c r="B783" t="s">
        <v>34</v>
      </c>
      <c r="C783" t="s">
        <v>152</v>
      </c>
      <c r="D783" t="s">
        <v>156</v>
      </c>
      <c r="E783" t="s">
        <v>238</v>
      </c>
      <c r="F783" t="s">
        <v>95</v>
      </c>
      <c r="G783" t="s">
        <v>78</v>
      </c>
      <c r="H783" t="s">
        <v>184</v>
      </c>
      <c r="I783" t="s">
        <v>290</v>
      </c>
      <c r="J783">
        <v>9</v>
      </c>
      <c r="K783" s="16">
        <v>33264</v>
      </c>
      <c r="L783" s="16">
        <v>22055.94</v>
      </c>
      <c r="M783" s="16">
        <v>11208.06</v>
      </c>
      <c r="N783" t="s">
        <v>131</v>
      </c>
      <c r="O783" t="s">
        <v>113</v>
      </c>
      <c r="P783" t="str">
        <f t="shared" si="12"/>
        <v>Bengaluru|Webcam</v>
      </c>
    </row>
    <row r="784" spans="1:16" x14ac:dyDescent="0.3">
      <c r="A784" s="15">
        <v>46265</v>
      </c>
      <c r="B784" t="s">
        <v>34</v>
      </c>
      <c r="C784" t="s">
        <v>126</v>
      </c>
      <c r="D784" t="s">
        <v>196</v>
      </c>
      <c r="E784" t="s">
        <v>197</v>
      </c>
      <c r="F784" t="s">
        <v>94</v>
      </c>
      <c r="G784" t="s">
        <v>61</v>
      </c>
      <c r="H784" t="s">
        <v>117</v>
      </c>
      <c r="I784" t="s">
        <v>281</v>
      </c>
      <c r="J784">
        <v>17</v>
      </c>
      <c r="K784" s="16">
        <v>1326000</v>
      </c>
      <c r="L784" s="16">
        <v>938520.24</v>
      </c>
      <c r="M784" s="16">
        <v>387479.76</v>
      </c>
      <c r="N784" t="s">
        <v>131</v>
      </c>
      <c r="O784" t="s">
        <v>113</v>
      </c>
      <c r="P784" t="str">
        <f t="shared" si="12"/>
        <v>Dwarka|Laptop Pro</v>
      </c>
    </row>
    <row r="785" spans="1:16" x14ac:dyDescent="0.3">
      <c r="A785" s="15">
        <v>46150</v>
      </c>
      <c r="B785" t="s">
        <v>34</v>
      </c>
      <c r="C785" t="s">
        <v>152</v>
      </c>
      <c r="D785" t="s">
        <v>187</v>
      </c>
      <c r="E785" t="s">
        <v>188</v>
      </c>
      <c r="F785" t="s">
        <v>96</v>
      </c>
      <c r="G785" t="s">
        <v>82</v>
      </c>
      <c r="H785" t="s">
        <v>110</v>
      </c>
      <c r="I785" t="s">
        <v>207</v>
      </c>
      <c r="J785">
        <v>5</v>
      </c>
      <c r="K785" s="16">
        <v>138225</v>
      </c>
      <c r="L785" s="16">
        <v>104042.14</v>
      </c>
      <c r="M785" s="16">
        <v>34182.86</v>
      </c>
      <c r="N785" t="s">
        <v>131</v>
      </c>
      <c r="O785" t="s">
        <v>119</v>
      </c>
      <c r="P785" t="str">
        <f t="shared" si="12"/>
        <v>Warangal|Standing Desk</v>
      </c>
    </row>
    <row r="786" spans="1:16" x14ac:dyDescent="0.3">
      <c r="A786" s="15">
        <v>46174</v>
      </c>
      <c r="B786" t="s">
        <v>120</v>
      </c>
      <c r="C786" t="s">
        <v>121</v>
      </c>
      <c r="D786" t="s">
        <v>146</v>
      </c>
      <c r="E786" t="s">
        <v>147</v>
      </c>
      <c r="F786" t="s">
        <v>97</v>
      </c>
      <c r="G786" t="s">
        <v>85</v>
      </c>
      <c r="H786" t="s">
        <v>139</v>
      </c>
      <c r="I786" t="s">
        <v>227</v>
      </c>
      <c r="J786">
        <v>2</v>
      </c>
      <c r="K786" s="16">
        <v>36000</v>
      </c>
      <c r="L786" s="16">
        <v>26254.560000000001</v>
      </c>
      <c r="M786" s="16">
        <v>9745.44</v>
      </c>
      <c r="N786" t="s">
        <v>141</v>
      </c>
      <c r="O786" t="s">
        <v>119</v>
      </c>
      <c r="P786" t="str">
        <f t="shared" si="12"/>
        <v>Guwahati|Air Purifier</v>
      </c>
    </row>
    <row r="787" spans="1:16" x14ac:dyDescent="0.3">
      <c r="A787" s="15">
        <v>46150</v>
      </c>
      <c r="B787" t="s">
        <v>114</v>
      </c>
      <c r="C787" t="s">
        <v>107</v>
      </c>
      <c r="D787" t="s">
        <v>149</v>
      </c>
      <c r="E787" t="s">
        <v>159</v>
      </c>
      <c r="F787" t="s">
        <v>96</v>
      </c>
      <c r="G787" t="s">
        <v>84</v>
      </c>
      <c r="H787" t="s">
        <v>110</v>
      </c>
      <c r="I787" t="s">
        <v>118</v>
      </c>
      <c r="J787">
        <v>7</v>
      </c>
      <c r="K787" s="16">
        <v>98455</v>
      </c>
      <c r="L787" s="16">
        <v>75849.210000000006</v>
      </c>
      <c r="M787" s="16">
        <v>22605.79</v>
      </c>
      <c r="N787" t="s">
        <v>141</v>
      </c>
      <c r="O787" t="s">
        <v>142</v>
      </c>
      <c r="P787" t="str">
        <f t="shared" si="12"/>
        <v>Pune|Filing Cabinet</v>
      </c>
    </row>
    <row r="788" spans="1:16" x14ac:dyDescent="0.3">
      <c r="A788" s="15">
        <v>46072</v>
      </c>
      <c r="B788" t="s">
        <v>34</v>
      </c>
      <c r="C788" t="s">
        <v>126</v>
      </c>
      <c r="D788" t="s">
        <v>127</v>
      </c>
      <c r="E788" t="s">
        <v>128</v>
      </c>
      <c r="F788" t="s">
        <v>96</v>
      </c>
      <c r="G788" t="s">
        <v>82</v>
      </c>
      <c r="H788" t="s">
        <v>117</v>
      </c>
      <c r="I788" t="s">
        <v>286</v>
      </c>
      <c r="J788">
        <v>15</v>
      </c>
      <c r="K788" s="16">
        <v>376200</v>
      </c>
      <c r="L788" s="16">
        <v>301345.43</v>
      </c>
      <c r="M788" s="16">
        <v>74854.570000000007</v>
      </c>
      <c r="N788" t="s">
        <v>112</v>
      </c>
      <c r="O788" t="s">
        <v>113</v>
      </c>
      <c r="P788" t="str">
        <f t="shared" si="12"/>
        <v>Gurugram|Standing Desk</v>
      </c>
    </row>
    <row r="789" spans="1:16" x14ac:dyDescent="0.3">
      <c r="A789" s="15">
        <v>46146</v>
      </c>
      <c r="B789" t="s">
        <v>34</v>
      </c>
      <c r="C789" t="s">
        <v>126</v>
      </c>
      <c r="D789" t="s">
        <v>162</v>
      </c>
      <c r="E789" t="s">
        <v>163</v>
      </c>
      <c r="F789" t="s">
        <v>94</v>
      </c>
      <c r="G789" t="s">
        <v>70</v>
      </c>
      <c r="H789" t="s">
        <v>173</v>
      </c>
      <c r="I789" t="s">
        <v>399</v>
      </c>
      <c r="J789">
        <v>13</v>
      </c>
      <c r="K789" s="16">
        <v>195455</v>
      </c>
      <c r="L789" s="16">
        <v>131865.44</v>
      </c>
      <c r="M789" s="16">
        <v>63589.56</v>
      </c>
      <c r="N789" t="s">
        <v>112</v>
      </c>
      <c r="O789" t="s">
        <v>113</v>
      </c>
      <c r="P789" t="str">
        <f t="shared" si="12"/>
        <v>Lucknow|Printer Pro</v>
      </c>
    </row>
    <row r="790" spans="1:16" x14ac:dyDescent="0.3">
      <c r="A790" s="15">
        <v>46038</v>
      </c>
      <c r="B790" t="s">
        <v>34</v>
      </c>
      <c r="C790" t="s">
        <v>152</v>
      </c>
      <c r="D790" t="s">
        <v>153</v>
      </c>
      <c r="E790" t="s">
        <v>154</v>
      </c>
      <c r="F790" t="s">
        <v>96</v>
      </c>
      <c r="G790" t="s">
        <v>83</v>
      </c>
      <c r="H790" t="s">
        <v>110</v>
      </c>
      <c r="I790" t="s">
        <v>136</v>
      </c>
      <c r="J790">
        <v>17</v>
      </c>
      <c r="K790" s="16">
        <v>563040</v>
      </c>
      <c r="L790" s="16">
        <v>370030.61</v>
      </c>
      <c r="M790" s="16">
        <v>193009.39</v>
      </c>
      <c r="N790" t="s">
        <v>141</v>
      </c>
      <c r="O790" t="s">
        <v>142</v>
      </c>
      <c r="P790" t="str">
        <f t="shared" si="12"/>
        <v>Coimbatore|Meeting Table</v>
      </c>
    </row>
    <row r="791" spans="1:16" x14ac:dyDescent="0.3">
      <c r="A791" s="15">
        <v>46076</v>
      </c>
      <c r="B791" t="s">
        <v>34</v>
      </c>
      <c r="C791" t="s">
        <v>126</v>
      </c>
      <c r="D791" t="s">
        <v>162</v>
      </c>
      <c r="E791" t="s">
        <v>204</v>
      </c>
      <c r="F791" t="s">
        <v>97</v>
      </c>
      <c r="G791" t="s">
        <v>87</v>
      </c>
      <c r="H791" t="s">
        <v>110</v>
      </c>
      <c r="I791" t="s">
        <v>274</v>
      </c>
      <c r="J791">
        <v>20</v>
      </c>
      <c r="K791" s="16">
        <v>230000</v>
      </c>
      <c r="L791" s="16">
        <v>158986.44</v>
      </c>
      <c r="M791" s="16">
        <v>71013.56</v>
      </c>
      <c r="N791" t="s">
        <v>141</v>
      </c>
      <c r="O791" t="s">
        <v>119</v>
      </c>
      <c r="P791" t="str">
        <f t="shared" si="12"/>
        <v>Noida|Microwave</v>
      </c>
    </row>
    <row r="792" spans="1:16" x14ac:dyDescent="0.3">
      <c r="A792" s="15">
        <v>46222</v>
      </c>
      <c r="B792" t="s">
        <v>34</v>
      </c>
      <c r="C792" t="s">
        <v>126</v>
      </c>
      <c r="D792" t="s">
        <v>127</v>
      </c>
      <c r="E792" t="s">
        <v>143</v>
      </c>
      <c r="F792" t="s">
        <v>96</v>
      </c>
      <c r="G792" t="s">
        <v>82</v>
      </c>
      <c r="H792" t="s">
        <v>135</v>
      </c>
      <c r="I792" t="s">
        <v>371</v>
      </c>
      <c r="J792">
        <v>16</v>
      </c>
      <c r="K792" s="16">
        <v>401280</v>
      </c>
      <c r="L792" s="16">
        <v>328942.21000000002</v>
      </c>
      <c r="M792" s="16">
        <v>72337.789999999994</v>
      </c>
      <c r="N792" t="s">
        <v>131</v>
      </c>
      <c r="O792" t="s">
        <v>113</v>
      </c>
      <c r="P792" t="str">
        <f t="shared" si="12"/>
        <v>Faridabad|Standing Desk</v>
      </c>
    </row>
    <row r="793" spans="1:16" x14ac:dyDescent="0.3">
      <c r="A793" s="15">
        <v>46115</v>
      </c>
      <c r="B793" t="s">
        <v>34</v>
      </c>
      <c r="C793" t="s">
        <v>152</v>
      </c>
      <c r="D793" t="s">
        <v>153</v>
      </c>
      <c r="E793" t="s">
        <v>169</v>
      </c>
      <c r="F793" t="s">
        <v>95</v>
      </c>
      <c r="G793" t="s">
        <v>78</v>
      </c>
      <c r="H793" t="s">
        <v>110</v>
      </c>
      <c r="I793" t="s">
        <v>241</v>
      </c>
      <c r="J793">
        <v>13</v>
      </c>
      <c r="K793" s="16">
        <v>50232</v>
      </c>
      <c r="L793" s="16">
        <v>33241.24</v>
      </c>
      <c r="M793" s="16">
        <v>16990.759999999998</v>
      </c>
      <c r="N793" t="s">
        <v>125</v>
      </c>
      <c r="O793" t="s">
        <v>119</v>
      </c>
      <c r="P793" t="str">
        <f t="shared" si="12"/>
        <v>Chennai|Webcam</v>
      </c>
    </row>
    <row r="794" spans="1:16" x14ac:dyDescent="0.3">
      <c r="A794" s="15">
        <v>46113</v>
      </c>
      <c r="B794" t="s">
        <v>120</v>
      </c>
      <c r="C794" t="s">
        <v>121</v>
      </c>
      <c r="D794" t="s">
        <v>122</v>
      </c>
      <c r="E794" t="s">
        <v>123</v>
      </c>
      <c r="F794" t="s">
        <v>97</v>
      </c>
      <c r="G794" t="s">
        <v>87</v>
      </c>
      <c r="H794" t="s">
        <v>184</v>
      </c>
      <c r="I794" t="s">
        <v>257</v>
      </c>
      <c r="J794">
        <v>11</v>
      </c>
      <c r="K794" s="16">
        <v>130625</v>
      </c>
      <c r="L794" s="16">
        <v>100997.14</v>
      </c>
      <c r="M794" s="16">
        <v>29627.86</v>
      </c>
      <c r="N794" t="s">
        <v>141</v>
      </c>
      <c r="O794" t="s">
        <v>113</v>
      </c>
      <c r="P794" t="str">
        <f t="shared" si="12"/>
        <v>Durgapur|Microwave</v>
      </c>
    </row>
    <row r="795" spans="1:16" x14ac:dyDescent="0.3">
      <c r="A795" s="15">
        <v>46167</v>
      </c>
      <c r="B795" t="s">
        <v>34</v>
      </c>
      <c r="C795" t="s">
        <v>107</v>
      </c>
      <c r="D795" t="s">
        <v>108</v>
      </c>
      <c r="E795" t="s">
        <v>132</v>
      </c>
      <c r="F795" t="s">
        <v>95</v>
      </c>
      <c r="G795" t="s">
        <v>72</v>
      </c>
      <c r="H795" t="s">
        <v>135</v>
      </c>
      <c r="I795" t="s">
        <v>346</v>
      </c>
      <c r="J795">
        <v>3</v>
      </c>
      <c r="K795" s="16">
        <v>9120</v>
      </c>
      <c r="L795" s="16">
        <v>7308.77</v>
      </c>
      <c r="M795" s="16">
        <v>1811.23</v>
      </c>
      <c r="N795" t="s">
        <v>131</v>
      </c>
      <c r="O795" t="s">
        <v>113</v>
      </c>
      <c r="P795" t="str">
        <f t="shared" si="12"/>
        <v>Jaipur|Keyboard</v>
      </c>
    </row>
    <row r="796" spans="1:16" x14ac:dyDescent="0.3">
      <c r="A796" s="15">
        <v>46149</v>
      </c>
      <c r="B796" t="s">
        <v>34</v>
      </c>
      <c r="C796" t="s">
        <v>121</v>
      </c>
      <c r="D796" t="s">
        <v>137</v>
      </c>
      <c r="E796" t="s">
        <v>171</v>
      </c>
      <c r="F796" t="s">
        <v>97</v>
      </c>
      <c r="G796" t="s">
        <v>86</v>
      </c>
      <c r="H796" t="s">
        <v>117</v>
      </c>
      <c r="I796" t="s">
        <v>111</v>
      </c>
      <c r="J796">
        <v>18</v>
      </c>
      <c r="K796" s="16">
        <v>117000</v>
      </c>
      <c r="L796" s="16">
        <v>79630.53</v>
      </c>
      <c r="M796" s="16">
        <v>37369.47</v>
      </c>
      <c r="N796" t="s">
        <v>131</v>
      </c>
      <c r="O796" t="s">
        <v>142</v>
      </c>
      <c r="P796" t="str">
        <f t="shared" si="12"/>
        <v>Bhubaneswar|Coffee Maker</v>
      </c>
    </row>
    <row r="797" spans="1:16" x14ac:dyDescent="0.3">
      <c r="A797" s="15">
        <v>46203</v>
      </c>
      <c r="B797" t="s">
        <v>34</v>
      </c>
      <c r="C797" t="s">
        <v>152</v>
      </c>
      <c r="D797" t="s">
        <v>153</v>
      </c>
      <c r="E797" t="s">
        <v>154</v>
      </c>
      <c r="F797" t="s">
        <v>96</v>
      </c>
      <c r="G797" t="s">
        <v>84</v>
      </c>
      <c r="H797" t="s">
        <v>129</v>
      </c>
      <c r="I797" t="s">
        <v>298</v>
      </c>
      <c r="J797">
        <v>16</v>
      </c>
      <c r="K797" s="16">
        <v>220400</v>
      </c>
      <c r="L797" s="16">
        <v>158774.13</v>
      </c>
      <c r="M797" s="16">
        <v>61625.87</v>
      </c>
      <c r="N797" t="s">
        <v>141</v>
      </c>
      <c r="O797" t="s">
        <v>113</v>
      </c>
      <c r="P797" t="str">
        <f t="shared" si="12"/>
        <v>Coimbatore|Filing Cabinet</v>
      </c>
    </row>
    <row r="798" spans="1:16" x14ac:dyDescent="0.3">
      <c r="A798" s="15">
        <v>46061</v>
      </c>
      <c r="B798" t="s">
        <v>34</v>
      </c>
      <c r="C798" t="s">
        <v>152</v>
      </c>
      <c r="D798" t="s">
        <v>187</v>
      </c>
      <c r="E798" t="s">
        <v>188</v>
      </c>
      <c r="F798" t="s">
        <v>94</v>
      </c>
      <c r="G798" t="s">
        <v>64</v>
      </c>
      <c r="H798" t="s">
        <v>110</v>
      </c>
      <c r="I798" t="s">
        <v>192</v>
      </c>
      <c r="J798">
        <v>13</v>
      </c>
      <c r="K798" s="16">
        <v>264810</v>
      </c>
      <c r="L798" s="16">
        <v>191414.66</v>
      </c>
      <c r="M798" s="16">
        <v>73395.34</v>
      </c>
      <c r="N798" t="s">
        <v>112</v>
      </c>
      <c r="O798" t="s">
        <v>119</v>
      </c>
      <c r="P798" t="str">
        <f t="shared" si="12"/>
        <v>Warangal|Monitor 27</v>
      </c>
    </row>
    <row r="799" spans="1:16" x14ac:dyDescent="0.3">
      <c r="A799" s="15">
        <v>46264</v>
      </c>
      <c r="B799" t="s">
        <v>114</v>
      </c>
      <c r="C799" t="s">
        <v>107</v>
      </c>
      <c r="D799" t="s">
        <v>115</v>
      </c>
      <c r="E799" t="s">
        <v>191</v>
      </c>
      <c r="F799" t="s">
        <v>96</v>
      </c>
      <c r="G799" t="s">
        <v>80</v>
      </c>
      <c r="H799" t="s">
        <v>110</v>
      </c>
      <c r="I799" t="s">
        <v>392</v>
      </c>
      <c r="J799">
        <v>20</v>
      </c>
      <c r="K799" s="16">
        <v>250000</v>
      </c>
      <c r="L799" s="16">
        <v>174472.25</v>
      </c>
      <c r="M799" s="16">
        <v>75527.75</v>
      </c>
      <c r="N799" t="s">
        <v>141</v>
      </c>
      <c r="O799" t="s">
        <v>119</v>
      </c>
      <c r="P799" t="str">
        <f t="shared" si="12"/>
        <v>Surat|Office Chair</v>
      </c>
    </row>
    <row r="800" spans="1:16" x14ac:dyDescent="0.3">
      <c r="A800" s="15">
        <v>46092</v>
      </c>
      <c r="B800" t="s">
        <v>34</v>
      </c>
      <c r="C800" t="s">
        <v>152</v>
      </c>
      <c r="D800" t="s">
        <v>156</v>
      </c>
      <c r="E800" t="s">
        <v>238</v>
      </c>
      <c r="F800" t="s">
        <v>96</v>
      </c>
      <c r="G800" t="s">
        <v>84</v>
      </c>
      <c r="H800" t="s">
        <v>110</v>
      </c>
      <c r="I800" t="s">
        <v>265</v>
      </c>
      <c r="J800">
        <v>1</v>
      </c>
      <c r="K800" s="16">
        <v>13775</v>
      </c>
      <c r="L800" s="16">
        <v>10186.6</v>
      </c>
      <c r="M800" s="16">
        <v>3588.4</v>
      </c>
      <c r="N800" t="s">
        <v>131</v>
      </c>
      <c r="O800" t="s">
        <v>113</v>
      </c>
      <c r="P800" t="str">
        <f t="shared" si="12"/>
        <v>Bengaluru|Filing Cabinet</v>
      </c>
    </row>
    <row r="801" spans="1:16" x14ac:dyDescent="0.3">
      <c r="A801" s="15">
        <v>46252</v>
      </c>
      <c r="B801" t="s">
        <v>114</v>
      </c>
      <c r="C801" t="s">
        <v>107</v>
      </c>
      <c r="D801" t="s">
        <v>115</v>
      </c>
      <c r="E801" t="s">
        <v>191</v>
      </c>
      <c r="F801" t="s">
        <v>97</v>
      </c>
      <c r="G801" t="s">
        <v>86</v>
      </c>
      <c r="H801" t="s">
        <v>173</v>
      </c>
      <c r="I801" t="s">
        <v>140</v>
      </c>
      <c r="J801">
        <v>1</v>
      </c>
      <c r="K801" s="16">
        <v>5980</v>
      </c>
      <c r="L801" s="16">
        <v>3940.89</v>
      </c>
      <c r="M801" s="16">
        <v>2039.11</v>
      </c>
      <c r="N801" t="s">
        <v>141</v>
      </c>
      <c r="O801" t="s">
        <v>113</v>
      </c>
      <c r="P801" t="str">
        <f t="shared" si="12"/>
        <v>Surat|Coffee Maker</v>
      </c>
    </row>
    <row r="802" spans="1:16" x14ac:dyDescent="0.3">
      <c r="A802" s="15">
        <v>46154</v>
      </c>
      <c r="B802" t="s">
        <v>34</v>
      </c>
      <c r="C802" t="s">
        <v>152</v>
      </c>
      <c r="D802" t="s">
        <v>156</v>
      </c>
      <c r="E802" t="s">
        <v>157</v>
      </c>
      <c r="F802" t="s">
        <v>96</v>
      </c>
      <c r="G802" t="s">
        <v>84</v>
      </c>
      <c r="H802" t="s">
        <v>139</v>
      </c>
      <c r="I802" t="s">
        <v>308</v>
      </c>
      <c r="J802">
        <v>15</v>
      </c>
      <c r="K802" s="16">
        <v>200100</v>
      </c>
      <c r="L802" s="16">
        <v>131149.56</v>
      </c>
      <c r="M802" s="16">
        <v>68950.44</v>
      </c>
      <c r="N802" t="s">
        <v>125</v>
      </c>
      <c r="O802" t="s">
        <v>113</v>
      </c>
      <c r="P802" t="str">
        <f t="shared" si="12"/>
        <v>Mysuru|Filing Cabinet</v>
      </c>
    </row>
    <row r="803" spans="1:16" x14ac:dyDescent="0.3">
      <c r="A803" s="15">
        <v>46032</v>
      </c>
      <c r="B803" t="s">
        <v>34</v>
      </c>
      <c r="C803" t="s">
        <v>152</v>
      </c>
      <c r="D803" t="s">
        <v>187</v>
      </c>
      <c r="E803" t="s">
        <v>188</v>
      </c>
      <c r="F803" t="s">
        <v>97</v>
      </c>
      <c r="G803" t="s">
        <v>87</v>
      </c>
      <c r="H803" t="s">
        <v>129</v>
      </c>
      <c r="I803" t="s">
        <v>398</v>
      </c>
      <c r="J803">
        <v>16</v>
      </c>
      <c r="K803" s="16">
        <v>184000</v>
      </c>
      <c r="L803" s="16">
        <v>143675.92000000001</v>
      </c>
      <c r="M803" s="16">
        <v>40324.080000000002</v>
      </c>
      <c r="N803" t="s">
        <v>141</v>
      </c>
      <c r="O803" t="s">
        <v>142</v>
      </c>
      <c r="P803" t="str">
        <f t="shared" si="12"/>
        <v>Warangal|Microwave</v>
      </c>
    </row>
    <row r="804" spans="1:16" x14ac:dyDescent="0.3">
      <c r="A804" s="15">
        <v>46200</v>
      </c>
      <c r="B804" t="s">
        <v>34</v>
      </c>
      <c r="C804" t="s">
        <v>107</v>
      </c>
      <c r="D804" t="s">
        <v>108</v>
      </c>
      <c r="E804" t="s">
        <v>132</v>
      </c>
      <c r="F804" t="s">
        <v>95</v>
      </c>
      <c r="G804" t="s">
        <v>74</v>
      </c>
      <c r="H804" t="s">
        <v>110</v>
      </c>
      <c r="I804" t="s">
        <v>267</v>
      </c>
      <c r="J804">
        <v>13</v>
      </c>
      <c r="K804" s="16">
        <v>54912</v>
      </c>
      <c r="L804" s="16">
        <v>35619.870000000003</v>
      </c>
      <c r="M804" s="16">
        <v>19292.13</v>
      </c>
      <c r="N804" t="s">
        <v>141</v>
      </c>
      <c r="O804" t="s">
        <v>113</v>
      </c>
      <c r="P804" t="str">
        <f t="shared" si="12"/>
        <v>Jaipur|Headset</v>
      </c>
    </row>
    <row r="805" spans="1:16" x14ac:dyDescent="0.3">
      <c r="A805" s="15">
        <v>46047</v>
      </c>
      <c r="B805" t="s">
        <v>114</v>
      </c>
      <c r="C805" t="s">
        <v>121</v>
      </c>
      <c r="D805" t="s">
        <v>122</v>
      </c>
      <c r="E805" t="s">
        <v>166</v>
      </c>
      <c r="F805" t="s">
        <v>97</v>
      </c>
      <c r="G805" t="s">
        <v>86</v>
      </c>
      <c r="H805" t="s">
        <v>184</v>
      </c>
      <c r="I805" t="s">
        <v>308</v>
      </c>
      <c r="J805">
        <v>6</v>
      </c>
      <c r="K805" s="16">
        <v>39000</v>
      </c>
      <c r="L805" s="16">
        <v>26476.74</v>
      </c>
      <c r="M805" s="16">
        <v>12523.26</v>
      </c>
      <c r="N805" t="s">
        <v>131</v>
      </c>
      <c r="O805" t="s">
        <v>113</v>
      </c>
      <c r="P805" t="str">
        <f t="shared" si="12"/>
        <v>Kolkata|Coffee Maker</v>
      </c>
    </row>
    <row r="806" spans="1:16" x14ac:dyDescent="0.3">
      <c r="A806" s="15">
        <v>46061</v>
      </c>
      <c r="B806" t="s">
        <v>34</v>
      </c>
      <c r="C806" t="s">
        <v>152</v>
      </c>
      <c r="D806" t="s">
        <v>153</v>
      </c>
      <c r="E806" t="s">
        <v>154</v>
      </c>
      <c r="F806" t="s">
        <v>95</v>
      </c>
      <c r="G806" t="s">
        <v>78</v>
      </c>
      <c r="H806" t="s">
        <v>110</v>
      </c>
      <c r="I806" t="s">
        <v>237</v>
      </c>
      <c r="J806">
        <v>9</v>
      </c>
      <c r="K806" s="16">
        <v>37800</v>
      </c>
      <c r="L806" s="16">
        <v>28078.67</v>
      </c>
      <c r="M806" s="16">
        <v>9721.33</v>
      </c>
      <c r="N806" t="s">
        <v>131</v>
      </c>
      <c r="O806" t="s">
        <v>142</v>
      </c>
      <c r="P806" t="str">
        <f t="shared" si="12"/>
        <v>Coimbatore|Webcam</v>
      </c>
    </row>
    <row r="807" spans="1:16" x14ac:dyDescent="0.3">
      <c r="A807" s="15">
        <v>46218</v>
      </c>
      <c r="B807" t="s">
        <v>34</v>
      </c>
      <c r="C807" t="s">
        <v>107</v>
      </c>
      <c r="D807" t="s">
        <v>108</v>
      </c>
      <c r="E807" t="s">
        <v>109</v>
      </c>
      <c r="F807" t="s">
        <v>94</v>
      </c>
      <c r="G807" t="s">
        <v>64</v>
      </c>
      <c r="H807" t="s">
        <v>173</v>
      </c>
      <c r="I807" t="s">
        <v>214</v>
      </c>
      <c r="J807">
        <v>4</v>
      </c>
      <c r="K807" s="16">
        <v>84000</v>
      </c>
      <c r="L807" s="16">
        <v>66872.41</v>
      </c>
      <c r="M807" s="16">
        <v>17127.59</v>
      </c>
      <c r="N807" t="s">
        <v>112</v>
      </c>
      <c r="O807" t="s">
        <v>113</v>
      </c>
      <c r="P807" t="str">
        <f t="shared" si="12"/>
        <v>Udaipur|Monitor 27</v>
      </c>
    </row>
    <row r="808" spans="1:16" x14ac:dyDescent="0.3">
      <c r="A808" s="15">
        <v>46197</v>
      </c>
      <c r="B808" t="s">
        <v>34</v>
      </c>
      <c r="C808" t="s">
        <v>126</v>
      </c>
      <c r="D808" t="s">
        <v>162</v>
      </c>
      <c r="E808" t="s">
        <v>163</v>
      </c>
      <c r="F808" t="s">
        <v>94</v>
      </c>
      <c r="G808" t="s">
        <v>61</v>
      </c>
      <c r="H808" t="s">
        <v>129</v>
      </c>
      <c r="I808" t="s">
        <v>285</v>
      </c>
      <c r="J808">
        <v>10</v>
      </c>
      <c r="K808" s="16">
        <v>686400</v>
      </c>
      <c r="L808" s="16">
        <v>558764.54</v>
      </c>
      <c r="M808" s="16">
        <v>127635.46</v>
      </c>
      <c r="N808" t="s">
        <v>131</v>
      </c>
      <c r="O808" t="s">
        <v>142</v>
      </c>
      <c r="P808" t="str">
        <f t="shared" si="12"/>
        <v>Lucknow|Laptop Pro</v>
      </c>
    </row>
    <row r="809" spans="1:16" x14ac:dyDescent="0.3">
      <c r="A809" s="15">
        <v>46244</v>
      </c>
      <c r="B809" t="s">
        <v>34</v>
      </c>
      <c r="C809" t="s">
        <v>152</v>
      </c>
      <c r="D809" t="s">
        <v>187</v>
      </c>
      <c r="E809" t="s">
        <v>199</v>
      </c>
      <c r="F809" t="s">
        <v>95</v>
      </c>
      <c r="G809" t="s">
        <v>74</v>
      </c>
      <c r="H809" t="s">
        <v>135</v>
      </c>
      <c r="I809" t="s">
        <v>252</v>
      </c>
      <c r="J809">
        <v>2</v>
      </c>
      <c r="K809" s="16">
        <v>8448</v>
      </c>
      <c r="L809" s="16">
        <v>6504.96</v>
      </c>
      <c r="M809" s="16">
        <v>1943.04</v>
      </c>
      <c r="N809" t="s">
        <v>131</v>
      </c>
      <c r="O809" t="s">
        <v>119</v>
      </c>
      <c r="P809" t="str">
        <f t="shared" si="12"/>
        <v>Hyderabad|Headset</v>
      </c>
    </row>
    <row r="810" spans="1:16" x14ac:dyDescent="0.3">
      <c r="A810" s="15">
        <v>46183</v>
      </c>
      <c r="B810" t="s">
        <v>34</v>
      </c>
      <c r="C810" t="s">
        <v>107</v>
      </c>
      <c r="D810" t="s">
        <v>115</v>
      </c>
      <c r="E810" t="s">
        <v>191</v>
      </c>
      <c r="F810" t="s">
        <v>95</v>
      </c>
      <c r="G810" t="s">
        <v>72</v>
      </c>
      <c r="H810" t="s">
        <v>184</v>
      </c>
      <c r="I810" t="s">
        <v>399</v>
      </c>
      <c r="J810">
        <v>8</v>
      </c>
      <c r="K810" s="16">
        <v>25600</v>
      </c>
      <c r="L810" s="16">
        <v>20315.25</v>
      </c>
      <c r="M810" s="16">
        <v>5284.75</v>
      </c>
      <c r="N810" t="s">
        <v>125</v>
      </c>
      <c r="O810" t="s">
        <v>142</v>
      </c>
      <c r="P810" t="str">
        <f t="shared" si="12"/>
        <v>Surat|Keyboard</v>
      </c>
    </row>
    <row r="811" spans="1:16" x14ac:dyDescent="0.3">
      <c r="A811" s="15">
        <v>46185</v>
      </c>
      <c r="B811" t="s">
        <v>34</v>
      </c>
      <c r="C811" t="s">
        <v>121</v>
      </c>
      <c r="D811" t="s">
        <v>137</v>
      </c>
      <c r="E811" t="s">
        <v>171</v>
      </c>
      <c r="F811" t="s">
        <v>94</v>
      </c>
      <c r="G811" t="s">
        <v>64</v>
      </c>
      <c r="H811" t="s">
        <v>139</v>
      </c>
      <c r="I811" t="s">
        <v>221</v>
      </c>
      <c r="J811">
        <v>13</v>
      </c>
      <c r="K811" s="16">
        <v>273000</v>
      </c>
      <c r="L811" s="16">
        <v>204475.03</v>
      </c>
      <c r="M811" s="16">
        <v>68524.97</v>
      </c>
      <c r="N811" t="s">
        <v>112</v>
      </c>
      <c r="O811" t="s">
        <v>113</v>
      </c>
      <c r="P811" t="str">
        <f t="shared" si="12"/>
        <v>Bhubaneswar|Monitor 27</v>
      </c>
    </row>
    <row r="812" spans="1:16" x14ac:dyDescent="0.3">
      <c r="A812" s="15">
        <v>46074</v>
      </c>
      <c r="B812" t="s">
        <v>34</v>
      </c>
      <c r="C812" t="s">
        <v>107</v>
      </c>
      <c r="D812" t="s">
        <v>149</v>
      </c>
      <c r="E812" t="s">
        <v>150</v>
      </c>
      <c r="F812" t="s">
        <v>95</v>
      </c>
      <c r="G812" t="s">
        <v>74</v>
      </c>
      <c r="H812" t="s">
        <v>173</v>
      </c>
      <c r="I812" t="s">
        <v>234</v>
      </c>
      <c r="J812">
        <v>3</v>
      </c>
      <c r="K812" s="16">
        <v>13968</v>
      </c>
      <c r="L812" s="16">
        <v>10032.24</v>
      </c>
      <c r="M812" s="16">
        <v>3935.76</v>
      </c>
      <c r="N812" t="s">
        <v>131</v>
      </c>
      <c r="O812" t="s">
        <v>113</v>
      </c>
      <c r="P812" t="str">
        <f t="shared" si="12"/>
        <v>Mumbai|Headset</v>
      </c>
    </row>
    <row r="813" spans="1:16" x14ac:dyDescent="0.3">
      <c r="A813" s="15">
        <v>46047</v>
      </c>
      <c r="B813" t="s">
        <v>34</v>
      </c>
      <c r="C813" t="s">
        <v>121</v>
      </c>
      <c r="D813" t="s">
        <v>122</v>
      </c>
      <c r="E813" t="s">
        <v>123</v>
      </c>
      <c r="F813" t="s">
        <v>97</v>
      </c>
      <c r="G813" t="s">
        <v>85</v>
      </c>
      <c r="H813" t="s">
        <v>117</v>
      </c>
      <c r="I813" t="s">
        <v>251</v>
      </c>
      <c r="J813">
        <v>14</v>
      </c>
      <c r="K813" s="16">
        <v>244440</v>
      </c>
      <c r="L813" s="16">
        <v>170152.38</v>
      </c>
      <c r="M813" s="16">
        <v>74287.62</v>
      </c>
      <c r="N813" t="s">
        <v>112</v>
      </c>
      <c r="O813" t="s">
        <v>113</v>
      </c>
      <c r="P813" t="str">
        <f t="shared" si="12"/>
        <v>Durgapur|Air Purifier</v>
      </c>
    </row>
    <row r="814" spans="1:16" x14ac:dyDescent="0.3">
      <c r="A814" s="15">
        <v>46192</v>
      </c>
      <c r="B814" t="s">
        <v>34</v>
      </c>
      <c r="C814" t="s">
        <v>121</v>
      </c>
      <c r="D814" t="s">
        <v>137</v>
      </c>
      <c r="E814" t="s">
        <v>138</v>
      </c>
      <c r="F814" t="s">
        <v>94</v>
      </c>
      <c r="G814" t="s">
        <v>61</v>
      </c>
      <c r="H814" t="s">
        <v>133</v>
      </c>
      <c r="I814" t="s">
        <v>400</v>
      </c>
      <c r="J814">
        <v>18</v>
      </c>
      <c r="K814" s="16">
        <v>1235520</v>
      </c>
      <c r="L814" s="16">
        <v>976310.61</v>
      </c>
      <c r="M814" s="16">
        <v>259209.39</v>
      </c>
      <c r="N814" t="s">
        <v>125</v>
      </c>
      <c r="O814" t="s">
        <v>113</v>
      </c>
      <c r="P814" t="str">
        <f t="shared" si="12"/>
        <v>Cuttack|Laptop Pro</v>
      </c>
    </row>
    <row r="815" spans="1:16" x14ac:dyDescent="0.3">
      <c r="A815" s="15">
        <v>46032</v>
      </c>
      <c r="B815" t="s">
        <v>34</v>
      </c>
      <c r="C815" t="s">
        <v>152</v>
      </c>
      <c r="D815" t="s">
        <v>187</v>
      </c>
      <c r="E815" t="s">
        <v>188</v>
      </c>
      <c r="F815" t="s">
        <v>95</v>
      </c>
      <c r="G815" t="s">
        <v>72</v>
      </c>
      <c r="H815" t="s">
        <v>117</v>
      </c>
      <c r="I815" t="s">
        <v>160</v>
      </c>
      <c r="J815">
        <v>7</v>
      </c>
      <c r="K815" s="16">
        <v>19712</v>
      </c>
      <c r="L815" s="16">
        <v>13220.1</v>
      </c>
      <c r="M815" s="16">
        <v>6491.9</v>
      </c>
      <c r="N815" t="s">
        <v>112</v>
      </c>
      <c r="O815" t="s">
        <v>113</v>
      </c>
      <c r="P815" t="str">
        <f t="shared" si="12"/>
        <v>Warangal|Keyboard</v>
      </c>
    </row>
    <row r="816" spans="1:16" x14ac:dyDescent="0.3">
      <c r="A816" s="15">
        <v>46161</v>
      </c>
      <c r="B816" t="s">
        <v>34</v>
      </c>
      <c r="C816" t="s">
        <v>107</v>
      </c>
      <c r="D816" t="s">
        <v>108</v>
      </c>
      <c r="E816" t="s">
        <v>132</v>
      </c>
      <c r="F816" t="s">
        <v>95</v>
      </c>
      <c r="G816" t="s">
        <v>74</v>
      </c>
      <c r="H816" t="s">
        <v>110</v>
      </c>
      <c r="I816" t="s">
        <v>259</v>
      </c>
      <c r="J816">
        <v>14</v>
      </c>
      <c r="K816" s="16">
        <v>59136</v>
      </c>
      <c r="L816" s="16">
        <v>42605.62</v>
      </c>
      <c r="M816" s="16">
        <v>16530.38</v>
      </c>
      <c r="N816" t="s">
        <v>131</v>
      </c>
      <c r="O816" t="s">
        <v>113</v>
      </c>
      <c r="P816" t="str">
        <f t="shared" si="12"/>
        <v>Jaipur|Headset</v>
      </c>
    </row>
    <row r="817" spans="1:16" x14ac:dyDescent="0.3">
      <c r="A817" s="15">
        <v>46157</v>
      </c>
      <c r="B817" t="s">
        <v>34</v>
      </c>
      <c r="C817" t="s">
        <v>126</v>
      </c>
      <c r="D817" t="s">
        <v>162</v>
      </c>
      <c r="E817" t="s">
        <v>163</v>
      </c>
      <c r="F817" t="s">
        <v>96</v>
      </c>
      <c r="G817" t="s">
        <v>82</v>
      </c>
      <c r="H817" t="s">
        <v>117</v>
      </c>
      <c r="I817" t="s">
        <v>338</v>
      </c>
      <c r="J817">
        <v>18</v>
      </c>
      <c r="K817" s="16">
        <v>497610</v>
      </c>
      <c r="L817" s="16">
        <v>382023.32</v>
      </c>
      <c r="M817" s="16">
        <v>115586.68</v>
      </c>
      <c r="N817" t="s">
        <v>112</v>
      </c>
      <c r="O817" t="s">
        <v>113</v>
      </c>
      <c r="P817" t="str">
        <f t="shared" si="12"/>
        <v>Lucknow|Standing Desk</v>
      </c>
    </row>
    <row r="818" spans="1:16" x14ac:dyDescent="0.3">
      <c r="A818" s="15">
        <v>46191</v>
      </c>
      <c r="B818" t="s">
        <v>120</v>
      </c>
      <c r="C818" t="s">
        <v>152</v>
      </c>
      <c r="D818" t="s">
        <v>187</v>
      </c>
      <c r="E818" t="s">
        <v>188</v>
      </c>
      <c r="F818" t="s">
        <v>97</v>
      </c>
      <c r="G818" t="s">
        <v>85</v>
      </c>
      <c r="H818" t="s">
        <v>135</v>
      </c>
      <c r="I818" t="s">
        <v>354</v>
      </c>
      <c r="J818">
        <v>6</v>
      </c>
      <c r="K818" s="16">
        <v>104760</v>
      </c>
      <c r="L818" s="16">
        <v>70025.72</v>
      </c>
      <c r="M818" s="16">
        <v>34734.28</v>
      </c>
      <c r="N818" t="s">
        <v>131</v>
      </c>
      <c r="O818" t="s">
        <v>113</v>
      </c>
      <c r="P818" t="str">
        <f t="shared" si="12"/>
        <v>Warangal|Air Purifier</v>
      </c>
    </row>
    <row r="819" spans="1:16" x14ac:dyDescent="0.3">
      <c r="A819" s="15">
        <v>46112</v>
      </c>
      <c r="B819" t="s">
        <v>34</v>
      </c>
      <c r="C819" t="s">
        <v>152</v>
      </c>
      <c r="D819" t="s">
        <v>187</v>
      </c>
      <c r="E819" t="s">
        <v>199</v>
      </c>
      <c r="F819" t="s">
        <v>97</v>
      </c>
      <c r="G819" t="s">
        <v>87</v>
      </c>
      <c r="H819" t="s">
        <v>135</v>
      </c>
      <c r="I819" t="s">
        <v>372</v>
      </c>
      <c r="J819">
        <v>13</v>
      </c>
      <c r="K819" s="16">
        <v>162500</v>
      </c>
      <c r="L819" s="16">
        <v>104291.9</v>
      </c>
      <c r="M819" s="16">
        <v>58208.1</v>
      </c>
      <c r="N819" t="s">
        <v>112</v>
      </c>
      <c r="O819" t="s">
        <v>113</v>
      </c>
      <c r="P819" t="str">
        <f t="shared" si="12"/>
        <v>Hyderabad|Microwave</v>
      </c>
    </row>
    <row r="820" spans="1:16" x14ac:dyDescent="0.3">
      <c r="A820" s="15">
        <v>46194</v>
      </c>
      <c r="B820" t="s">
        <v>114</v>
      </c>
      <c r="C820" t="s">
        <v>121</v>
      </c>
      <c r="D820" t="s">
        <v>146</v>
      </c>
      <c r="E820" t="s">
        <v>175</v>
      </c>
      <c r="F820" t="s">
        <v>96</v>
      </c>
      <c r="G820" t="s">
        <v>80</v>
      </c>
      <c r="H820" t="s">
        <v>129</v>
      </c>
      <c r="I820" t="s">
        <v>193</v>
      </c>
      <c r="J820">
        <v>17</v>
      </c>
      <c r="K820" s="16">
        <v>195500</v>
      </c>
      <c r="L820" s="16">
        <v>139844.04999999999</v>
      </c>
      <c r="M820" s="16">
        <v>55655.95</v>
      </c>
      <c r="N820" t="s">
        <v>125</v>
      </c>
      <c r="O820" t="s">
        <v>113</v>
      </c>
      <c r="P820" t="str">
        <f t="shared" si="12"/>
        <v>Dibrugarh|Office Chair</v>
      </c>
    </row>
    <row r="821" spans="1:16" x14ac:dyDescent="0.3">
      <c r="A821" s="15">
        <v>46238</v>
      </c>
      <c r="B821" t="s">
        <v>34</v>
      </c>
      <c r="C821" t="s">
        <v>121</v>
      </c>
      <c r="D821" t="s">
        <v>146</v>
      </c>
      <c r="E821" t="s">
        <v>175</v>
      </c>
      <c r="F821" t="s">
        <v>96</v>
      </c>
      <c r="G821" t="s">
        <v>83</v>
      </c>
      <c r="H821" t="s">
        <v>117</v>
      </c>
      <c r="I821" t="s">
        <v>265</v>
      </c>
      <c r="J821">
        <v>17</v>
      </c>
      <c r="K821" s="16">
        <v>612000</v>
      </c>
      <c r="L821" s="16">
        <v>440081.98</v>
      </c>
      <c r="M821" s="16">
        <v>171918.02</v>
      </c>
      <c r="N821" t="s">
        <v>131</v>
      </c>
      <c r="O821" t="s">
        <v>113</v>
      </c>
      <c r="P821" t="str">
        <f t="shared" si="12"/>
        <v>Dibrugarh|Meeting Table</v>
      </c>
    </row>
    <row r="822" spans="1:16" x14ac:dyDescent="0.3">
      <c r="A822" s="15">
        <v>46181</v>
      </c>
      <c r="B822" t="s">
        <v>34</v>
      </c>
      <c r="C822" t="s">
        <v>107</v>
      </c>
      <c r="D822" t="s">
        <v>149</v>
      </c>
      <c r="E822" t="s">
        <v>159</v>
      </c>
      <c r="F822" t="s">
        <v>94</v>
      </c>
      <c r="G822" t="s">
        <v>61</v>
      </c>
      <c r="H822" t="s">
        <v>173</v>
      </c>
      <c r="I822" t="s">
        <v>168</v>
      </c>
      <c r="J822">
        <v>14</v>
      </c>
      <c r="K822" s="16">
        <v>1092000</v>
      </c>
      <c r="L822" s="16">
        <v>847768.17</v>
      </c>
      <c r="M822" s="16">
        <v>244231.83</v>
      </c>
      <c r="N822" t="s">
        <v>141</v>
      </c>
      <c r="O822" t="s">
        <v>113</v>
      </c>
      <c r="P822" t="str">
        <f t="shared" si="12"/>
        <v>Pune|Laptop Pro</v>
      </c>
    </row>
    <row r="823" spans="1:16" x14ac:dyDescent="0.3">
      <c r="A823" s="15">
        <v>46175</v>
      </c>
      <c r="B823" t="s">
        <v>34</v>
      </c>
      <c r="C823" t="s">
        <v>121</v>
      </c>
      <c r="D823" t="s">
        <v>137</v>
      </c>
      <c r="E823" t="s">
        <v>138</v>
      </c>
      <c r="F823" t="s">
        <v>95</v>
      </c>
      <c r="G823" t="s">
        <v>74</v>
      </c>
      <c r="H823" t="s">
        <v>133</v>
      </c>
      <c r="I823" t="s">
        <v>363</v>
      </c>
      <c r="J823">
        <v>13</v>
      </c>
      <c r="K823" s="16">
        <v>62400</v>
      </c>
      <c r="L823" s="16">
        <v>47555.01</v>
      </c>
      <c r="M823" s="16">
        <v>14844.99</v>
      </c>
      <c r="N823" t="s">
        <v>141</v>
      </c>
      <c r="O823" t="s">
        <v>142</v>
      </c>
      <c r="P823" t="str">
        <f t="shared" si="12"/>
        <v>Cuttack|Headset</v>
      </c>
    </row>
    <row r="824" spans="1:16" x14ac:dyDescent="0.3">
      <c r="A824" s="15">
        <v>46058</v>
      </c>
      <c r="B824" t="s">
        <v>34</v>
      </c>
      <c r="C824" t="s">
        <v>152</v>
      </c>
      <c r="D824" t="s">
        <v>156</v>
      </c>
      <c r="E824" t="s">
        <v>238</v>
      </c>
      <c r="F824" t="s">
        <v>95</v>
      </c>
      <c r="G824" t="s">
        <v>78</v>
      </c>
      <c r="H824" t="s">
        <v>135</v>
      </c>
      <c r="I824" t="s">
        <v>364</v>
      </c>
      <c r="J824">
        <v>14</v>
      </c>
      <c r="K824" s="16">
        <v>58800</v>
      </c>
      <c r="L824" s="16">
        <v>41265.269999999997</v>
      </c>
      <c r="M824" s="16">
        <v>17534.73</v>
      </c>
      <c r="N824" t="s">
        <v>125</v>
      </c>
      <c r="O824" t="s">
        <v>119</v>
      </c>
      <c r="P824" t="str">
        <f t="shared" si="12"/>
        <v>Bengaluru|Webcam</v>
      </c>
    </row>
    <row r="825" spans="1:16" x14ac:dyDescent="0.3">
      <c r="A825" s="15">
        <v>46068</v>
      </c>
      <c r="B825" t="s">
        <v>114</v>
      </c>
      <c r="C825" t="s">
        <v>121</v>
      </c>
      <c r="D825" t="s">
        <v>146</v>
      </c>
      <c r="E825" t="s">
        <v>147</v>
      </c>
      <c r="F825" t="s">
        <v>94</v>
      </c>
      <c r="G825" t="s">
        <v>61</v>
      </c>
      <c r="H825" t="s">
        <v>173</v>
      </c>
      <c r="I825" t="s">
        <v>348</v>
      </c>
      <c r="J825">
        <v>10</v>
      </c>
      <c r="K825" s="16">
        <v>756600</v>
      </c>
      <c r="L825" s="16">
        <v>594023.76</v>
      </c>
      <c r="M825" s="16">
        <v>162576.24</v>
      </c>
      <c r="N825" t="s">
        <v>112</v>
      </c>
      <c r="O825" t="s">
        <v>113</v>
      </c>
      <c r="P825" t="str">
        <f t="shared" si="12"/>
        <v>Guwahati|Laptop Pro</v>
      </c>
    </row>
    <row r="826" spans="1:16" x14ac:dyDescent="0.3">
      <c r="A826" s="15">
        <v>46162</v>
      </c>
      <c r="B826" t="s">
        <v>34</v>
      </c>
      <c r="C826" t="s">
        <v>152</v>
      </c>
      <c r="D826" t="s">
        <v>156</v>
      </c>
      <c r="E826" t="s">
        <v>238</v>
      </c>
      <c r="F826" t="s">
        <v>96</v>
      </c>
      <c r="G826" t="s">
        <v>80</v>
      </c>
      <c r="H826" t="s">
        <v>133</v>
      </c>
      <c r="I826" t="s">
        <v>212</v>
      </c>
      <c r="J826">
        <v>7</v>
      </c>
      <c r="K826" s="16">
        <v>77000</v>
      </c>
      <c r="L826" s="16">
        <v>48909.09</v>
      </c>
      <c r="M826" s="16">
        <v>28090.91</v>
      </c>
      <c r="N826" t="s">
        <v>141</v>
      </c>
      <c r="O826" t="s">
        <v>113</v>
      </c>
      <c r="P826" t="str">
        <f t="shared" si="12"/>
        <v>Bengaluru|Office Chair</v>
      </c>
    </row>
    <row r="827" spans="1:16" x14ac:dyDescent="0.3">
      <c r="A827" s="15">
        <v>46048</v>
      </c>
      <c r="B827" t="s">
        <v>34</v>
      </c>
      <c r="C827" t="s">
        <v>107</v>
      </c>
      <c r="D827" t="s">
        <v>115</v>
      </c>
      <c r="E827" t="s">
        <v>116</v>
      </c>
      <c r="F827" t="s">
        <v>96</v>
      </c>
      <c r="G827" t="s">
        <v>83</v>
      </c>
      <c r="H827" t="s">
        <v>129</v>
      </c>
      <c r="I827" t="s">
        <v>198</v>
      </c>
      <c r="J827">
        <v>16</v>
      </c>
      <c r="K827" s="16">
        <v>576000</v>
      </c>
      <c r="L827" s="16">
        <v>367720.81</v>
      </c>
      <c r="M827" s="16">
        <v>208279.19</v>
      </c>
      <c r="N827" t="s">
        <v>141</v>
      </c>
      <c r="O827" t="s">
        <v>113</v>
      </c>
      <c r="P827" t="str">
        <f t="shared" si="12"/>
        <v>Ahmedabad|Meeting Table</v>
      </c>
    </row>
    <row r="828" spans="1:16" x14ac:dyDescent="0.3">
      <c r="A828" s="15">
        <v>46223</v>
      </c>
      <c r="B828" t="s">
        <v>34</v>
      </c>
      <c r="C828" t="s">
        <v>107</v>
      </c>
      <c r="D828" t="s">
        <v>115</v>
      </c>
      <c r="E828" t="s">
        <v>191</v>
      </c>
      <c r="F828" t="s">
        <v>94</v>
      </c>
      <c r="G828" t="s">
        <v>70</v>
      </c>
      <c r="H828" t="s">
        <v>117</v>
      </c>
      <c r="I828" t="s">
        <v>395</v>
      </c>
      <c r="J828">
        <v>18</v>
      </c>
      <c r="K828" s="16">
        <v>270630</v>
      </c>
      <c r="L828" s="16">
        <v>211849.46</v>
      </c>
      <c r="M828" s="16">
        <v>58780.54</v>
      </c>
      <c r="N828" t="s">
        <v>112</v>
      </c>
      <c r="O828" t="s">
        <v>113</v>
      </c>
      <c r="P828" t="str">
        <f t="shared" si="12"/>
        <v>Surat|Printer Pro</v>
      </c>
    </row>
    <row r="829" spans="1:16" x14ac:dyDescent="0.3">
      <c r="A829" s="15">
        <v>46159</v>
      </c>
      <c r="B829" t="s">
        <v>120</v>
      </c>
      <c r="C829" t="s">
        <v>152</v>
      </c>
      <c r="D829" t="s">
        <v>187</v>
      </c>
      <c r="E829" t="s">
        <v>199</v>
      </c>
      <c r="F829" t="s">
        <v>97</v>
      </c>
      <c r="G829" t="s">
        <v>86</v>
      </c>
      <c r="H829" t="s">
        <v>133</v>
      </c>
      <c r="I829" t="s">
        <v>227</v>
      </c>
      <c r="J829">
        <v>1</v>
      </c>
      <c r="K829" s="16">
        <v>6500</v>
      </c>
      <c r="L829" s="16">
        <v>4595.49</v>
      </c>
      <c r="M829" s="16">
        <v>1904.51</v>
      </c>
      <c r="N829" t="s">
        <v>125</v>
      </c>
      <c r="O829" t="s">
        <v>142</v>
      </c>
      <c r="P829" t="str">
        <f t="shared" si="12"/>
        <v>Hyderabad|Coffee Maker</v>
      </c>
    </row>
    <row r="830" spans="1:16" x14ac:dyDescent="0.3">
      <c r="A830" s="15">
        <v>46035</v>
      </c>
      <c r="B830" t="s">
        <v>34</v>
      </c>
      <c r="C830" t="s">
        <v>152</v>
      </c>
      <c r="D830" t="s">
        <v>187</v>
      </c>
      <c r="E830" t="s">
        <v>199</v>
      </c>
      <c r="F830" t="s">
        <v>95</v>
      </c>
      <c r="G830" t="s">
        <v>74</v>
      </c>
      <c r="H830" t="s">
        <v>117</v>
      </c>
      <c r="I830" t="s">
        <v>286</v>
      </c>
      <c r="J830">
        <v>16</v>
      </c>
      <c r="K830" s="16">
        <v>74496</v>
      </c>
      <c r="L830" s="16">
        <v>54434.14</v>
      </c>
      <c r="M830" s="16">
        <v>20061.86</v>
      </c>
      <c r="N830" t="s">
        <v>125</v>
      </c>
      <c r="O830" t="s">
        <v>119</v>
      </c>
      <c r="P830" t="str">
        <f t="shared" si="12"/>
        <v>Hyderabad|Headset</v>
      </c>
    </row>
    <row r="831" spans="1:16" x14ac:dyDescent="0.3">
      <c r="A831" s="15">
        <v>46028</v>
      </c>
      <c r="B831" t="s">
        <v>34</v>
      </c>
      <c r="C831" t="s">
        <v>126</v>
      </c>
      <c r="D831" t="s">
        <v>162</v>
      </c>
      <c r="E831" t="s">
        <v>204</v>
      </c>
      <c r="F831" t="s">
        <v>96</v>
      </c>
      <c r="G831" t="s">
        <v>80</v>
      </c>
      <c r="H831" t="s">
        <v>129</v>
      </c>
      <c r="I831" t="s">
        <v>218</v>
      </c>
      <c r="J831">
        <v>17</v>
      </c>
      <c r="K831" s="16">
        <v>212500</v>
      </c>
      <c r="L831" s="16">
        <v>146365.71</v>
      </c>
      <c r="M831" s="16">
        <v>66134.289999999994</v>
      </c>
      <c r="N831" t="s">
        <v>125</v>
      </c>
      <c r="O831" t="s">
        <v>113</v>
      </c>
      <c r="P831" t="str">
        <f t="shared" si="12"/>
        <v>Noida|Office Chair</v>
      </c>
    </row>
    <row r="832" spans="1:16" x14ac:dyDescent="0.3">
      <c r="A832" s="15">
        <v>46055</v>
      </c>
      <c r="B832" t="s">
        <v>34</v>
      </c>
      <c r="C832" t="s">
        <v>121</v>
      </c>
      <c r="D832" t="s">
        <v>137</v>
      </c>
      <c r="E832" t="s">
        <v>171</v>
      </c>
      <c r="F832" t="s">
        <v>97</v>
      </c>
      <c r="G832" t="s">
        <v>88</v>
      </c>
      <c r="H832" t="s">
        <v>135</v>
      </c>
      <c r="I832" t="s">
        <v>358</v>
      </c>
      <c r="J832">
        <v>8</v>
      </c>
      <c r="K832" s="16">
        <v>112520</v>
      </c>
      <c r="L832" s="16">
        <v>84290.23</v>
      </c>
      <c r="M832" s="16">
        <v>28229.77</v>
      </c>
      <c r="N832" t="s">
        <v>125</v>
      </c>
      <c r="O832" t="s">
        <v>113</v>
      </c>
      <c r="P832" t="str">
        <f t="shared" si="12"/>
        <v>Bhubaneswar|Vacuum Cleaner</v>
      </c>
    </row>
    <row r="833" spans="1:16" x14ac:dyDescent="0.3">
      <c r="A833" s="15">
        <v>46234</v>
      </c>
      <c r="B833" t="s">
        <v>114</v>
      </c>
      <c r="C833" t="s">
        <v>121</v>
      </c>
      <c r="D833" t="s">
        <v>146</v>
      </c>
      <c r="E833" t="s">
        <v>175</v>
      </c>
      <c r="F833" t="s">
        <v>94</v>
      </c>
      <c r="G833" t="s">
        <v>67</v>
      </c>
      <c r="H833" t="s">
        <v>133</v>
      </c>
      <c r="I833" t="s">
        <v>287</v>
      </c>
      <c r="J833">
        <v>20</v>
      </c>
      <c r="K833" s="16">
        <v>580800</v>
      </c>
      <c r="L833" s="16">
        <v>471385.61</v>
      </c>
      <c r="M833" s="16">
        <v>109414.39</v>
      </c>
      <c r="N833" t="s">
        <v>112</v>
      </c>
      <c r="O833" t="s">
        <v>142</v>
      </c>
      <c r="P833" t="str">
        <f t="shared" si="12"/>
        <v>Dibrugarh|Tablet X</v>
      </c>
    </row>
    <row r="834" spans="1:16" x14ac:dyDescent="0.3">
      <c r="A834" s="15">
        <v>46145</v>
      </c>
      <c r="B834" t="s">
        <v>114</v>
      </c>
      <c r="C834" t="s">
        <v>121</v>
      </c>
      <c r="D834" t="s">
        <v>137</v>
      </c>
      <c r="E834" t="s">
        <v>171</v>
      </c>
      <c r="F834" t="s">
        <v>94</v>
      </c>
      <c r="G834" t="s">
        <v>61</v>
      </c>
      <c r="H834" t="s">
        <v>110</v>
      </c>
      <c r="I834" t="s">
        <v>269</v>
      </c>
      <c r="J834">
        <v>17</v>
      </c>
      <c r="K834" s="16">
        <v>1326000</v>
      </c>
      <c r="L834" s="16">
        <v>992465.04</v>
      </c>
      <c r="M834" s="16">
        <v>333534.96000000002</v>
      </c>
      <c r="N834" t="s">
        <v>131</v>
      </c>
      <c r="O834" t="s">
        <v>113</v>
      </c>
      <c r="P834" t="str">
        <f t="shared" si="12"/>
        <v>Bhubaneswar|Laptop Pro</v>
      </c>
    </row>
    <row r="835" spans="1:16" x14ac:dyDescent="0.3">
      <c r="A835" s="15">
        <v>46167</v>
      </c>
      <c r="B835" t="s">
        <v>34</v>
      </c>
      <c r="C835" t="s">
        <v>126</v>
      </c>
      <c r="D835" t="s">
        <v>196</v>
      </c>
      <c r="E835" t="s">
        <v>208</v>
      </c>
      <c r="F835" t="s">
        <v>95</v>
      </c>
      <c r="G835" t="s">
        <v>78</v>
      </c>
      <c r="H835" t="s">
        <v>129</v>
      </c>
      <c r="I835" t="s">
        <v>170</v>
      </c>
      <c r="J835">
        <v>15</v>
      </c>
      <c r="K835" s="16">
        <v>63000</v>
      </c>
      <c r="L835" s="16">
        <v>39862.959999999999</v>
      </c>
      <c r="M835" s="16">
        <v>23137.040000000001</v>
      </c>
      <c r="N835" t="s">
        <v>112</v>
      </c>
      <c r="O835" t="s">
        <v>113</v>
      </c>
      <c r="P835" t="str">
        <f t="shared" si="12"/>
        <v>New Delhi|Webcam</v>
      </c>
    </row>
    <row r="836" spans="1:16" x14ac:dyDescent="0.3">
      <c r="A836" s="15">
        <v>46041</v>
      </c>
      <c r="B836" t="s">
        <v>114</v>
      </c>
      <c r="C836" t="s">
        <v>107</v>
      </c>
      <c r="D836" t="s">
        <v>108</v>
      </c>
      <c r="E836" t="s">
        <v>132</v>
      </c>
      <c r="F836" t="s">
        <v>95</v>
      </c>
      <c r="G836" t="s">
        <v>78</v>
      </c>
      <c r="H836" t="s">
        <v>135</v>
      </c>
      <c r="I836" t="s">
        <v>302</v>
      </c>
      <c r="J836">
        <v>13</v>
      </c>
      <c r="K836" s="16">
        <v>54600</v>
      </c>
      <c r="L836" s="16">
        <v>40621.47</v>
      </c>
      <c r="M836" s="16">
        <v>13978.53</v>
      </c>
      <c r="N836" t="s">
        <v>131</v>
      </c>
      <c r="O836" t="s">
        <v>142</v>
      </c>
      <c r="P836" t="str">
        <f t="shared" si="12"/>
        <v>Jaipur|Webcam</v>
      </c>
    </row>
    <row r="837" spans="1:16" x14ac:dyDescent="0.3">
      <c r="A837" s="15">
        <v>46195</v>
      </c>
      <c r="B837" t="s">
        <v>114</v>
      </c>
      <c r="C837" t="s">
        <v>107</v>
      </c>
      <c r="D837" t="s">
        <v>149</v>
      </c>
      <c r="E837" t="s">
        <v>159</v>
      </c>
      <c r="F837" t="s">
        <v>94</v>
      </c>
      <c r="G837" t="s">
        <v>64</v>
      </c>
      <c r="H837" t="s">
        <v>117</v>
      </c>
      <c r="I837" t="s">
        <v>223</v>
      </c>
      <c r="J837">
        <v>14</v>
      </c>
      <c r="K837" s="16">
        <v>258720</v>
      </c>
      <c r="L837" s="16">
        <v>191852.46</v>
      </c>
      <c r="M837" s="16">
        <v>66867.539999999994</v>
      </c>
      <c r="N837" t="s">
        <v>125</v>
      </c>
      <c r="O837" t="s">
        <v>113</v>
      </c>
      <c r="P837" t="str">
        <f t="shared" ref="P837:P900" si="13">E837&amp;"|"&amp;G837</f>
        <v>Pune|Monitor 27</v>
      </c>
    </row>
    <row r="838" spans="1:16" x14ac:dyDescent="0.3">
      <c r="A838" s="15">
        <v>46236</v>
      </c>
      <c r="B838" t="s">
        <v>34</v>
      </c>
      <c r="C838" t="s">
        <v>152</v>
      </c>
      <c r="D838" t="s">
        <v>187</v>
      </c>
      <c r="E838" t="s">
        <v>199</v>
      </c>
      <c r="F838" t="s">
        <v>95</v>
      </c>
      <c r="G838" t="s">
        <v>76</v>
      </c>
      <c r="H838" t="s">
        <v>133</v>
      </c>
      <c r="I838" t="s">
        <v>315</v>
      </c>
      <c r="J838">
        <v>18</v>
      </c>
      <c r="K838" s="16">
        <v>32400</v>
      </c>
      <c r="L838" s="16">
        <v>20101.439999999999</v>
      </c>
      <c r="M838" s="16">
        <v>12298.56</v>
      </c>
      <c r="N838" t="s">
        <v>131</v>
      </c>
      <c r="O838" t="s">
        <v>119</v>
      </c>
      <c r="P838" t="str">
        <f t="shared" si="13"/>
        <v>Hyderabad|Mouse</v>
      </c>
    </row>
    <row r="839" spans="1:16" x14ac:dyDescent="0.3">
      <c r="A839" s="15">
        <v>46199</v>
      </c>
      <c r="B839" t="s">
        <v>34</v>
      </c>
      <c r="C839" t="s">
        <v>126</v>
      </c>
      <c r="D839" t="s">
        <v>127</v>
      </c>
      <c r="E839" t="s">
        <v>128</v>
      </c>
      <c r="F839" t="s">
        <v>97</v>
      </c>
      <c r="G839" t="s">
        <v>87</v>
      </c>
      <c r="H839" t="s">
        <v>117</v>
      </c>
      <c r="I839" t="s">
        <v>305</v>
      </c>
      <c r="J839">
        <v>10</v>
      </c>
      <c r="K839" s="16">
        <v>125000</v>
      </c>
      <c r="L839" s="16">
        <v>97736.77</v>
      </c>
      <c r="M839" s="16">
        <v>27263.23</v>
      </c>
      <c r="N839" t="s">
        <v>131</v>
      </c>
      <c r="O839" t="s">
        <v>142</v>
      </c>
      <c r="P839" t="str">
        <f t="shared" si="13"/>
        <v>Gurugram|Microwave</v>
      </c>
    </row>
    <row r="840" spans="1:16" x14ac:dyDescent="0.3">
      <c r="A840" s="15">
        <v>46216</v>
      </c>
      <c r="B840" t="s">
        <v>34</v>
      </c>
      <c r="C840" t="s">
        <v>126</v>
      </c>
      <c r="D840" t="s">
        <v>196</v>
      </c>
      <c r="E840" t="s">
        <v>208</v>
      </c>
      <c r="F840" t="s">
        <v>96</v>
      </c>
      <c r="G840" t="s">
        <v>80</v>
      </c>
      <c r="H840" t="s">
        <v>129</v>
      </c>
      <c r="I840" t="s">
        <v>211</v>
      </c>
      <c r="J840">
        <v>7</v>
      </c>
      <c r="K840" s="16">
        <v>87500</v>
      </c>
      <c r="L840" s="16">
        <v>67344.179999999993</v>
      </c>
      <c r="M840" s="16">
        <v>20155.82</v>
      </c>
      <c r="N840" t="s">
        <v>112</v>
      </c>
      <c r="O840" t="s">
        <v>113</v>
      </c>
      <c r="P840" t="str">
        <f t="shared" si="13"/>
        <v>New Delhi|Office Chair</v>
      </c>
    </row>
    <row r="841" spans="1:16" x14ac:dyDescent="0.3">
      <c r="A841" s="15">
        <v>46092</v>
      </c>
      <c r="B841" t="s">
        <v>34</v>
      </c>
      <c r="C841" t="s">
        <v>121</v>
      </c>
      <c r="D841" t="s">
        <v>137</v>
      </c>
      <c r="E841" t="s">
        <v>171</v>
      </c>
      <c r="F841" t="s">
        <v>97</v>
      </c>
      <c r="G841" t="s">
        <v>88</v>
      </c>
      <c r="H841" t="s">
        <v>117</v>
      </c>
      <c r="I841" t="s">
        <v>341</v>
      </c>
      <c r="J841">
        <v>20</v>
      </c>
      <c r="K841" s="16">
        <v>290000</v>
      </c>
      <c r="L841" s="16">
        <v>193877.48</v>
      </c>
      <c r="M841" s="16">
        <v>96122.52</v>
      </c>
      <c r="N841" t="s">
        <v>125</v>
      </c>
      <c r="O841" t="s">
        <v>142</v>
      </c>
      <c r="P841" t="str">
        <f t="shared" si="13"/>
        <v>Bhubaneswar|Vacuum Cleaner</v>
      </c>
    </row>
    <row r="842" spans="1:16" x14ac:dyDescent="0.3">
      <c r="A842" s="15">
        <v>46037</v>
      </c>
      <c r="B842" t="s">
        <v>120</v>
      </c>
      <c r="C842" t="s">
        <v>152</v>
      </c>
      <c r="D842" t="s">
        <v>187</v>
      </c>
      <c r="E842" t="s">
        <v>188</v>
      </c>
      <c r="F842" t="s">
        <v>97</v>
      </c>
      <c r="G842" t="s">
        <v>85</v>
      </c>
      <c r="H842" t="s">
        <v>184</v>
      </c>
      <c r="I842" t="s">
        <v>227</v>
      </c>
      <c r="J842">
        <v>1</v>
      </c>
      <c r="K842" s="16">
        <v>18000</v>
      </c>
      <c r="L842" s="16">
        <v>12802.15</v>
      </c>
      <c r="M842" s="16">
        <v>5197.8500000000004</v>
      </c>
      <c r="N842" t="s">
        <v>131</v>
      </c>
      <c r="O842" t="s">
        <v>113</v>
      </c>
      <c r="P842" t="str">
        <f t="shared" si="13"/>
        <v>Warangal|Air Purifier</v>
      </c>
    </row>
    <row r="843" spans="1:16" x14ac:dyDescent="0.3">
      <c r="A843" s="15">
        <v>46203</v>
      </c>
      <c r="B843" t="s">
        <v>34</v>
      </c>
      <c r="C843" t="s">
        <v>121</v>
      </c>
      <c r="D843" t="s">
        <v>146</v>
      </c>
      <c r="E843" t="s">
        <v>175</v>
      </c>
      <c r="F843" t="s">
        <v>95</v>
      </c>
      <c r="G843" t="s">
        <v>74</v>
      </c>
      <c r="H843" t="s">
        <v>184</v>
      </c>
      <c r="I843" t="s">
        <v>267</v>
      </c>
      <c r="J843">
        <v>6</v>
      </c>
      <c r="K843" s="16">
        <v>27936</v>
      </c>
      <c r="L843" s="16">
        <v>19954.419999999998</v>
      </c>
      <c r="M843" s="16">
        <v>7981.58</v>
      </c>
      <c r="N843" t="s">
        <v>112</v>
      </c>
      <c r="O843" t="s">
        <v>142</v>
      </c>
      <c r="P843" t="str">
        <f t="shared" si="13"/>
        <v>Dibrugarh|Headset</v>
      </c>
    </row>
    <row r="844" spans="1:16" x14ac:dyDescent="0.3">
      <c r="A844" s="15">
        <v>46158</v>
      </c>
      <c r="B844" t="s">
        <v>120</v>
      </c>
      <c r="C844" t="s">
        <v>107</v>
      </c>
      <c r="D844" t="s">
        <v>149</v>
      </c>
      <c r="E844" t="s">
        <v>159</v>
      </c>
      <c r="F844" t="s">
        <v>96</v>
      </c>
      <c r="G844" t="s">
        <v>82</v>
      </c>
      <c r="H844" t="s">
        <v>117</v>
      </c>
      <c r="I844" t="s">
        <v>136</v>
      </c>
      <c r="J844">
        <v>5</v>
      </c>
      <c r="K844" s="16">
        <v>142500</v>
      </c>
      <c r="L844" s="16">
        <v>106735.09</v>
      </c>
      <c r="M844" s="16">
        <v>35764.910000000003</v>
      </c>
      <c r="N844" t="s">
        <v>125</v>
      </c>
      <c r="O844" t="s">
        <v>113</v>
      </c>
      <c r="P844" t="str">
        <f t="shared" si="13"/>
        <v>Pune|Standing Desk</v>
      </c>
    </row>
    <row r="845" spans="1:16" x14ac:dyDescent="0.3">
      <c r="A845" s="15">
        <v>46230</v>
      </c>
      <c r="B845" t="s">
        <v>34</v>
      </c>
      <c r="C845" t="s">
        <v>126</v>
      </c>
      <c r="D845" t="s">
        <v>127</v>
      </c>
      <c r="E845" t="s">
        <v>143</v>
      </c>
      <c r="F845" t="s">
        <v>94</v>
      </c>
      <c r="G845" t="s">
        <v>67</v>
      </c>
      <c r="H845" t="s">
        <v>117</v>
      </c>
      <c r="I845" t="s">
        <v>355</v>
      </c>
      <c r="J845">
        <v>5</v>
      </c>
      <c r="K845" s="16">
        <v>145200</v>
      </c>
      <c r="L845" s="16">
        <v>114157.1</v>
      </c>
      <c r="M845" s="16">
        <v>31042.9</v>
      </c>
      <c r="N845" t="s">
        <v>112</v>
      </c>
      <c r="O845" t="s">
        <v>142</v>
      </c>
      <c r="P845" t="str">
        <f t="shared" si="13"/>
        <v>Faridabad|Tablet X</v>
      </c>
    </row>
    <row r="846" spans="1:16" x14ac:dyDescent="0.3">
      <c r="A846" s="15">
        <v>46157</v>
      </c>
      <c r="B846" t="s">
        <v>34</v>
      </c>
      <c r="C846" t="s">
        <v>121</v>
      </c>
      <c r="D846" t="s">
        <v>146</v>
      </c>
      <c r="E846" t="s">
        <v>175</v>
      </c>
      <c r="F846" t="s">
        <v>96</v>
      </c>
      <c r="G846" t="s">
        <v>80</v>
      </c>
      <c r="H846" t="s">
        <v>110</v>
      </c>
      <c r="I846" t="s">
        <v>118</v>
      </c>
      <c r="J846">
        <v>7</v>
      </c>
      <c r="K846" s="16">
        <v>87500</v>
      </c>
      <c r="L846" s="16">
        <v>64812.33</v>
      </c>
      <c r="M846" s="16">
        <v>22687.67</v>
      </c>
      <c r="N846" t="s">
        <v>125</v>
      </c>
      <c r="O846" t="s">
        <v>113</v>
      </c>
      <c r="P846" t="str">
        <f t="shared" si="13"/>
        <v>Dibrugarh|Office Chair</v>
      </c>
    </row>
    <row r="847" spans="1:16" x14ac:dyDescent="0.3">
      <c r="A847" s="15">
        <v>46165</v>
      </c>
      <c r="B847" t="s">
        <v>34</v>
      </c>
      <c r="C847" t="s">
        <v>121</v>
      </c>
      <c r="D847" t="s">
        <v>146</v>
      </c>
      <c r="E847" t="s">
        <v>147</v>
      </c>
      <c r="F847" t="s">
        <v>94</v>
      </c>
      <c r="G847" t="s">
        <v>67</v>
      </c>
      <c r="H847" t="s">
        <v>184</v>
      </c>
      <c r="I847" t="s">
        <v>144</v>
      </c>
      <c r="J847">
        <v>10</v>
      </c>
      <c r="K847" s="16">
        <v>290400</v>
      </c>
      <c r="L847" s="16">
        <v>215718</v>
      </c>
      <c r="M847" s="16">
        <v>74682</v>
      </c>
      <c r="N847" t="s">
        <v>131</v>
      </c>
      <c r="O847" t="s">
        <v>142</v>
      </c>
      <c r="P847" t="str">
        <f t="shared" si="13"/>
        <v>Guwahati|Tablet X</v>
      </c>
    </row>
    <row r="848" spans="1:16" x14ac:dyDescent="0.3">
      <c r="A848" s="15">
        <v>46171</v>
      </c>
      <c r="B848" t="s">
        <v>120</v>
      </c>
      <c r="C848" t="s">
        <v>107</v>
      </c>
      <c r="D848" t="s">
        <v>149</v>
      </c>
      <c r="E848" t="s">
        <v>159</v>
      </c>
      <c r="F848" t="s">
        <v>95</v>
      </c>
      <c r="G848" t="s">
        <v>78</v>
      </c>
      <c r="H848" t="s">
        <v>135</v>
      </c>
      <c r="I848" t="s">
        <v>227</v>
      </c>
      <c r="J848">
        <v>19</v>
      </c>
      <c r="K848" s="16">
        <v>79800</v>
      </c>
      <c r="L848" s="16">
        <v>50551.47</v>
      </c>
      <c r="M848" s="16">
        <v>29248.53</v>
      </c>
      <c r="N848" t="s">
        <v>125</v>
      </c>
      <c r="O848" t="s">
        <v>119</v>
      </c>
      <c r="P848" t="str">
        <f t="shared" si="13"/>
        <v>Pune|Webcam</v>
      </c>
    </row>
    <row r="849" spans="1:16" x14ac:dyDescent="0.3">
      <c r="A849" s="15">
        <v>46035</v>
      </c>
      <c r="B849" t="s">
        <v>34</v>
      </c>
      <c r="C849" t="s">
        <v>107</v>
      </c>
      <c r="D849" t="s">
        <v>149</v>
      </c>
      <c r="E849" t="s">
        <v>159</v>
      </c>
      <c r="F849" t="s">
        <v>95</v>
      </c>
      <c r="G849" t="s">
        <v>78</v>
      </c>
      <c r="H849" t="s">
        <v>133</v>
      </c>
      <c r="I849" t="s">
        <v>401</v>
      </c>
      <c r="J849">
        <v>13</v>
      </c>
      <c r="K849" s="16">
        <v>54600</v>
      </c>
      <c r="L849" s="16">
        <v>41258.46</v>
      </c>
      <c r="M849" s="16">
        <v>13341.54</v>
      </c>
      <c r="N849" t="s">
        <v>131</v>
      </c>
      <c r="O849" t="s">
        <v>142</v>
      </c>
      <c r="P849" t="str">
        <f t="shared" si="13"/>
        <v>Pune|Webcam</v>
      </c>
    </row>
    <row r="850" spans="1:16" x14ac:dyDescent="0.3">
      <c r="A850" s="15">
        <v>46228</v>
      </c>
      <c r="B850" t="s">
        <v>34</v>
      </c>
      <c r="C850" t="s">
        <v>126</v>
      </c>
      <c r="D850" t="s">
        <v>127</v>
      </c>
      <c r="E850" t="s">
        <v>128</v>
      </c>
      <c r="F850" t="s">
        <v>96</v>
      </c>
      <c r="G850" t="s">
        <v>84</v>
      </c>
      <c r="H850" t="s">
        <v>129</v>
      </c>
      <c r="I850" t="s">
        <v>194</v>
      </c>
      <c r="J850">
        <v>17</v>
      </c>
      <c r="K850" s="16">
        <v>246500</v>
      </c>
      <c r="L850" s="16">
        <v>193766.23</v>
      </c>
      <c r="M850" s="16">
        <v>52733.77</v>
      </c>
      <c r="N850" t="s">
        <v>141</v>
      </c>
      <c r="O850" t="s">
        <v>119</v>
      </c>
      <c r="P850" t="str">
        <f t="shared" si="13"/>
        <v>Gurugram|Filing Cabinet</v>
      </c>
    </row>
    <row r="851" spans="1:16" x14ac:dyDescent="0.3">
      <c r="A851" s="15">
        <v>46034</v>
      </c>
      <c r="B851" t="s">
        <v>34</v>
      </c>
      <c r="C851" t="s">
        <v>152</v>
      </c>
      <c r="D851" t="s">
        <v>156</v>
      </c>
      <c r="E851" t="s">
        <v>157</v>
      </c>
      <c r="F851" t="s">
        <v>97</v>
      </c>
      <c r="G851" t="s">
        <v>85</v>
      </c>
      <c r="H851" t="s">
        <v>173</v>
      </c>
      <c r="I851" t="s">
        <v>351</v>
      </c>
      <c r="J851">
        <v>9</v>
      </c>
      <c r="K851" s="16">
        <v>162000</v>
      </c>
      <c r="L851" s="16">
        <v>129560.36</v>
      </c>
      <c r="M851" s="16">
        <v>32439.64</v>
      </c>
      <c r="N851" t="s">
        <v>141</v>
      </c>
      <c r="O851" t="s">
        <v>113</v>
      </c>
      <c r="P851" t="str">
        <f t="shared" si="13"/>
        <v>Mysuru|Air Purifier</v>
      </c>
    </row>
    <row r="852" spans="1:16" x14ac:dyDescent="0.3">
      <c r="A852" s="15">
        <v>46193</v>
      </c>
      <c r="B852" t="s">
        <v>120</v>
      </c>
      <c r="C852" t="s">
        <v>121</v>
      </c>
      <c r="D852" t="s">
        <v>122</v>
      </c>
      <c r="E852" t="s">
        <v>123</v>
      </c>
      <c r="F852" t="s">
        <v>96</v>
      </c>
      <c r="G852" t="s">
        <v>80</v>
      </c>
      <c r="H852" t="s">
        <v>135</v>
      </c>
      <c r="I852" t="s">
        <v>268</v>
      </c>
      <c r="J852">
        <v>18</v>
      </c>
      <c r="K852" s="16">
        <v>213750</v>
      </c>
      <c r="L852" s="16">
        <v>168966.71</v>
      </c>
      <c r="M852" s="16">
        <v>44783.29</v>
      </c>
      <c r="N852" t="s">
        <v>112</v>
      </c>
      <c r="O852" t="s">
        <v>113</v>
      </c>
      <c r="P852" t="str">
        <f t="shared" si="13"/>
        <v>Durgapur|Office Chair</v>
      </c>
    </row>
    <row r="853" spans="1:16" x14ac:dyDescent="0.3">
      <c r="A853" s="15">
        <v>46086</v>
      </c>
      <c r="B853" t="s">
        <v>34</v>
      </c>
      <c r="C853" t="s">
        <v>121</v>
      </c>
      <c r="D853" t="s">
        <v>146</v>
      </c>
      <c r="E853" t="s">
        <v>147</v>
      </c>
      <c r="F853" t="s">
        <v>95</v>
      </c>
      <c r="G853" t="s">
        <v>78</v>
      </c>
      <c r="H853" t="s">
        <v>129</v>
      </c>
      <c r="I853" t="s">
        <v>402</v>
      </c>
      <c r="J853">
        <v>3</v>
      </c>
      <c r="K853" s="16">
        <v>11970</v>
      </c>
      <c r="L853" s="16">
        <v>9338.23</v>
      </c>
      <c r="M853" s="16">
        <v>2631.77</v>
      </c>
      <c r="N853" t="s">
        <v>125</v>
      </c>
      <c r="O853" t="s">
        <v>113</v>
      </c>
      <c r="P853" t="str">
        <f t="shared" si="13"/>
        <v>Guwahati|Webcam</v>
      </c>
    </row>
    <row r="854" spans="1:16" x14ac:dyDescent="0.3">
      <c r="A854" s="15">
        <v>46217</v>
      </c>
      <c r="B854" t="s">
        <v>34</v>
      </c>
      <c r="C854" t="s">
        <v>107</v>
      </c>
      <c r="D854" t="s">
        <v>115</v>
      </c>
      <c r="E854" t="s">
        <v>116</v>
      </c>
      <c r="F854" t="s">
        <v>96</v>
      </c>
      <c r="G854" t="s">
        <v>80</v>
      </c>
      <c r="H854" t="s">
        <v>135</v>
      </c>
      <c r="I854" t="s">
        <v>291</v>
      </c>
      <c r="J854">
        <v>19</v>
      </c>
      <c r="K854" s="16">
        <v>237500</v>
      </c>
      <c r="L854" s="16">
        <v>150689.23000000001</v>
      </c>
      <c r="M854" s="16">
        <v>86810.77</v>
      </c>
      <c r="N854" t="s">
        <v>141</v>
      </c>
      <c r="O854" t="s">
        <v>113</v>
      </c>
      <c r="P854" t="str">
        <f t="shared" si="13"/>
        <v>Ahmedabad|Office Chair</v>
      </c>
    </row>
    <row r="855" spans="1:16" x14ac:dyDescent="0.3">
      <c r="A855" s="15">
        <v>46101</v>
      </c>
      <c r="B855" t="s">
        <v>120</v>
      </c>
      <c r="C855" t="s">
        <v>152</v>
      </c>
      <c r="D855" t="s">
        <v>156</v>
      </c>
      <c r="E855" t="s">
        <v>157</v>
      </c>
      <c r="F855" t="s">
        <v>96</v>
      </c>
      <c r="G855" t="s">
        <v>80</v>
      </c>
      <c r="H855" t="s">
        <v>133</v>
      </c>
      <c r="I855" t="s">
        <v>382</v>
      </c>
      <c r="J855">
        <v>19</v>
      </c>
      <c r="K855" s="16">
        <v>225625</v>
      </c>
      <c r="L855" s="16">
        <v>150891.1</v>
      </c>
      <c r="M855" s="16">
        <v>74733.899999999994</v>
      </c>
      <c r="N855" t="s">
        <v>141</v>
      </c>
      <c r="O855" t="s">
        <v>113</v>
      </c>
      <c r="P855" t="str">
        <f t="shared" si="13"/>
        <v>Mysuru|Office Chair</v>
      </c>
    </row>
    <row r="856" spans="1:16" x14ac:dyDescent="0.3">
      <c r="A856" s="15">
        <v>46201</v>
      </c>
      <c r="B856" t="s">
        <v>120</v>
      </c>
      <c r="C856" t="s">
        <v>126</v>
      </c>
      <c r="D856" t="s">
        <v>162</v>
      </c>
      <c r="E856" t="s">
        <v>163</v>
      </c>
      <c r="F856" t="s">
        <v>96</v>
      </c>
      <c r="G856" t="s">
        <v>82</v>
      </c>
      <c r="H856" t="s">
        <v>139</v>
      </c>
      <c r="I856" t="s">
        <v>185</v>
      </c>
      <c r="J856">
        <v>19</v>
      </c>
      <c r="K856" s="16">
        <v>525255</v>
      </c>
      <c r="L856" s="16">
        <v>331219.09000000003</v>
      </c>
      <c r="M856" s="16">
        <v>194035.91</v>
      </c>
      <c r="N856" t="s">
        <v>131</v>
      </c>
      <c r="O856" t="s">
        <v>113</v>
      </c>
      <c r="P856" t="str">
        <f t="shared" si="13"/>
        <v>Lucknow|Standing Desk</v>
      </c>
    </row>
    <row r="857" spans="1:16" x14ac:dyDescent="0.3">
      <c r="A857" s="15">
        <v>46066</v>
      </c>
      <c r="B857" t="s">
        <v>34</v>
      </c>
      <c r="C857" t="s">
        <v>107</v>
      </c>
      <c r="D857" t="s">
        <v>149</v>
      </c>
      <c r="E857" t="s">
        <v>150</v>
      </c>
      <c r="F857" t="s">
        <v>96</v>
      </c>
      <c r="G857" t="s">
        <v>84</v>
      </c>
      <c r="H857" t="s">
        <v>184</v>
      </c>
      <c r="I857" t="s">
        <v>282</v>
      </c>
      <c r="J857">
        <v>12</v>
      </c>
      <c r="K857" s="16">
        <v>165300</v>
      </c>
      <c r="L857" s="16">
        <v>103384.05</v>
      </c>
      <c r="M857" s="16">
        <v>61915.95</v>
      </c>
      <c r="N857" t="s">
        <v>125</v>
      </c>
      <c r="O857" t="s">
        <v>113</v>
      </c>
      <c r="P857" t="str">
        <f t="shared" si="13"/>
        <v>Mumbai|Filing Cabinet</v>
      </c>
    </row>
    <row r="858" spans="1:16" x14ac:dyDescent="0.3">
      <c r="A858" s="15">
        <v>46049</v>
      </c>
      <c r="B858" t="s">
        <v>34</v>
      </c>
      <c r="C858" t="s">
        <v>121</v>
      </c>
      <c r="D858" t="s">
        <v>122</v>
      </c>
      <c r="E858" t="s">
        <v>166</v>
      </c>
      <c r="F858" t="s">
        <v>96</v>
      </c>
      <c r="G858" t="s">
        <v>82</v>
      </c>
      <c r="H858" t="s">
        <v>135</v>
      </c>
      <c r="I858" t="s">
        <v>368</v>
      </c>
      <c r="J858">
        <v>6</v>
      </c>
      <c r="K858" s="16">
        <v>171000</v>
      </c>
      <c r="L858" s="16">
        <v>109985.93</v>
      </c>
      <c r="M858" s="16">
        <v>61014.07</v>
      </c>
      <c r="N858" t="s">
        <v>125</v>
      </c>
      <c r="O858" t="s">
        <v>119</v>
      </c>
      <c r="P858" t="str">
        <f t="shared" si="13"/>
        <v>Kolkata|Standing Desk</v>
      </c>
    </row>
    <row r="859" spans="1:16" x14ac:dyDescent="0.3">
      <c r="A859" s="15">
        <v>46026</v>
      </c>
      <c r="B859" t="s">
        <v>34</v>
      </c>
      <c r="C859" t="s">
        <v>126</v>
      </c>
      <c r="D859" t="s">
        <v>196</v>
      </c>
      <c r="E859" t="s">
        <v>197</v>
      </c>
      <c r="F859" t="s">
        <v>94</v>
      </c>
      <c r="G859" t="s">
        <v>67</v>
      </c>
      <c r="H859" t="s">
        <v>133</v>
      </c>
      <c r="I859" t="s">
        <v>289</v>
      </c>
      <c r="J859">
        <v>8</v>
      </c>
      <c r="K859" s="16">
        <v>232320</v>
      </c>
      <c r="L859" s="16">
        <v>182799.64</v>
      </c>
      <c r="M859" s="16">
        <v>49520.36</v>
      </c>
      <c r="N859" t="s">
        <v>141</v>
      </c>
      <c r="O859" t="s">
        <v>113</v>
      </c>
      <c r="P859" t="str">
        <f t="shared" si="13"/>
        <v>Dwarka|Tablet X</v>
      </c>
    </row>
    <row r="860" spans="1:16" x14ac:dyDescent="0.3">
      <c r="A860" s="15">
        <v>46229</v>
      </c>
      <c r="B860" t="s">
        <v>114</v>
      </c>
      <c r="C860" t="s">
        <v>107</v>
      </c>
      <c r="D860" t="s">
        <v>115</v>
      </c>
      <c r="E860" t="s">
        <v>116</v>
      </c>
      <c r="F860" t="s">
        <v>96</v>
      </c>
      <c r="G860" t="s">
        <v>80</v>
      </c>
      <c r="H860" t="s">
        <v>110</v>
      </c>
      <c r="I860" t="s">
        <v>275</v>
      </c>
      <c r="J860">
        <v>4</v>
      </c>
      <c r="K860" s="16">
        <v>44000</v>
      </c>
      <c r="L860" s="16">
        <v>33346.699999999997</v>
      </c>
      <c r="M860" s="16">
        <v>10653.3</v>
      </c>
      <c r="N860" t="s">
        <v>131</v>
      </c>
      <c r="O860" t="s">
        <v>142</v>
      </c>
      <c r="P860" t="str">
        <f t="shared" si="13"/>
        <v>Ahmedabad|Office Chair</v>
      </c>
    </row>
    <row r="861" spans="1:16" x14ac:dyDescent="0.3">
      <c r="A861" s="15">
        <v>46194</v>
      </c>
      <c r="B861" t="s">
        <v>34</v>
      </c>
      <c r="C861" t="s">
        <v>126</v>
      </c>
      <c r="D861" t="s">
        <v>196</v>
      </c>
      <c r="E861" t="s">
        <v>208</v>
      </c>
      <c r="F861" t="s">
        <v>96</v>
      </c>
      <c r="G861" t="s">
        <v>82</v>
      </c>
      <c r="H861" t="s">
        <v>133</v>
      </c>
      <c r="I861" t="s">
        <v>294</v>
      </c>
      <c r="J861">
        <v>11</v>
      </c>
      <c r="K861" s="16">
        <v>313500</v>
      </c>
      <c r="L861" s="16">
        <v>228614.25</v>
      </c>
      <c r="M861" s="16">
        <v>84885.75</v>
      </c>
      <c r="N861" t="s">
        <v>112</v>
      </c>
      <c r="O861" t="s">
        <v>113</v>
      </c>
      <c r="P861" t="str">
        <f t="shared" si="13"/>
        <v>New Delhi|Standing Desk</v>
      </c>
    </row>
    <row r="862" spans="1:16" x14ac:dyDescent="0.3">
      <c r="A862" s="15">
        <v>46196</v>
      </c>
      <c r="B862" t="s">
        <v>34</v>
      </c>
      <c r="C862" t="s">
        <v>107</v>
      </c>
      <c r="D862" t="s">
        <v>115</v>
      </c>
      <c r="E862" t="s">
        <v>116</v>
      </c>
      <c r="F862" t="s">
        <v>97</v>
      </c>
      <c r="G862" t="s">
        <v>85</v>
      </c>
      <c r="H862" t="s">
        <v>129</v>
      </c>
      <c r="I862" t="s">
        <v>241</v>
      </c>
      <c r="J862">
        <v>12</v>
      </c>
      <c r="K862" s="16">
        <v>216000</v>
      </c>
      <c r="L862" s="16">
        <v>146724.73000000001</v>
      </c>
      <c r="M862" s="16">
        <v>69275.27</v>
      </c>
      <c r="N862" t="s">
        <v>112</v>
      </c>
      <c r="O862" t="s">
        <v>113</v>
      </c>
      <c r="P862" t="str">
        <f t="shared" si="13"/>
        <v>Ahmedabad|Air Purifier</v>
      </c>
    </row>
    <row r="863" spans="1:16" x14ac:dyDescent="0.3">
      <c r="A863" s="15">
        <v>46121</v>
      </c>
      <c r="B863" t="s">
        <v>34</v>
      </c>
      <c r="C863" t="s">
        <v>121</v>
      </c>
      <c r="D863" t="s">
        <v>122</v>
      </c>
      <c r="E863" t="s">
        <v>166</v>
      </c>
      <c r="F863" t="s">
        <v>96</v>
      </c>
      <c r="G863" t="s">
        <v>84</v>
      </c>
      <c r="H863" t="s">
        <v>110</v>
      </c>
      <c r="I863" t="s">
        <v>268</v>
      </c>
      <c r="J863">
        <v>17</v>
      </c>
      <c r="K863" s="16">
        <v>246500</v>
      </c>
      <c r="L863" s="16">
        <v>181023.89</v>
      </c>
      <c r="M863" s="16">
        <v>65476.11</v>
      </c>
      <c r="N863" t="s">
        <v>141</v>
      </c>
      <c r="O863" t="s">
        <v>142</v>
      </c>
      <c r="P863" t="str">
        <f t="shared" si="13"/>
        <v>Kolkata|Filing Cabinet</v>
      </c>
    </row>
    <row r="864" spans="1:16" x14ac:dyDescent="0.3">
      <c r="A864" s="15">
        <v>46038</v>
      </c>
      <c r="B864" t="s">
        <v>34</v>
      </c>
      <c r="C864" t="s">
        <v>152</v>
      </c>
      <c r="D864" t="s">
        <v>187</v>
      </c>
      <c r="E864" t="s">
        <v>199</v>
      </c>
      <c r="F864" t="s">
        <v>94</v>
      </c>
      <c r="G864" t="s">
        <v>70</v>
      </c>
      <c r="H864" t="s">
        <v>129</v>
      </c>
      <c r="I864" t="s">
        <v>347</v>
      </c>
      <c r="J864">
        <v>14</v>
      </c>
      <c r="K864" s="16">
        <v>206150</v>
      </c>
      <c r="L864" s="16">
        <v>153518.45000000001</v>
      </c>
      <c r="M864" s="16">
        <v>52631.55</v>
      </c>
      <c r="N864" t="s">
        <v>141</v>
      </c>
      <c r="O864" t="s">
        <v>119</v>
      </c>
      <c r="P864" t="str">
        <f t="shared" si="13"/>
        <v>Hyderabad|Printer Pro</v>
      </c>
    </row>
    <row r="865" spans="1:16" x14ac:dyDescent="0.3">
      <c r="A865" s="15">
        <v>46179</v>
      </c>
      <c r="B865" t="s">
        <v>34</v>
      </c>
      <c r="C865" t="s">
        <v>152</v>
      </c>
      <c r="D865" t="s">
        <v>187</v>
      </c>
      <c r="E865" t="s">
        <v>199</v>
      </c>
      <c r="F865" t="s">
        <v>94</v>
      </c>
      <c r="G865" t="s">
        <v>64</v>
      </c>
      <c r="H865" t="s">
        <v>129</v>
      </c>
      <c r="I865" t="s">
        <v>172</v>
      </c>
      <c r="J865">
        <v>13</v>
      </c>
      <c r="K865" s="16">
        <v>259350</v>
      </c>
      <c r="L865" s="16">
        <v>180867.4</v>
      </c>
      <c r="M865" s="16">
        <v>78482.600000000006</v>
      </c>
      <c r="N865" t="s">
        <v>112</v>
      </c>
      <c r="O865" t="s">
        <v>113</v>
      </c>
      <c r="P865" t="str">
        <f t="shared" si="13"/>
        <v>Hyderabad|Monitor 27</v>
      </c>
    </row>
    <row r="866" spans="1:16" x14ac:dyDescent="0.3">
      <c r="A866" s="15">
        <v>46150</v>
      </c>
      <c r="B866" t="s">
        <v>34</v>
      </c>
      <c r="C866" t="s">
        <v>126</v>
      </c>
      <c r="D866" t="s">
        <v>196</v>
      </c>
      <c r="E866" t="s">
        <v>197</v>
      </c>
      <c r="F866" t="s">
        <v>96</v>
      </c>
      <c r="G866" t="s">
        <v>80</v>
      </c>
      <c r="H866" t="s">
        <v>184</v>
      </c>
      <c r="I866" t="s">
        <v>291</v>
      </c>
      <c r="J866">
        <v>8</v>
      </c>
      <c r="K866" s="16">
        <v>88000</v>
      </c>
      <c r="L866" s="16">
        <v>65405.65</v>
      </c>
      <c r="M866" s="16">
        <v>22594.35</v>
      </c>
      <c r="N866" t="s">
        <v>125</v>
      </c>
      <c r="O866" t="s">
        <v>113</v>
      </c>
      <c r="P866" t="str">
        <f t="shared" si="13"/>
        <v>Dwarka|Office Chair</v>
      </c>
    </row>
    <row r="867" spans="1:16" x14ac:dyDescent="0.3">
      <c r="A867" s="15">
        <v>46098</v>
      </c>
      <c r="B867" t="s">
        <v>34</v>
      </c>
      <c r="C867" t="s">
        <v>107</v>
      </c>
      <c r="D867" t="s">
        <v>149</v>
      </c>
      <c r="E867" t="s">
        <v>150</v>
      </c>
      <c r="F867" t="s">
        <v>96</v>
      </c>
      <c r="G867" t="s">
        <v>83</v>
      </c>
      <c r="H867" t="s">
        <v>173</v>
      </c>
      <c r="I867" t="s">
        <v>243</v>
      </c>
      <c r="J867">
        <v>2</v>
      </c>
      <c r="K867" s="16">
        <v>72000</v>
      </c>
      <c r="L867" s="16">
        <v>49080.68</v>
      </c>
      <c r="M867" s="16">
        <v>22919.32</v>
      </c>
      <c r="N867" t="s">
        <v>125</v>
      </c>
      <c r="O867" t="s">
        <v>119</v>
      </c>
      <c r="P867" t="str">
        <f t="shared" si="13"/>
        <v>Mumbai|Meeting Table</v>
      </c>
    </row>
    <row r="868" spans="1:16" x14ac:dyDescent="0.3">
      <c r="A868" s="15">
        <v>46066</v>
      </c>
      <c r="B868" t="s">
        <v>34</v>
      </c>
      <c r="C868" t="s">
        <v>126</v>
      </c>
      <c r="D868" t="s">
        <v>127</v>
      </c>
      <c r="E868" t="s">
        <v>143</v>
      </c>
      <c r="F868" t="s">
        <v>97</v>
      </c>
      <c r="G868" t="s">
        <v>88</v>
      </c>
      <c r="H868" t="s">
        <v>184</v>
      </c>
      <c r="I868" t="s">
        <v>303</v>
      </c>
      <c r="J868">
        <v>2</v>
      </c>
      <c r="K868" s="16">
        <v>28130</v>
      </c>
      <c r="L868" s="16">
        <v>20090.490000000002</v>
      </c>
      <c r="M868" s="16">
        <v>8039.51</v>
      </c>
      <c r="N868" t="s">
        <v>131</v>
      </c>
      <c r="O868" t="s">
        <v>113</v>
      </c>
      <c r="P868" t="str">
        <f t="shared" si="13"/>
        <v>Faridabad|Vacuum Cleaner</v>
      </c>
    </row>
    <row r="869" spans="1:16" x14ac:dyDescent="0.3">
      <c r="A869" s="15">
        <v>46078</v>
      </c>
      <c r="B869" t="s">
        <v>34</v>
      </c>
      <c r="C869" t="s">
        <v>121</v>
      </c>
      <c r="D869" t="s">
        <v>122</v>
      </c>
      <c r="E869" t="s">
        <v>123</v>
      </c>
      <c r="F869" t="s">
        <v>94</v>
      </c>
      <c r="G869" t="s">
        <v>67</v>
      </c>
      <c r="H869" t="s">
        <v>133</v>
      </c>
      <c r="I869" t="s">
        <v>210</v>
      </c>
      <c r="J869">
        <v>20</v>
      </c>
      <c r="K869" s="16">
        <v>627000</v>
      </c>
      <c r="L869" s="16">
        <v>471256.68</v>
      </c>
      <c r="M869" s="16">
        <v>155743.32</v>
      </c>
      <c r="N869" t="s">
        <v>131</v>
      </c>
      <c r="O869" t="s">
        <v>113</v>
      </c>
      <c r="P869" t="str">
        <f t="shared" si="13"/>
        <v>Durgapur|Tablet X</v>
      </c>
    </row>
    <row r="870" spans="1:16" x14ac:dyDescent="0.3">
      <c r="A870" s="15">
        <v>46103</v>
      </c>
      <c r="B870" t="s">
        <v>34</v>
      </c>
      <c r="C870" t="s">
        <v>107</v>
      </c>
      <c r="D870" t="s">
        <v>115</v>
      </c>
      <c r="E870" t="s">
        <v>191</v>
      </c>
      <c r="F870" t="s">
        <v>97</v>
      </c>
      <c r="G870" t="s">
        <v>88</v>
      </c>
      <c r="H870" t="s">
        <v>173</v>
      </c>
      <c r="I870" t="s">
        <v>371</v>
      </c>
      <c r="J870">
        <v>16</v>
      </c>
      <c r="K870" s="16">
        <v>204160</v>
      </c>
      <c r="L870" s="16">
        <v>153606.04</v>
      </c>
      <c r="M870" s="16">
        <v>50553.96</v>
      </c>
      <c r="N870" t="s">
        <v>125</v>
      </c>
      <c r="O870" t="s">
        <v>142</v>
      </c>
      <c r="P870" t="str">
        <f t="shared" si="13"/>
        <v>Surat|Vacuum Cleaner</v>
      </c>
    </row>
    <row r="871" spans="1:16" x14ac:dyDescent="0.3">
      <c r="A871" s="15">
        <v>46164</v>
      </c>
      <c r="B871" t="s">
        <v>114</v>
      </c>
      <c r="C871" t="s">
        <v>107</v>
      </c>
      <c r="D871" t="s">
        <v>149</v>
      </c>
      <c r="E871" t="s">
        <v>150</v>
      </c>
      <c r="F871" t="s">
        <v>95</v>
      </c>
      <c r="G871" t="s">
        <v>76</v>
      </c>
      <c r="H871" t="s">
        <v>173</v>
      </c>
      <c r="I871" t="s">
        <v>318</v>
      </c>
      <c r="J871">
        <v>13</v>
      </c>
      <c r="K871" s="16">
        <v>22698</v>
      </c>
      <c r="L871" s="16">
        <v>16167.51</v>
      </c>
      <c r="M871" s="16">
        <v>6530.49</v>
      </c>
      <c r="N871" t="s">
        <v>125</v>
      </c>
      <c r="O871" t="s">
        <v>119</v>
      </c>
      <c r="P871" t="str">
        <f t="shared" si="13"/>
        <v>Mumbai|Mouse</v>
      </c>
    </row>
    <row r="872" spans="1:16" x14ac:dyDescent="0.3">
      <c r="A872" s="15">
        <v>46203</v>
      </c>
      <c r="B872" t="s">
        <v>34</v>
      </c>
      <c r="C872" t="s">
        <v>126</v>
      </c>
      <c r="D872" t="s">
        <v>162</v>
      </c>
      <c r="E872" t="s">
        <v>204</v>
      </c>
      <c r="F872" t="s">
        <v>97</v>
      </c>
      <c r="G872" t="s">
        <v>87</v>
      </c>
      <c r="H872" t="s">
        <v>139</v>
      </c>
      <c r="I872" t="s">
        <v>265</v>
      </c>
      <c r="J872">
        <v>2</v>
      </c>
      <c r="K872" s="16">
        <v>23750</v>
      </c>
      <c r="L872" s="16">
        <v>18537.32</v>
      </c>
      <c r="M872" s="16">
        <v>5212.68</v>
      </c>
      <c r="N872" t="s">
        <v>125</v>
      </c>
      <c r="O872" t="s">
        <v>142</v>
      </c>
      <c r="P872" t="str">
        <f t="shared" si="13"/>
        <v>Noida|Microwave</v>
      </c>
    </row>
    <row r="873" spans="1:16" x14ac:dyDescent="0.3">
      <c r="A873" s="15">
        <v>46073</v>
      </c>
      <c r="B873" t="s">
        <v>34</v>
      </c>
      <c r="C873" t="s">
        <v>152</v>
      </c>
      <c r="D873" t="s">
        <v>187</v>
      </c>
      <c r="E873" t="s">
        <v>199</v>
      </c>
      <c r="F873" t="s">
        <v>97</v>
      </c>
      <c r="G873" t="s">
        <v>88</v>
      </c>
      <c r="H873" t="s">
        <v>117</v>
      </c>
      <c r="I873" t="s">
        <v>403</v>
      </c>
      <c r="J873">
        <v>19</v>
      </c>
      <c r="K873" s="16">
        <v>253460</v>
      </c>
      <c r="L873" s="16">
        <v>162969.87</v>
      </c>
      <c r="M873" s="16">
        <v>90490.13</v>
      </c>
      <c r="N873" t="s">
        <v>125</v>
      </c>
      <c r="O873" t="s">
        <v>142</v>
      </c>
      <c r="P873" t="str">
        <f t="shared" si="13"/>
        <v>Hyderabad|Vacuum Cleaner</v>
      </c>
    </row>
    <row r="874" spans="1:16" x14ac:dyDescent="0.3">
      <c r="A874" s="15">
        <v>46039</v>
      </c>
      <c r="B874" t="s">
        <v>120</v>
      </c>
      <c r="C874" t="s">
        <v>121</v>
      </c>
      <c r="D874" t="s">
        <v>146</v>
      </c>
      <c r="E874" t="s">
        <v>175</v>
      </c>
      <c r="F874" t="s">
        <v>94</v>
      </c>
      <c r="G874" t="s">
        <v>67</v>
      </c>
      <c r="H874" t="s">
        <v>110</v>
      </c>
      <c r="I874" t="s">
        <v>326</v>
      </c>
      <c r="J874">
        <v>15</v>
      </c>
      <c r="K874" s="16">
        <v>470250</v>
      </c>
      <c r="L874" s="16">
        <v>329816.84000000003</v>
      </c>
      <c r="M874" s="16">
        <v>140433.16</v>
      </c>
      <c r="N874" t="s">
        <v>125</v>
      </c>
      <c r="O874" t="s">
        <v>113</v>
      </c>
      <c r="P874" t="str">
        <f t="shared" si="13"/>
        <v>Dibrugarh|Tablet X</v>
      </c>
    </row>
    <row r="875" spans="1:16" x14ac:dyDescent="0.3">
      <c r="A875" s="15">
        <v>46237</v>
      </c>
      <c r="B875" t="s">
        <v>120</v>
      </c>
      <c r="C875" t="s">
        <v>152</v>
      </c>
      <c r="D875" t="s">
        <v>153</v>
      </c>
      <c r="E875" t="s">
        <v>154</v>
      </c>
      <c r="F875" t="s">
        <v>94</v>
      </c>
      <c r="G875" t="s">
        <v>61</v>
      </c>
      <c r="H875" t="s">
        <v>184</v>
      </c>
      <c r="I875" t="s">
        <v>225</v>
      </c>
      <c r="J875">
        <v>16</v>
      </c>
      <c r="K875" s="16">
        <v>1210560</v>
      </c>
      <c r="L875" s="16">
        <v>757704</v>
      </c>
      <c r="M875" s="16">
        <v>452856</v>
      </c>
      <c r="N875" t="s">
        <v>112</v>
      </c>
      <c r="O875" t="s">
        <v>119</v>
      </c>
      <c r="P875" t="str">
        <f t="shared" si="13"/>
        <v>Coimbatore|Laptop Pro</v>
      </c>
    </row>
    <row r="876" spans="1:16" x14ac:dyDescent="0.3">
      <c r="A876" s="15">
        <v>46208</v>
      </c>
      <c r="B876" t="s">
        <v>34</v>
      </c>
      <c r="C876" t="s">
        <v>107</v>
      </c>
      <c r="D876" t="s">
        <v>149</v>
      </c>
      <c r="E876" t="s">
        <v>159</v>
      </c>
      <c r="F876" t="s">
        <v>94</v>
      </c>
      <c r="G876" t="s">
        <v>67</v>
      </c>
      <c r="H876" t="s">
        <v>139</v>
      </c>
      <c r="I876" t="s">
        <v>263</v>
      </c>
      <c r="J876">
        <v>5</v>
      </c>
      <c r="K876" s="16">
        <v>160050</v>
      </c>
      <c r="L876" s="16">
        <v>107742.67</v>
      </c>
      <c r="M876" s="16">
        <v>52307.33</v>
      </c>
      <c r="N876" t="s">
        <v>125</v>
      </c>
      <c r="O876" t="s">
        <v>142</v>
      </c>
      <c r="P876" t="str">
        <f t="shared" si="13"/>
        <v>Pune|Tablet X</v>
      </c>
    </row>
    <row r="877" spans="1:16" x14ac:dyDescent="0.3">
      <c r="A877" s="15">
        <v>46245</v>
      </c>
      <c r="B877" t="s">
        <v>114</v>
      </c>
      <c r="C877" t="s">
        <v>152</v>
      </c>
      <c r="D877" t="s">
        <v>156</v>
      </c>
      <c r="E877" t="s">
        <v>157</v>
      </c>
      <c r="F877" t="s">
        <v>97</v>
      </c>
      <c r="G877" t="s">
        <v>86</v>
      </c>
      <c r="H877" t="s">
        <v>173</v>
      </c>
      <c r="I877" t="s">
        <v>370</v>
      </c>
      <c r="J877">
        <v>2</v>
      </c>
      <c r="K877" s="16">
        <v>12610</v>
      </c>
      <c r="L877" s="16">
        <v>10082.120000000001</v>
      </c>
      <c r="M877" s="16">
        <v>2527.88</v>
      </c>
      <c r="N877" t="s">
        <v>141</v>
      </c>
      <c r="O877" t="s">
        <v>119</v>
      </c>
      <c r="P877" t="str">
        <f t="shared" si="13"/>
        <v>Mysuru|Coffee Maker</v>
      </c>
    </row>
    <row r="878" spans="1:16" x14ac:dyDescent="0.3">
      <c r="A878" s="15">
        <v>46068</v>
      </c>
      <c r="B878" t="s">
        <v>34</v>
      </c>
      <c r="C878" t="s">
        <v>126</v>
      </c>
      <c r="D878" t="s">
        <v>162</v>
      </c>
      <c r="E878" t="s">
        <v>204</v>
      </c>
      <c r="F878" t="s">
        <v>97</v>
      </c>
      <c r="G878" t="s">
        <v>85</v>
      </c>
      <c r="H878" t="s">
        <v>133</v>
      </c>
      <c r="I878" t="s">
        <v>404</v>
      </c>
      <c r="J878">
        <v>6</v>
      </c>
      <c r="K878" s="16">
        <v>102600</v>
      </c>
      <c r="L878" s="16">
        <v>71600.240000000005</v>
      </c>
      <c r="M878" s="16">
        <v>30999.759999999998</v>
      </c>
      <c r="N878" t="s">
        <v>125</v>
      </c>
      <c r="O878" t="s">
        <v>113</v>
      </c>
      <c r="P878" t="str">
        <f t="shared" si="13"/>
        <v>Noida|Air Purifier</v>
      </c>
    </row>
    <row r="879" spans="1:16" x14ac:dyDescent="0.3">
      <c r="A879" s="15">
        <v>46224</v>
      </c>
      <c r="B879" t="s">
        <v>120</v>
      </c>
      <c r="C879" t="s">
        <v>126</v>
      </c>
      <c r="D879" t="s">
        <v>127</v>
      </c>
      <c r="E879" t="s">
        <v>128</v>
      </c>
      <c r="F879" t="s">
        <v>97</v>
      </c>
      <c r="G879" t="s">
        <v>88</v>
      </c>
      <c r="H879" t="s">
        <v>173</v>
      </c>
      <c r="I879" t="s">
        <v>210</v>
      </c>
      <c r="J879">
        <v>8</v>
      </c>
      <c r="K879" s="16">
        <v>102080</v>
      </c>
      <c r="L879" s="16">
        <v>66859.92</v>
      </c>
      <c r="M879" s="16">
        <v>35220.080000000002</v>
      </c>
      <c r="N879" t="s">
        <v>131</v>
      </c>
      <c r="O879" t="s">
        <v>113</v>
      </c>
      <c r="P879" t="str">
        <f t="shared" si="13"/>
        <v>Gurugram|Vacuum Cleaner</v>
      </c>
    </row>
    <row r="880" spans="1:16" x14ac:dyDescent="0.3">
      <c r="A880" s="15">
        <v>46046</v>
      </c>
      <c r="B880" t="s">
        <v>120</v>
      </c>
      <c r="C880" t="s">
        <v>152</v>
      </c>
      <c r="D880" t="s">
        <v>153</v>
      </c>
      <c r="E880" t="s">
        <v>169</v>
      </c>
      <c r="F880" t="s">
        <v>95</v>
      </c>
      <c r="G880" t="s">
        <v>74</v>
      </c>
      <c r="H880" t="s">
        <v>139</v>
      </c>
      <c r="I880" t="s">
        <v>312</v>
      </c>
      <c r="J880">
        <v>3</v>
      </c>
      <c r="K880" s="16">
        <v>13968</v>
      </c>
      <c r="L880" s="16">
        <v>11212.56</v>
      </c>
      <c r="M880" s="16">
        <v>2755.44</v>
      </c>
      <c r="N880" t="s">
        <v>112</v>
      </c>
      <c r="O880" t="s">
        <v>113</v>
      </c>
      <c r="P880" t="str">
        <f t="shared" si="13"/>
        <v>Chennai|Headset</v>
      </c>
    </row>
    <row r="881" spans="1:16" x14ac:dyDescent="0.3">
      <c r="A881" s="15">
        <v>46229</v>
      </c>
      <c r="B881" t="s">
        <v>34</v>
      </c>
      <c r="C881" t="s">
        <v>107</v>
      </c>
      <c r="D881" t="s">
        <v>115</v>
      </c>
      <c r="E881" t="s">
        <v>116</v>
      </c>
      <c r="F881" t="s">
        <v>95</v>
      </c>
      <c r="G881" t="s">
        <v>72</v>
      </c>
      <c r="H881" t="s">
        <v>133</v>
      </c>
      <c r="I881" t="s">
        <v>217</v>
      </c>
      <c r="J881">
        <v>16</v>
      </c>
      <c r="K881" s="16">
        <v>45056</v>
      </c>
      <c r="L881" s="16">
        <v>29861.77</v>
      </c>
      <c r="M881" s="16">
        <v>15194.23</v>
      </c>
      <c r="N881" t="s">
        <v>131</v>
      </c>
      <c r="O881" t="s">
        <v>113</v>
      </c>
      <c r="P881" t="str">
        <f t="shared" si="13"/>
        <v>Ahmedabad|Keyboard</v>
      </c>
    </row>
    <row r="882" spans="1:16" x14ac:dyDescent="0.3">
      <c r="A882" s="15">
        <v>46129</v>
      </c>
      <c r="B882" t="s">
        <v>34</v>
      </c>
      <c r="C882" t="s">
        <v>121</v>
      </c>
      <c r="D882" t="s">
        <v>122</v>
      </c>
      <c r="E882" t="s">
        <v>123</v>
      </c>
      <c r="F882" t="s">
        <v>96</v>
      </c>
      <c r="G882" t="s">
        <v>80</v>
      </c>
      <c r="H882" t="s">
        <v>173</v>
      </c>
      <c r="I882" t="s">
        <v>341</v>
      </c>
      <c r="J882">
        <v>4</v>
      </c>
      <c r="K882" s="16">
        <v>48500</v>
      </c>
      <c r="L882" s="16">
        <v>30865.08</v>
      </c>
      <c r="M882" s="16">
        <v>17634.919999999998</v>
      </c>
      <c r="N882" t="s">
        <v>141</v>
      </c>
      <c r="O882" t="s">
        <v>113</v>
      </c>
      <c r="P882" t="str">
        <f t="shared" si="13"/>
        <v>Durgapur|Office Chair</v>
      </c>
    </row>
    <row r="883" spans="1:16" x14ac:dyDescent="0.3">
      <c r="A883" s="15">
        <v>46023</v>
      </c>
      <c r="B883" t="s">
        <v>120</v>
      </c>
      <c r="C883" t="s">
        <v>126</v>
      </c>
      <c r="D883" t="s">
        <v>162</v>
      </c>
      <c r="E883" t="s">
        <v>204</v>
      </c>
      <c r="F883" t="s">
        <v>97</v>
      </c>
      <c r="G883" t="s">
        <v>87</v>
      </c>
      <c r="H883" t="s">
        <v>139</v>
      </c>
      <c r="I883" t="s">
        <v>230</v>
      </c>
      <c r="J883">
        <v>16</v>
      </c>
      <c r="K883" s="16">
        <v>200000</v>
      </c>
      <c r="L883" s="16">
        <v>136859.79</v>
      </c>
      <c r="M883" s="16">
        <v>63140.21</v>
      </c>
      <c r="N883" t="s">
        <v>131</v>
      </c>
      <c r="O883" t="s">
        <v>113</v>
      </c>
      <c r="P883" t="str">
        <f t="shared" si="13"/>
        <v>Noida|Microwave</v>
      </c>
    </row>
    <row r="884" spans="1:16" x14ac:dyDescent="0.3">
      <c r="A884" s="15">
        <v>46087</v>
      </c>
      <c r="B884" t="s">
        <v>120</v>
      </c>
      <c r="C884" t="s">
        <v>121</v>
      </c>
      <c r="D884" t="s">
        <v>146</v>
      </c>
      <c r="E884" t="s">
        <v>175</v>
      </c>
      <c r="F884" t="s">
        <v>94</v>
      </c>
      <c r="G884" t="s">
        <v>70</v>
      </c>
      <c r="H884" t="s">
        <v>139</v>
      </c>
      <c r="I884" t="s">
        <v>244</v>
      </c>
      <c r="J884">
        <v>7</v>
      </c>
      <c r="K884" s="16">
        <v>99820</v>
      </c>
      <c r="L884" s="16">
        <v>65673.5</v>
      </c>
      <c r="M884" s="16">
        <v>34146.5</v>
      </c>
      <c r="N884" t="s">
        <v>125</v>
      </c>
      <c r="O884" t="s">
        <v>113</v>
      </c>
      <c r="P884" t="str">
        <f t="shared" si="13"/>
        <v>Dibrugarh|Printer Pro</v>
      </c>
    </row>
    <row r="885" spans="1:16" x14ac:dyDescent="0.3">
      <c r="A885" s="15">
        <v>46228</v>
      </c>
      <c r="B885" t="s">
        <v>34</v>
      </c>
      <c r="C885" t="s">
        <v>126</v>
      </c>
      <c r="D885" t="s">
        <v>162</v>
      </c>
      <c r="E885" t="s">
        <v>204</v>
      </c>
      <c r="F885" t="s">
        <v>95</v>
      </c>
      <c r="G885" t="s">
        <v>78</v>
      </c>
      <c r="H885" t="s">
        <v>117</v>
      </c>
      <c r="I885" t="s">
        <v>266</v>
      </c>
      <c r="J885">
        <v>19</v>
      </c>
      <c r="K885" s="16">
        <v>75810</v>
      </c>
      <c r="L885" s="16">
        <v>51067.61</v>
      </c>
      <c r="M885" s="16">
        <v>24742.39</v>
      </c>
      <c r="N885" t="s">
        <v>141</v>
      </c>
      <c r="O885" t="s">
        <v>113</v>
      </c>
      <c r="P885" t="str">
        <f t="shared" si="13"/>
        <v>Noida|Webcam</v>
      </c>
    </row>
    <row r="886" spans="1:16" x14ac:dyDescent="0.3">
      <c r="A886" s="15">
        <v>46164</v>
      </c>
      <c r="B886" t="s">
        <v>34</v>
      </c>
      <c r="C886" t="s">
        <v>107</v>
      </c>
      <c r="D886" t="s">
        <v>149</v>
      </c>
      <c r="E886" t="s">
        <v>150</v>
      </c>
      <c r="F886" t="s">
        <v>96</v>
      </c>
      <c r="G886" t="s">
        <v>83</v>
      </c>
      <c r="H886" t="s">
        <v>173</v>
      </c>
      <c r="I886" t="s">
        <v>337</v>
      </c>
      <c r="J886">
        <v>17</v>
      </c>
      <c r="K886" s="16">
        <v>563040</v>
      </c>
      <c r="L886" s="16">
        <v>372562.52</v>
      </c>
      <c r="M886" s="16">
        <v>190477.48</v>
      </c>
      <c r="N886" t="s">
        <v>131</v>
      </c>
      <c r="O886" t="s">
        <v>142</v>
      </c>
      <c r="P886" t="str">
        <f t="shared" si="13"/>
        <v>Mumbai|Meeting Table</v>
      </c>
    </row>
    <row r="887" spans="1:16" x14ac:dyDescent="0.3">
      <c r="A887" s="15">
        <v>46215</v>
      </c>
      <c r="B887" t="s">
        <v>34</v>
      </c>
      <c r="C887" t="s">
        <v>121</v>
      </c>
      <c r="D887" t="s">
        <v>146</v>
      </c>
      <c r="E887" t="s">
        <v>175</v>
      </c>
      <c r="F887" t="s">
        <v>97</v>
      </c>
      <c r="G887" t="s">
        <v>86</v>
      </c>
      <c r="H887" t="s">
        <v>135</v>
      </c>
      <c r="I887" t="s">
        <v>276</v>
      </c>
      <c r="J887">
        <v>17</v>
      </c>
      <c r="K887" s="16">
        <v>104975</v>
      </c>
      <c r="L887" s="16">
        <v>74272.59</v>
      </c>
      <c r="M887" s="16">
        <v>30702.41</v>
      </c>
      <c r="N887" t="s">
        <v>131</v>
      </c>
      <c r="O887" t="s">
        <v>119</v>
      </c>
      <c r="P887" t="str">
        <f t="shared" si="13"/>
        <v>Dibrugarh|Coffee Maker</v>
      </c>
    </row>
    <row r="888" spans="1:16" x14ac:dyDescent="0.3">
      <c r="A888" s="15">
        <v>46028</v>
      </c>
      <c r="B888" t="s">
        <v>34</v>
      </c>
      <c r="C888" t="s">
        <v>126</v>
      </c>
      <c r="D888" t="s">
        <v>162</v>
      </c>
      <c r="E888" t="s">
        <v>204</v>
      </c>
      <c r="F888" t="s">
        <v>95</v>
      </c>
      <c r="G888" t="s">
        <v>78</v>
      </c>
      <c r="H888" t="s">
        <v>173</v>
      </c>
      <c r="I888" t="s">
        <v>317</v>
      </c>
      <c r="J888">
        <v>19</v>
      </c>
      <c r="K888" s="16">
        <v>75810</v>
      </c>
      <c r="L888" s="16">
        <v>57820.88</v>
      </c>
      <c r="M888" s="16">
        <v>17989.12</v>
      </c>
      <c r="N888" t="s">
        <v>131</v>
      </c>
      <c r="O888" t="s">
        <v>113</v>
      </c>
      <c r="P888" t="str">
        <f t="shared" si="13"/>
        <v>Noida|Webcam</v>
      </c>
    </row>
    <row r="889" spans="1:16" x14ac:dyDescent="0.3">
      <c r="A889" s="15">
        <v>46229</v>
      </c>
      <c r="B889" t="s">
        <v>120</v>
      </c>
      <c r="C889" t="s">
        <v>152</v>
      </c>
      <c r="D889" t="s">
        <v>153</v>
      </c>
      <c r="E889" t="s">
        <v>154</v>
      </c>
      <c r="F889" t="s">
        <v>95</v>
      </c>
      <c r="G889" t="s">
        <v>74</v>
      </c>
      <c r="H889" t="s">
        <v>135</v>
      </c>
      <c r="I889" t="s">
        <v>291</v>
      </c>
      <c r="J889">
        <v>5</v>
      </c>
      <c r="K889" s="16">
        <v>24000</v>
      </c>
      <c r="L889" s="16">
        <v>18804.919999999998</v>
      </c>
      <c r="M889" s="16">
        <v>5195.08</v>
      </c>
      <c r="N889" t="s">
        <v>131</v>
      </c>
      <c r="O889" t="s">
        <v>119</v>
      </c>
      <c r="P889" t="str">
        <f t="shared" si="13"/>
        <v>Coimbatore|Headset</v>
      </c>
    </row>
    <row r="890" spans="1:16" x14ac:dyDescent="0.3">
      <c r="A890" s="15">
        <v>46252</v>
      </c>
      <c r="B890" t="s">
        <v>120</v>
      </c>
      <c r="C890" t="s">
        <v>121</v>
      </c>
      <c r="D890" t="s">
        <v>122</v>
      </c>
      <c r="E890" t="s">
        <v>123</v>
      </c>
      <c r="F890" t="s">
        <v>96</v>
      </c>
      <c r="G890" t="s">
        <v>82</v>
      </c>
      <c r="H890" t="s">
        <v>133</v>
      </c>
      <c r="I890" t="s">
        <v>294</v>
      </c>
      <c r="J890">
        <v>3</v>
      </c>
      <c r="K890" s="16">
        <v>85500</v>
      </c>
      <c r="L890" s="16">
        <v>54509.73</v>
      </c>
      <c r="M890" s="16">
        <v>30990.27</v>
      </c>
      <c r="N890" t="s">
        <v>125</v>
      </c>
      <c r="O890" t="s">
        <v>142</v>
      </c>
      <c r="P890" t="str">
        <f t="shared" si="13"/>
        <v>Durgapur|Standing Desk</v>
      </c>
    </row>
    <row r="891" spans="1:16" x14ac:dyDescent="0.3">
      <c r="A891" s="15">
        <v>46260</v>
      </c>
      <c r="B891" t="s">
        <v>34</v>
      </c>
      <c r="C891" t="s">
        <v>126</v>
      </c>
      <c r="D891" t="s">
        <v>127</v>
      </c>
      <c r="E891" t="s">
        <v>143</v>
      </c>
      <c r="F891" t="s">
        <v>97</v>
      </c>
      <c r="G891" t="s">
        <v>87</v>
      </c>
      <c r="H891" t="s">
        <v>117</v>
      </c>
      <c r="I891" t="s">
        <v>118</v>
      </c>
      <c r="J891">
        <v>9</v>
      </c>
      <c r="K891" s="16">
        <v>103500</v>
      </c>
      <c r="L891" s="16">
        <v>78901.960000000006</v>
      </c>
      <c r="M891" s="16">
        <v>24598.04</v>
      </c>
      <c r="N891" t="s">
        <v>141</v>
      </c>
      <c r="O891" t="s">
        <v>113</v>
      </c>
      <c r="P891" t="str">
        <f t="shared" si="13"/>
        <v>Faridabad|Microwave</v>
      </c>
    </row>
    <row r="892" spans="1:16" x14ac:dyDescent="0.3">
      <c r="A892" s="15">
        <v>46117</v>
      </c>
      <c r="B892" t="s">
        <v>34</v>
      </c>
      <c r="C892" t="s">
        <v>107</v>
      </c>
      <c r="D892" t="s">
        <v>149</v>
      </c>
      <c r="E892" t="s">
        <v>159</v>
      </c>
      <c r="F892" t="s">
        <v>96</v>
      </c>
      <c r="G892" t="s">
        <v>84</v>
      </c>
      <c r="H892" t="s">
        <v>110</v>
      </c>
      <c r="I892" t="s">
        <v>235</v>
      </c>
      <c r="J892">
        <v>20</v>
      </c>
      <c r="K892" s="16">
        <v>290000</v>
      </c>
      <c r="L892" s="16">
        <v>181791.15</v>
      </c>
      <c r="M892" s="16">
        <v>108208.85</v>
      </c>
      <c r="N892" t="s">
        <v>112</v>
      </c>
      <c r="O892" t="s">
        <v>113</v>
      </c>
      <c r="P892" t="str">
        <f t="shared" si="13"/>
        <v>Pune|Filing Cabinet</v>
      </c>
    </row>
    <row r="893" spans="1:16" x14ac:dyDescent="0.3">
      <c r="A893" s="15">
        <v>46030</v>
      </c>
      <c r="B893" t="s">
        <v>34</v>
      </c>
      <c r="C893" t="s">
        <v>152</v>
      </c>
      <c r="D893" t="s">
        <v>187</v>
      </c>
      <c r="E893" t="s">
        <v>199</v>
      </c>
      <c r="F893" t="s">
        <v>94</v>
      </c>
      <c r="G893" t="s">
        <v>64</v>
      </c>
      <c r="H893" t="s">
        <v>129</v>
      </c>
      <c r="I893" t="s">
        <v>287</v>
      </c>
      <c r="J893">
        <v>17</v>
      </c>
      <c r="K893" s="16">
        <v>357000</v>
      </c>
      <c r="L893" s="16">
        <v>281936.7</v>
      </c>
      <c r="M893" s="16">
        <v>75063.3</v>
      </c>
      <c r="N893" t="s">
        <v>125</v>
      </c>
      <c r="O893" t="s">
        <v>113</v>
      </c>
      <c r="P893" t="str">
        <f t="shared" si="13"/>
        <v>Hyderabad|Monitor 27</v>
      </c>
    </row>
    <row r="894" spans="1:16" x14ac:dyDescent="0.3">
      <c r="A894" s="15">
        <v>46108</v>
      </c>
      <c r="B894" t="s">
        <v>34</v>
      </c>
      <c r="C894" t="s">
        <v>126</v>
      </c>
      <c r="D894" t="s">
        <v>196</v>
      </c>
      <c r="E894" t="s">
        <v>208</v>
      </c>
      <c r="F894" t="s">
        <v>97</v>
      </c>
      <c r="G894" t="s">
        <v>87</v>
      </c>
      <c r="H894" t="s">
        <v>117</v>
      </c>
      <c r="I894" t="s">
        <v>288</v>
      </c>
      <c r="J894">
        <v>7</v>
      </c>
      <c r="K894" s="16">
        <v>80500</v>
      </c>
      <c r="L894" s="16">
        <v>54783.19</v>
      </c>
      <c r="M894" s="16">
        <v>25716.81</v>
      </c>
      <c r="N894" t="s">
        <v>112</v>
      </c>
      <c r="O894" t="s">
        <v>119</v>
      </c>
      <c r="P894" t="str">
        <f t="shared" si="13"/>
        <v>New Delhi|Microwave</v>
      </c>
    </row>
    <row r="895" spans="1:16" x14ac:dyDescent="0.3">
      <c r="A895" s="15">
        <v>46235</v>
      </c>
      <c r="B895" t="s">
        <v>34</v>
      </c>
      <c r="C895" t="s">
        <v>121</v>
      </c>
      <c r="D895" t="s">
        <v>146</v>
      </c>
      <c r="E895" t="s">
        <v>175</v>
      </c>
      <c r="F895" t="s">
        <v>95</v>
      </c>
      <c r="G895" t="s">
        <v>76</v>
      </c>
      <c r="H895" t="s">
        <v>110</v>
      </c>
      <c r="I895" t="s">
        <v>124</v>
      </c>
      <c r="J895">
        <v>1</v>
      </c>
      <c r="K895" s="16">
        <v>1746</v>
      </c>
      <c r="L895" s="16">
        <v>1255.83</v>
      </c>
      <c r="M895" s="16">
        <v>490.17</v>
      </c>
      <c r="N895" t="s">
        <v>141</v>
      </c>
      <c r="O895" t="s">
        <v>113</v>
      </c>
      <c r="P895" t="str">
        <f t="shared" si="13"/>
        <v>Dibrugarh|Mouse</v>
      </c>
    </row>
    <row r="896" spans="1:16" x14ac:dyDescent="0.3">
      <c r="A896" s="15">
        <v>46117</v>
      </c>
      <c r="B896" t="s">
        <v>34</v>
      </c>
      <c r="C896" t="s">
        <v>121</v>
      </c>
      <c r="D896" t="s">
        <v>137</v>
      </c>
      <c r="E896" t="s">
        <v>171</v>
      </c>
      <c r="F896" t="s">
        <v>94</v>
      </c>
      <c r="G896" t="s">
        <v>67</v>
      </c>
      <c r="H896" t="s">
        <v>173</v>
      </c>
      <c r="I896" t="s">
        <v>215</v>
      </c>
      <c r="J896">
        <v>18</v>
      </c>
      <c r="K896" s="16">
        <v>564300</v>
      </c>
      <c r="L896" s="16">
        <v>447887.93</v>
      </c>
      <c r="M896" s="16">
        <v>116412.07</v>
      </c>
      <c r="N896" t="s">
        <v>141</v>
      </c>
      <c r="O896" t="s">
        <v>113</v>
      </c>
      <c r="P896" t="str">
        <f t="shared" si="13"/>
        <v>Bhubaneswar|Tablet X</v>
      </c>
    </row>
    <row r="897" spans="1:16" x14ac:dyDescent="0.3">
      <c r="A897" s="15">
        <v>46172</v>
      </c>
      <c r="B897" t="s">
        <v>120</v>
      </c>
      <c r="C897" t="s">
        <v>152</v>
      </c>
      <c r="D897" t="s">
        <v>187</v>
      </c>
      <c r="E897" t="s">
        <v>188</v>
      </c>
      <c r="F897" t="s">
        <v>96</v>
      </c>
      <c r="G897" t="s">
        <v>84</v>
      </c>
      <c r="H897" t="s">
        <v>139</v>
      </c>
      <c r="I897" t="s">
        <v>326</v>
      </c>
      <c r="J897">
        <v>8</v>
      </c>
      <c r="K897" s="16">
        <v>112520</v>
      </c>
      <c r="L897" s="16">
        <v>73644.3</v>
      </c>
      <c r="M897" s="16">
        <v>38875.699999999997</v>
      </c>
      <c r="N897" t="s">
        <v>141</v>
      </c>
      <c r="O897" t="s">
        <v>119</v>
      </c>
      <c r="P897" t="str">
        <f t="shared" si="13"/>
        <v>Warangal|Filing Cabinet</v>
      </c>
    </row>
    <row r="898" spans="1:16" x14ac:dyDescent="0.3">
      <c r="A898" s="15">
        <v>46171</v>
      </c>
      <c r="B898" t="s">
        <v>34</v>
      </c>
      <c r="C898" t="s">
        <v>126</v>
      </c>
      <c r="D898" t="s">
        <v>162</v>
      </c>
      <c r="E898" t="s">
        <v>204</v>
      </c>
      <c r="F898" t="s">
        <v>96</v>
      </c>
      <c r="G898" t="s">
        <v>82</v>
      </c>
      <c r="H898" t="s">
        <v>129</v>
      </c>
      <c r="I898" t="s">
        <v>134</v>
      </c>
      <c r="J898">
        <v>5</v>
      </c>
      <c r="K898" s="16">
        <v>142500</v>
      </c>
      <c r="L898" s="16">
        <v>116367.18</v>
      </c>
      <c r="M898" s="16">
        <v>26132.82</v>
      </c>
      <c r="N898" t="s">
        <v>141</v>
      </c>
      <c r="O898" t="s">
        <v>113</v>
      </c>
      <c r="P898" t="str">
        <f t="shared" si="13"/>
        <v>Noida|Standing Desk</v>
      </c>
    </row>
    <row r="899" spans="1:16" x14ac:dyDescent="0.3">
      <c r="A899" s="15">
        <v>46244</v>
      </c>
      <c r="B899" t="s">
        <v>114</v>
      </c>
      <c r="C899" t="s">
        <v>152</v>
      </c>
      <c r="D899" t="s">
        <v>153</v>
      </c>
      <c r="E899" t="s">
        <v>154</v>
      </c>
      <c r="F899" t="s">
        <v>94</v>
      </c>
      <c r="G899" t="s">
        <v>67</v>
      </c>
      <c r="H899" t="s">
        <v>110</v>
      </c>
      <c r="I899" t="s">
        <v>167</v>
      </c>
      <c r="J899">
        <v>10</v>
      </c>
      <c r="K899" s="16">
        <v>290400</v>
      </c>
      <c r="L899" s="16">
        <v>227902.76</v>
      </c>
      <c r="M899" s="16">
        <v>62497.24</v>
      </c>
      <c r="N899" t="s">
        <v>125</v>
      </c>
      <c r="O899" t="s">
        <v>142</v>
      </c>
      <c r="P899" t="str">
        <f t="shared" si="13"/>
        <v>Coimbatore|Tablet X</v>
      </c>
    </row>
    <row r="900" spans="1:16" x14ac:dyDescent="0.3">
      <c r="A900" s="15">
        <v>46199</v>
      </c>
      <c r="B900" t="s">
        <v>34</v>
      </c>
      <c r="C900" t="s">
        <v>152</v>
      </c>
      <c r="D900" t="s">
        <v>156</v>
      </c>
      <c r="E900" t="s">
        <v>157</v>
      </c>
      <c r="F900" t="s">
        <v>96</v>
      </c>
      <c r="G900" t="s">
        <v>83</v>
      </c>
      <c r="H900" t="s">
        <v>133</v>
      </c>
      <c r="I900" t="s">
        <v>205</v>
      </c>
      <c r="J900">
        <v>3</v>
      </c>
      <c r="K900" s="16">
        <v>95040</v>
      </c>
      <c r="L900" s="16">
        <v>70464.820000000007</v>
      </c>
      <c r="M900" s="16">
        <v>24575.18</v>
      </c>
      <c r="N900" t="s">
        <v>131</v>
      </c>
      <c r="O900" t="s">
        <v>119</v>
      </c>
      <c r="P900" t="str">
        <f t="shared" si="13"/>
        <v>Mysuru|Meeting Table</v>
      </c>
    </row>
    <row r="901" spans="1:16" x14ac:dyDescent="0.3">
      <c r="A901" s="15">
        <v>46235</v>
      </c>
      <c r="B901" t="s">
        <v>120</v>
      </c>
      <c r="C901" t="s">
        <v>107</v>
      </c>
      <c r="D901" t="s">
        <v>115</v>
      </c>
      <c r="E901" t="s">
        <v>191</v>
      </c>
      <c r="F901" t="s">
        <v>97</v>
      </c>
      <c r="G901" t="s">
        <v>86</v>
      </c>
      <c r="H901" t="s">
        <v>173</v>
      </c>
      <c r="I901" t="s">
        <v>405</v>
      </c>
      <c r="J901">
        <v>10</v>
      </c>
      <c r="K901" s="16">
        <v>65000</v>
      </c>
      <c r="L901" s="16">
        <v>47124.38</v>
      </c>
      <c r="M901" s="16">
        <v>17875.62</v>
      </c>
      <c r="N901" t="s">
        <v>125</v>
      </c>
      <c r="O901" t="s">
        <v>142</v>
      </c>
      <c r="P901" t="str">
        <f t="shared" ref="P901:P964" si="14">E901&amp;"|"&amp;G901</f>
        <v>Surat|Coffee Maker</v>
      </c>
    </row>
    <row r="902" spans="1:16" x14ac:dyDescent="0.3">
      <c r="A902" s="15">
        <v>46147</v>
      </c>
      <c r="B902" t="s">
        <v>34</v>
      </c>
      <c r="C902" t="s">
        <v>121</v>
      </c>
      <c r="D902" t="s">
        <v>146</v>
      </c>
      <c r="E902" t="s">
        <v>175</v>
      </c>
      <c r="F902" t="s">
        <v>97</v>
      </c>
      <c r="G902" t="s">
        <v>85</v>
      </c>
      <c r="H902" t="s">
        <v>133</v>
      </c>
      <c r="I902" t="s">
        <v>299</v>
      </c>
      <c r="J902">
        <v>2</v>
      </c>
      <c r="K902" s="16">
        <v>36000</v>
      </c>
      <c r="L902" s="16">
        <v>24026.42</v>
      </c>
      <c r="M902" s="16">
        <v>11973.58</v>
      </c>
      <c r="N902" t="s">
        <v>141</v>
      </c>
      <c r="O902" t="s">
        <v>119</v>
      </c>
      <c r="P902" t="str">
        <f t="shared" si="14"/>
        <v>Dibrugarh|Air Purifier</v>
      </c>
    </row>
    <row r="903" spans="1:16" x14ac:dyDescent="0.3">
      <c r="A903" s="15">
        <v>46063</v>
      </c>
      <c r="B903" t="s">
        <v>34</v>
      </c>
      <c r="C903" t="s">
        <v>126</v>
      </c>
      <c r="D903" t="s">
        <v>127</v>
      </c>
      <c r="E903" t="s">
        <v>128</v>
      </c>
      <c r="F903" t="s">
        <v>95</v>
      </c>
      <c r="G903" t="s">
        <v>74</v>
      </c>
      <c r="H903" t="s">
        <v>117</v>
      </c>
      <c r="I903" t="s">
        <v>262</v>
      </c>
      <c r="J903">
        <v>15</v>
      </c>
      <c r="K903" s="16">
        <v>68400</v>
      </c>
      <c r="L903" s="16">
        <v>49756.61</v>
      </c>
      <c r="M903" s="16">
        <v>18643.39</v>
      </c>
      <c r="N903" t="s">
        <v>112</v>
      </c>
      <c r="O903" t="s">
        <v>113</v>
      </c>
      <c r="P903" t="str">
        <f t="shared" si="14"/>
        <v>Gurugram|Headset</v>
      </c>
    </row>
    <row r="904" spans="1:16" x14ac:dyDescent="0.3">
      <c r="A904" s="15">
        <v>46179</v>
      </c>
      <c r="B904" t="s">
        <v>34</v>
      </c>
      <c r="C904" t="s">
        <v>152</v>
      </c>
      <c r="D904" t="s">
        <v>156</v>
      </c>
      <c r="E904" t="s">
        <v>157</v>
      </c>
      <c r="F904" t="s">
        <v>95</v>
      </c>
      <c r="G904" t="s">
        <v>72</v>
      </c>
      <c r="H904" t="s">
        <v>135</v>
      </c>
      <c r="I904" t="s">
        <v>406</v>
      </c>
      <c r="J904">
        <v>1</v>
      </c>
      <c r="K904" s="16">
        <v>3200</v>
      </c>
      <c r="L904" s="16">
        <v>2258.33</v>
      </c>
      <c r="M904" s="16">
        <v>941.67</v>
      </c>
      <c r="N904" t="s">
        <v>112</v>
      </c>
      <c r="O904" t="s">
        <v>142</v>
      </c>
      <c r="P904" t="str">
        <f t="shared" si="14"/>
        <v>Mysuru|Keyboard</v>
      </c>
    </row>
    <row r="905" spans="1:16" x14ac:dyDescent="0.3">
      <c r="A905" s="15">
        <v>46228</v>
      </c>
      <c r="B905" t="s">
        <v>120</v>
      </c>
      <c r="C905" t="s">
        <v>126</v>
      </c>
      <c r="D905" t="s">
        <v>162</v>
      </c>
      <c r="E905" t="s">
        <v>204</v>
      </c>
      <c r="F905" t="s">
        <v>96</v>
      </c>
      <c r="G905" t="s">
        <v>83</v>
      </c>
      <c r="H905" t="s">
        <v>133</v>
      </c>
      <c r="I905" t="s">
        <v>387</v>
      </c>
      <c r="J905">
        <v>9</v>
      </c>
      <c r="K905" s="16">
        <v>285120</v>
      </c>
      <c r="L905" s="16">
        <v>226945.06</v>
      </c>
      <c r="M905" s="16">
        <v>58174.94</v>
      </c>
      <c r="N905" t="s">
        <v>131</v>
      </c>
      <c r="O905" t="s">
        <v>142</v>
      </c>
      <c r="P905" t="str">
        <f t="shared" si="14"/>
        <v>Noida|Meeting Table</v>
      </c>
    </row>
    <row r="906" spans="1:16" x14ac:dyDescent="0.3">
      <c r="A906" s="15">
        <v>46248</v>
      </c>
      <c r="B906" t="s">
        <v>120</v>
      </c>
      <c r="C906" t="s">
        <v>107</v>
      </c>
      <c r="D906" t="s">
        <v>115</v>
      </c>
      <c r="E906" t="s">
        <v>191</v>
      </c>
      <c r="F906" t="s">
        <v>94</v>
      </c>
      <c r="G906" t="s">
        <v>70</v>
      </c>
      <c r="H906" t="s">
        <v>135</v>
      </c>
      <c r="I906" t="s">
        <v>275</v>
      </c>
      <c r="J906">
        <v>13</v>
      </c>
      <c r="K906" s="16">
        <v>201500</v>
      </c>
      <c r="L906" s="16">
        <v>150336.71</v>
      </c>
      <c r="M906" s="16">
        <v>51163.29</v>
      </c>
      <c r="N906" t="s">
        <v>112</v>
      </c>
      <c r="O906" t="s">
        <v>142</v>
      </c>
      <c r="P906" t="str">
        <f t="shared" si="14"/>
        <v>Surat|Printer Pro</v>
      </c>
    </row>
    <row r="907" spans="1:16" x14ac:dyDescent="0.3">
      <c r="A907" s="15">
        <v>46231</v>
      </c>
      <c r="B907" t="s">
        <v>34</v>
      </c>
      <c r="C907" t="s">
        <v>126</v>
      </c>
      <c r="D907" t="s">
        <v>162</v>
      </c>
      <c r="E907" t="s">
        <v>204</v>
      </c>
      <c r="F907" t="s">
        <v>96</v>
      </c>
      <c r="G907" t="s">
        <v>80</v>
      </c>
      <c r="H907" t="s">
        <v>135</v>
      </c>
      <c r="I907" t="s">
        <v>361</v>
      </c>
      <c r="J907">
        <v>20</v>
      </c>
      <c r="K907" s="16">
        <v>242500</v>
      </c>
      <c r="L907" s="16">
        <v>157260.59</v>
      </c>
      <c r="M907" s="16">
        <v>85239.41</v>
      </c>
      <c r="N907" t="s">
        <v>141</v>
      </c>
      <c r="O907" t="s">
        <v>142</v>
      </c>
      <c r="P907" t="str">
        <f t="shared" si="14"/>
        <v>Noida|Office Chair</v>
      </c>
    </row>
    <row r="908" spans="1:16" x14ac:dyDescent="0.3">
      <c r="A908" s="15">
        <v>46086</v>
      </c>
      <c r="B908" t="s">
        <v>34</v>
      </c>
      <c r="C908" t="s">
        <v>121</v>
      </c>
      <c r="D908" t="s">
        <v>122</v>
      </c>
      <c r="E908" t="s">
        <v>123</v>
      </c>
      <c r="F908" t="s">
        <v>94</v>
      </c>
      <c r="G908" t="s">
        <v>70</v>
      </c>
      <c r="H908" t="s">
        <v>110</v>
      </c>
      <c r="I908" t="s">
        <v>328</v>
      </c>
      <c r="J908">
        <v>20</v>
      </c>
      <c r="K908" s="16">
        <v>294500</v>
      </c>
      <c r="L908" s="16">
        <v>183437.79</v>
      </c>
      <c r="M908" s="16">
        <v>111062.21</v>
      </c>
      <c r="N908" t="s">
        <v>112</v>
      </c>
      <c r="O908" t="s">
        <v>113</v>
      </c>
      <c r="P908" t="str">
        <f t="shared" si="14"/>
        <v>Durgapur|Printer Pro</v>
      </c>
    </row>
    <row r="909" spans="1:16" x14ac:dyDescent="0.3">
      <c r="A909" s="15">
        <v>46248</v>
      </c>
      <c r="B909" t="s">
        <v>120</v>
      </c>
      <c r="C909" t="s">
        <v>152</v>
      </c>
      <c r="D909" t="s">
        <v>153</v>
      </c>
      <c r="E909" t="s">
        <v>169</v>
      </c>
      <c r="F909" t="s">
        <v>95</v>
      </c>
      <c r="G909" t="s">
        <v>76</v>
      </c>
      <c r="H909" t="s">
        <v>129</v>
      </c>
      <c r="I909" t="s">
        <v>289</v>
      </c>
      <c r="J909">
        <v>3</v>
      </c>
      <c r="K909" s="16">
        <v>5130</v>
      </c>
      <c r="L909" s="16">
        <v>4032.83</v>
      </c>
      <c r="M909" s="16">
        <v>1097.17</v>
      </c>
      <c r="N909" t="s">
        <v>112</v>
      </c>
      <c r="O909" t="s">
        <v>142</v>
      </c>
      <c r="P909" t="str">
        <f t="shared" si="14"/>
        <v>Chennai|Mouse</v>
      </c>
    </row>
    <row r="910" spans="1:16" x14ac:dyDescent="0.3">
      <c r="A910" s="15">
        <v>46083</v>
      </c>
      <c r="B910" t="s">
        <v>120</v>
      </c>
      <c r="C910" t="s">
        <v>126</v>
      </c>
      <c r="D910" t="s">
        <v>196</v>
      </c>
      <c r="E910" t="s">
        <v>208</v>
      </c>
      <c r="F910" t="s">
        <v>97</v>
      </c>
      <c r="G910" t="s">
        <v>88</v>
      </c>
      <c r="H910" t="s">
        <v>184</v>
      </c>
      <c r="I910" t="s">
        <v>183</v>
      </c>
      <c r="J910">
        <v>13</v>
      </c>
      <c r="K910" s="16">
        <v>188500</v>
      </c>
      <c r="L910" s="16">
        <v>117138.3</v>
      </c>
      <c r="M910" s="16">
        <v>71361.7</v>
      </c>
      <c r="N910" t="s">
        <v>112</v>
      </c>
      <c r="O910" t="s">
        <v>142</v>
      </c>
      <c r="P910" t="str">
        <f t="shared" si="14"/>
        <v>New Delhi|Vacuum Cleaner</v>
      </c>
    </row>
    <row r="911" spans="1:16" x14ac:dyDescent="0.3">
      <c r="A911" s="15">
        <v>46146</v>
      </c>
      <c r="B911" t="s">
        <v>34</v>
      </c>
      <c r="C911" t="s">
        <v>152</v>
      </c>
      <c r="D911" t="s">
        <v>187</v>
      </c>
      <c r="E911" t="s">
        <v>199</v>
      </c>
      <c r="F911" t="s">
        <v>97</v>
      </c>
      <c r="G911" t="s">
        <v>85</v>
      </c>
      <c r="H911" t="s">
        <v>117</v>
      </c>
      <c r="I911" t="s">
        <v>369</v>
      </c>
      <c r="J911">
        <v>13</v>
      </c>
      <c r="K911" s="16">
        <v>222300</v>
      </c>
      <c r="L911" s="16">
        <v>166374.63</v>
      </c>
      <c r="M911" s="16">
        <v>55925.37</v>
      </c>
      <c r="N911" t="s">
        <v>112</v>
      </c>
      <c r="O911" t="s">
        <v>142</v>
      </c>
      <c r="P911" t="str">
        <f t="shared" si="14"/>
        <v>Hyderabad|Air Purifier</v>
      </c>
    </row>
    <row r="912" spans="1:16" x14ac:dyDescent="0.3">
      <c r="A912" s="15">
        <v>46073</v>
      </c>
      <c r="B912" t="s">
        <v>114</v>
      </c>
      <c r="C912" t="s">
        <v>152</v>
      </c>
      <c r="D912" t="s">
        <v>156</v>
      </c>
      <c r="E912" t="s">
        <v>157</v>
      </c>
      <c r="F912" t="s">
        <v>95</v>
      </c>
      <c r="G912" t="s">
        <v>76</v>
      </c>
      <c r="H912" t="s">
        <v>139</v>
      </c>
      <c r="I912" t="s">
        <v>251</v>
      </c>
      <c r="J912">
        <v>3</v>
      </c>
      <c r="K912" s="16">
        <v>5400</v>
      </c>
      <c r="L912" s="16">
        <v>3812.42</v>
      </c>
      <c r="M912" s="16">
        <v>1587.58</v>
      </c>
      <c r="N912" t="s">
        <v>125</v>
      </c>
      <c r="O912" t="s">
        <v>113</v>
      </c>
      <c r="P912" t="str">
        <f t="shared" si="14"/>
        <v>Mysuru|Mouse</v>
      </c>
    </row>
    <row r="913" spans="1:16" x14ac:dyDescent="0.3">
      <c r="A913" s="15">
        <v>46093</v>
      </c>
      <c r="B913" t="s">
        <v>120</v>
      </c>
      <c r="C913" t="s">
        <v>152</v>
      </c>
      <c r="D913" t="s">
        <v>153</v>
      </c>
      <c r="E913" t="s">
        <v>169</v>
      </c>
      <c r="F913" t="s">
        <v>95</v>
      </c>
      <c r="G913" t="s">
        <v>78</v>
      </c>
      <c r="H913" t="s">
        <v>135</v>
      </c>
      <c r="I913" t="s">
        <v>177</v>
      </c>
      <c r="J913">
        <v>2</v>
      </c>
      <c r="K913" s="16">
        <v>8148</v>
      </c>
      <c r="L913" s="16">
        <v>6673.32</v>
      </c>
      <c r="M913" s="16">
        <v>1474.68</v>
      </c>
      <c r="N913" t="s">
        <v>131</v>
      </c>
      <c r="O913" t="s">
        <v>113</v>
      </c>
      <c r="P913" t="str">
        <f t="shared" si="14"/>
        <v>Chennai|Webcam</v>
      </c>
    </row>
    <row r="914" spans="1:16" x14ac:dyDescent="0.3">
      <c r="A914" s="15">
        <v>46230</v>
      </c>
      <c r="B914" t="s">
        <v>34</v>
      </c>
      <c r="C914" t="s">
        <v>121</v>
      </c>
      <c r="D914" t="s">
        <v>122</v>
      </c>
      <c r="E914" t="s">
        <v>123</v>
      </c>
      <c r="F914" t="s">
        <v>95</v>
      </c>
      <c r="G914" t="s">
        <v>76</v>
      </c>
      <c r="H914" t="s">
        <v>117</v>
      </c>
      <c r="I914" t="s">
        <v>401</v>
      </c>
      <c r="J914">
        <v>10</v>
      </c>
      <c r="K914" s="16">
        <v>15840</v>
      </c>
      <c r="L914" s="16">
        <v>12149.33</v>
      </c>
      <c r="M914" s="16">
        <v>3690.67</v>
      </c>
      <c r="N914" t="s">
        <v>131</v>
      </c>
      <c r="O914" t="s">
        <v>119</v>
      </c>
      <c r="P914" t="str">
        <f t="shared" si="14"/>
        <v>Durgapur|Mouse</v>
      </c>
    </row>
    <row r="915" spans="1:16" x14ac:dyDescent="0.3">
      <c r="A915" s="15">
        <v>46192</v>
      </c>
      <c r="B915" t="s">
        <v>114</v>
      </c>
      <c r="C915" t="s">
        <v>107</v>
      </c>
      <c r="D915" t="s">
        <v>115</v>
      </c>
      <c r="E915" t="s">
        <v>191</v>
      </c>
      <c r="F915" t="s">
        <v>97</v>
      </c>
      <c r="G915" t="s">
        <v>87</v>
      </c>
      <c r="H915" t="s">
        <v>133</v>
      </c>
      <c r="I915" t="s">
        <v>293</v>
      </c>
      <c r="J915">
        <v>2</v>
      </c>
      <c r="K915" s="16">
        <v>22000</v>
      </c>
      <c r="L915" s="16">
        <v>15644.77</v>
      </c>
      <c r="M915" s="16">
        <v>6355.23</v>
      </c>
      <c r="N915" t="s">
        <v>112</v>
      </c>
      <c r="O915" t="s">
        <v>113</v>
      </c>
      <c r="P915" t="str">
        <f t="shared" si="14"/>
        <v>Surat|Microwave</v>
      </c>
    </row>
    <row r="916" spans="1:16" x14ac:dyDescent="0.3">
      <c r="A916" s="15">
        <v>46257</v>
      </c>
      <c r="B916" t="s">
        <v>120</v>
      </c>
      <c r="C916" t="s">
        <v>107</v>
      </c>
      <c r="D916" t="s">
        <v>149</v>
      </c>
      <c r="E916" t="s">
        <v>159</v>
      </c>
      <c r="F916" t="s">
        <v>94</v>
      </c>
      <c r="G916" t="s">
        <v>70</v>
      </c>
      <c r="H916" t="s">
        <v>133</v>
      </c>
      <c r="I916" t="s">
        <v>225</v>
      </c>
      <c r="J916">
        <v>5</v>
      </c>
      <c r="K916" s="16">
        <v>77500</v>
      </c>
      <c r="L916" s="16">
        <v>50090.07</v>
      </c>
      <c r="M916" s="16">
        <v>27409.93</v>
      </c>
      <c r="N916" t="s">
        <v>141</v>
      </c>
      <c r="O916" t="s">
        <v>113</v>
      </c>
      <c r="P916" t="str">
        <f t="shared" si="14"/>
        <v>Pune|Printer Pro</v>
      </c>
    </row>
    <row r="917" spans="1:16" x14ac:dyDescent="0.3">
      <c r="A917" s="15">
        <v>46062</v>
      </c>
      <c r="B917" t="s">
        <v>120</v>
      </c>
      <c r="C917" t="s">
        <v>126</v>
      </c>
      <c r="D917" t="s">
        <v>127</v>
      </c>
      <c r="E917" t="s">
        <v>128</v>
      </c>
      <c r="F917" t="s">
        <v>95</v>
      </c>
      <c r="G917" t="s">
        <v>78</v>
      </c>
      <c r="H917" t="s">
        <v>133</v>
      </c>
      <c r="I917" t="s">
        <v>361</v>
      </c>
      <c r="J917">
        <v>17</v>
      </c>
      <c r="K917" s="16">
        <v>71400</v>
      </c>
      <c r="L917" s="16">
        <v>46364.9</v>
      </c>
      <c r="M917" s="16">
        <v>25035.1</v>
      </c>
      <c r="N917" t="s">
        <v>131</v>
      </c>
      <c r="O917" t="s">
        <v>113</v>
      </c>
      <c r="P917" t="str">
        <f t="shared" si="14"/>
        <v>Gurugram|Webcam</v>
      </c>
    </row>
    <row r="918" spans="1:16" x14ac:dyDescent="0.3">
      <c r="A918" s="15">
        <v>46241</v>
      </c>
      <c r="B918" t="s">
        <v>34</v>
      </c>
      <c r="C918" t="s">
        <v>126</v>
      </c>
      <c r="D918" t="s">
        <v>196</v>
      </c>
      <c r="E918" t="s">
        <v>208</v>
      </c>
      <c r="F918" t="s">
        <v>95</v>
      </c>
      <c r="G918" t="s">
        <v>78</v>
      </c>
      <c r="H918" t="s">
        <v>133</v>
      </c>
      <c r="I918" t="s">
        <v>357</v>
      </c>
      <c r="J918">
        <v>20</v>
      </c>
      <c r="K918" s="16">
        <v>81480</v>
      </c>
      <c r="L918" s="16">
        <v>66774.149999999994</v>
      </c>
      <c r="M918" s="16">
        <v>14705.85</v>
      </c>
      <c r="N918" t="s">
        <v>131</v>
      </c>
      <c r="O918" t="s">
        <v>113</v>
      </c>
      <c r="P918" t="str">
        <f t="shared" si="14"/>
        <v>New Delhi|Webcam</v>
      </c>
    </row>
    <row r="919" spans="1:16" x14ac:dyDescent="0.3">
      <c r="A919" s="15">
        <v>46227</v>
      </c>
      <c r="B919" t="s">
        <v>34</v>
      </c>
      <c r="C919" t="s">
        <v>126</v>
      </c>
      <c r="D919" t="s">
        <v>196</v>
      </c>
      <c r="E919" t="s">
        <v>197</v>
      </c>
      <c r="F919" t="s">
        <v>96</v>
      </c>
      <c r="G919" t="s">
        <v>84</v>
      </c>
      <c r="H919" t="s">
        <v>117</v>
      </c>
      <c r="I919" t="s">
        <v>124</v>
      </c>
      <c r="J919">
        <v>18</v>
      </c>
      <c r="K919" s="16">
        <v>253170</v>
      </c>
      <c r="L919" s="16">
        <v>162760.19</v>
      </c>
      <c r="M919" s="16">
        <v>90409.81</v>
      </c>
      <c r="N919" t="s">
        <v>141</v>
      </c>
      <c r="O919" t="s">
        <v>113</v>
      </c>
      <c r="P919" t="str">
        <f t="shared" si="14"/>
        <v>Dwarka|Filing Cabinet</v>
      </c>
    </row>
    <row r="920" spans="1:16" x14ac:dyDescent="0.3">
      <c r="A920" s="15">
        <v>46043</v>
      </c>
      <c r="B920" t="s">
        <v>34</v>
      </c>
      <c r="C920" t="s">
        <v>121</v>
      </c>
      <c r="D920" t="s">
        <v>146</v>
      </c>
      <c r="E920" t="s">
        <v>147</v>
      </c>
      <c r="F920" t="s">
        <v>94</v>
      </c>
      <c r="G920" t="s">
        <v>61</v>
      </c>
      <c r="H920" t="s">
        <v>135</v>
      </c>
      <c r="I920" t="s">
        <v>382</v>
      </c>
      <c r="J920">
        <v>3</v>
      </c>
      <c r="K920" s="16">
        <v>222300</v>
      </c>
      <c r="L920" s="16">
        <v>180661.49</v>
      </c>
      <c r="M920" s="16">
        <v>41638.51</v>
      </c>
      <c r="N920" t="s">
        <v>125</v>
      </c>
      <c r="O920" t="s">
        <v>113</v>
      </c>
      <c r="P920" t="str">
        <f t="shared" si="14"/>
        <v>Guwahati|Laptop Pro</v>
      </c>
    </row>
    <row r="921" spans="1:16" x14ac:dyDescent="0.3">
      <c r="A921" s="15">
        <v>46197</v>
      </c>
      <c r="B921" t="s">
        <v>114</v>
      </c>
      <c r="C921" t="s">
        <v>152</v>
      </c>
      <c r="D921" t="s">
        <v>156</v>
      </c>
      <c r="E921" t="s">
        <v>238</v>
      </c>
      <c r="F921" t="s">
        <v>95</v>
      </c>
      <c r="G921" t="s">
        <v>76</v>
      </c>
      <c r="H921" t="s">
        <v>184</v>
      </c>
      <c r="I921" t="s">
        <v>243</v>
      </c>
      <c r="J921">
        <v>6</v>
      </c>
      <c r="K921" s="16">
        <v>10800</v>
      </c>
      <c r="L921" s="16">
        <v>8400.7199999999993</v>
      </c>
      <c r="M921" s="16">
        <v>2399.2800000000002</v>
      </c>
      <c r="N921" t="s">
        <v>141</v>
      </c>
      <c r="O921" t="s">
        <v>113</v>
      </c>
      <c r="P921" t="str">
        <f t="shared" si="14"/>
        <v>Bengaluru|Mouse</v>
      </c>
    </row>
    <row r="922" spans="1:16" x14ac:dyDescent="0.3">
      <c r="A922" s="15">
        <v>46252</v>
      </c>
      <c r="B922" t="s">
        <v>120</v>
      </c>
      <c r="C922" t="s">
        <v>152</v>
      </c>
      <c r="D922" t="s">
        <v>187</v>
      </c>
      <c r="E922" t="s">
        <v>188</v>
      </c>
      <c r="F922" t="s">
        <v>96</v>
      </c>
      <c r="G922" t="s">
        <v>82</v>
      </c>
      <c r="H922" t="s">
        <v>173</v>
      </c>
      <c r="I922" t="s">
        <v>264</v>
      </c>
      <c r="J922">
        <v>10</v>
      </c>
      <c r="K922" s="16">
        <v>285000</v>
      </c>
      <c r="L922" s="16">
        <v>205963.56</v>
      </c>
      <c r="M922" s="16">
        <v>79036.44</v>
      </c>
      <c r="N922" t="s">
        <v>131</v>
      </c>
      <c r="O922" t="s">
        <v>119</v>
      </c>
      <c r="P922" t="str">
        <f t="shared" si="14"/>
        <v>Warangal|Standing Desk</v>
      </c>
    </row>
    <row r="923" spans="1:16" x14ac:dyDescent="0.3">
      <c r="A923" s="15">
        <v>46076</v>
      </c>
      <c r="B923" t="s">
        <v>120</v>
      </c>
      <c r="C923" t="s">
        <v>107</v>
      </c>
      <c r="D923" t="s">
        <v>149</v>
      </c>
      <c r="E923" t="s">
        <v>159</v>
      </c>
      <c r="F923" t="s">
        <v>97</v>
      </c>
      <c r="G923" t="s">
        <v>85</v>
      </c>
      <c r="H923" t="s">
        <v>139</v>
      </c>
      <c r="I923" t="s">
        <v>291</v>
      </c>
      <c r="J923">
        <v>20</v>
      </c>
      <c r="K923" s="16">
        <v>342000</v>
      </c>
      <c r="L923" s="16">
        <v>279507.75</v>
      </c>
      <c r="M923" s="16">
        <v>62492.25</v>
      </c>
      <c r="N923" t="s">
        <v>125</v>
      </c>
      <c r="O923" t="s">
        <v>113</v>
      </c>
      <c r="P923" t="str">
        <f t="shared" si="14"/>
        <v>Pune|Air Purifier</v>
      </c>
    </row>
    <row r="924" spans="1:16" x14ac:dyDescent="0.3">
      <c r="A924" s="15">
        <v>46184</v>
      </c>
      <c r="B924" t="s">
        <v>34</v>
      </c>
      <c r="C924" t="s">
        <v>107</v>
      </c>
      <c r="D924" t="s">
        <v>108</v>
      </c>
      <c r="E924" t="s">
        <v>132</v>
      </c>
      <c r="F924" t="s">
        <v>94</v>
      </c>
      <c r="G924" t="s">
        <v>61</v>
      </c>
      <c r="H924" t="s">
        <v>133</v>
      </c>
      <c r="I924" t="s">
        <v>399</v>
      </c>
      <c r="J924">
        <v>14</v>
      </c>
      <c r="K924" s="16">
        <v>1037400</v>
      </c>
      <c r="L924" s="16">
        <v>673157.46</v>
      </c>
      <c r="M924" s="16">
        <v>364242.54</v>
      </c>
      <c r="N924" t="s">
        <v>112</v>
      </c>
      <c r="O924" t="s">
        <v>142</v>
      </c>
      <c r="P924" t="str">
        <f t="shared" si="14"/>
        <v>Jaipur|Laptop Pro</v>
      </c>
    </row>
    <row r="925" spans="1:16" x14ac:dyDescent="0.3">
      <c r="A925" s="15">
        <v>46100</v>
      </c>
      <c r="B925" t="s">
        <v>34</v>
      </c>
      <c r="C925" t="s">
        <v>126</v>
      </c>
      <c r="D925" t="s">
        <v>162</v>
      </c>
      <c r="E925" t="s">
        <v>204</v>
      </c>
      <c r="F925" t="s">
        <v>97</v>
      </c>
      <c r="G925" t="s">
        <v>88</v>
      </c>
      <c r="H925" t="s">
        <v>117</v>
      </c>
      <c r="I925" t="s">
        <v>170</v>
      </c>
      <c r="J925">
        <v>11</v>
      </c>
      <c r="K925" s="16">
        <v>146740</v>
      </c>
      <c r="L925" s="16">
        <v>113835.81</v>
      </c>
      <c r="M925" s="16">
        <v>32904.19</v>
      </c>
      <c r="N925" t="s">
        <v>112</v>
      </c>
      <c r="O925" t="s">
        <v>119</v>
      </c>
      <c r="P925" t="str">
        <f t="shared" si="14"/>
        <v>Noida|Vacuum Cleaner</v>
      </c>
    </row>
    <row r="926" spans="1:16" x14ac:dyDescent="0.3">
      <c r="A926" s="15">
        <v>46187</v>
      </c>
      <c r="B926" t="s">
        <v>34</v>
      </c>
      <c r="C926" t="s">
        <v>126</v>
      </c>
      <c r="D926" t="s">
        <v>127</v>
      </c>
      <c r="E926" t="s">
        <v>143</v>
      </c>
      <c r="F926" t="s">
        <v>96</v>
      </c>
      <c r="G926" t="s">
        <v>84</v>
      </c>
      <c r="H926" t="s">
        <v>135</v>
      </c>
      <c r="I926" t="s">
        <v>111</v>
      </c>
      <c r="J926">
        <v>11</v>
      </c>
      <c r="K926" s="16">
        <v>146740</v>
      </c>
      <c r="L926" s="16">
        <v>101144.04</v>
      </c>
      <c r="M926" s="16">
        <v>45595.96</v>
      </c>
      <c r="N926" t="s">
        <v>125</v>
      </c>
      <c r="O926" t="s">
        <v>113</v>
      </c>
      <c r="P926" t="str">
        <f t="shared" si="14"/>
        <v>Faridabad|Filing Cabinet</v>
      </c>
    </row>
    <row r="927" spans="1:16" x14ac:dyDescent="0.3">
      <c r="A927" s="15">
        <v>46096</v>
      </c>
      <c r="B927" t="s">
        <v>34</v>
      </c>
      <c r="C927" t="s">
        <v>121</v>
      </c>
      <c r="D927" t="s">
        <v>122</v>
      </c>
      <c r="E927" t="s">
        <v>123</v>
      </c>
      <c r="F927" t="s">
        <v>95</v>
      </c>
      <c r="G927" t="s">
        <v>76</v>
      </c>
      <c r="H927" t="s">
        <v>133</v>
      </c>
      <c r="I927" t="s">
        <v>363</v>
      </c>
      <c r="J927">
        <v>12</v>
      </c>
      <c r="K927" s="16">
        <v>20952</v>
      </c>
      <c r="L927" s="16">
        <v>13306.43</v>
      </c>
      <c r="M927" s="16">
        <v>7645.57</v>
      </c>
      <c r="N927" t="s">
        <v>125</v>
      </c>
      <c r="O927" t="s">
        <v>113</v>
      </c>
      <c r="P927" t="str">
        <f t="shared" si="14"/>
        <v>Durgapur|Mouse</v>
      </c>
    </row>
    <row r="928" spans="1:16" x14ac:dyDescent="0.3">
      <c r="A928" s="15">
        <v>46161</v>
      </c>
      <c r="B928" t="s">
        <v>114</v>
      </c>
      <c r="C928" t="s">
        <v>126</v>
      </c>
      <c r="D928" t="s">
        <v>162</v>
      </c>
      <c r="E928" t="s">
        <v>163</v>
      </c>
      <c r="F928" t="s">
        <v>97</v>
      </c>
      <c r="G928" t="s">
        <v>87</v>
      </c>
      <c r="H928" t="s">
        <v>129</v>
      </c>
      <c r="I928" t="s">
        <v>400</v>
      </c>
      <c r="J928">
        <v>7</v>
      </c>
      <c r="K928" s="16">
        <v>84875</v>
      </c>
      <c r="L928" s="16">
        <v>54130.66</v>
      </c>
      <c r="M928" s="16">
        <v>30744.34</v>
      </c>
      <c r="N928" t="s">
        <v>112</v>
      </c>
      <c r="O928" t="s">
        <v>113</v>
      </c>
      <c r="P928" t="str">
        <f t="shared" si="14"/>
        <v>Lucknow|Microwave</v>
      </c>
    </row>
    <row r="929" spans="1:16" x14ac:dyDescent="0.3">
      <c r="A929" s="15">
        <v>46181</v>
      </c>
      <c r="B929" t="s">
        <v>34</v>
      </c>
      <c r="C929" t="s">
        <v>107</v>
      </c>
      <c r="D929" t="s">
        <v>149</v>
      </c>
      <c r="E929" t="s">
        <v>159</v>
      </c>
      <c r="F929" t="s">
        <v>95</v>
      </c>
      <c r="G929" t="s">
        <v>72</v>
      </c>
      <c r="H929" t="s">
        <v>133</v>
      </c>
      <c r="I929" t="s">
        <v>293</v>
      </c>
      <c r="J929">
        <v>8</v>
      </c>
      <c r="K929" s="16">
        <v>23552</v>
      </c>
      <c r="L929" s="16">
        <v>18930.240000000002</v>
      </c>
      <c r="M929" s="16">
        <v>4621.76</v>
      </c>
      <c r="N929" t="s">
        <v>112</v>
      </c>
      <c r="O929" t="s">
        <v>113</v>
      </c>
      <c r="P929" t="str">
        <f t="shared" si="14"/>
        <v>Pune|Keyboard</v>
      </c>
    </row>
    <row r="930" spans="1:16" x14ac:dyDescent="0.3">
      <c r="A930" s="15">
        <v>46125</v>
      </c>
      <c r="B930" t="s">
        <v>120</v>
      </c>
      <c r="C930" t="s">
        <v>107</v>
      </c>
      <c r="D930" t="s">
        <v>149</v>
      </c>
      <c r="E930" t="s">
        <v>150</v>
      </c>
      <c r="F930" t="s">
        <v>95</v>
      </c>
      <c r="G930" t="s">
        <v>74</v>
      </c>
      <c r="H930" t="s">
        <v>135</v>
      </c>
      <c r="I930" t="s">
        <v>257</v>
      </c>
      <c r="J930">
        <v>20</v>
      </c>
      <c r="K930" s="16">
        <v>96000</v>
      </c>
      <c r="L930" s="16">
        <v>68017.98</v>
      </c>
      <c r="M930" s="16">
        <v>27982.02</v>
      </c>
      <c r="N930" t="s">
        <v>141</v>
      </c>
      <c r="O930" t="s">
        <v>142</v>
      </c>
      <c r="P930" t="str">
        <f t="shared" si="14"/>
        <v>Mumbai|Headset</v>
      </c>
    </row>
    <row r="931" spans="1:16" x14ac:dyDescent="0.3">
      <c r="A931" s="15">
        <v>46179</v>
      </c>
      <c r="B931" t="s">
        <v>34</v>
      </c>
      <c r="C931" t="s">
        <v>121</v>
      </c>
      <c r="D931" t="s">
        <v>146</v>
      </c>
      <c r="E931" t="s">
        <v>147</v>
      </c>
      <c r="F931" t="s">
        <v>97</v>
      </c>
      <c r="G931" t="s">
        <v>87</v>
      </c>
      <c r="H931" t="s">
        <v>173</v>
      </c>
      <c r="I931" t="s">
        <v>136</v>
      </c>
      <c r="J931">
        <v>10</v>
      </c>
      <c r="K931" s="16">
        <v>125000</v>
      </c>
      <c r="L931" s="16">
        <v>100769.62</v>
      </c>
      <c r="M931" s="16">
        <v>24230.38</v>
      </c>
      <c r="N931" t="s">
        <v>112</v>
      </c>
      <c r="O931" t="s">
        <v>119</v>
      </c>
      <c r="P931" t="str">
        <f t="shared" si="14"/>
        <v>Guwahati|Microwave</v>
      </c>
    </row>
    <row r="932" spans="1:16" x14ac:dyDescent="0.3">
      <c r="A932" s="15">
        <v>46128</v>
      </c>
      <c r="B932" t="s">
        <v>34</v>
      </c>
      <c r="C932" t="s">
        <v>121</v>
      </c>
      <c r="D932" t="s">
        <v>137</v>
      </c>
      <c r="E932" t="s">
        <v>171</v>
      </c>
      <c r="F932" t="s">
        <v>96</v>
      </c>
      <c r="G932" t="s">
        <v>80</v>
      </c>
      <c r="H932" t="s">
        <v>135</v>
      </c>
      <c r="I932" t="s">
        <v>242</v>
      </c>
      <c r="J932">
        <v>12</v>
      </c>
      <c r="K932" s="16">
        <v>145500</v>
      </c>
      <c r="L932" s="16">
        <v>102467.02</v>
      </c>
      <c r="M932" s="16">
        <v>43032.98</v>
      </c>
      <c r="N932" t="s">
        <v>131</v>
      </c>
      <c r="O932" t="s">
        <v>142</v>
      </c>
      <c r="P932" t="str">
        <f t="shared" si="14"/>
        <v>Bhubaneswar|Office Chair</v>
      </c>
    </row>
    <row r="933" spans="1:16" x14ac:dyDescent="0.3">
      <c r="A933" s="15">
        <v>46217</v>
      </c>
      <c r="B933" t="s">
        <v>34</v>
      </c>
      <c r="C933" t="s">
        <v>152</v>
      </c>
      <c r="D933" t="s">
        <v>153</v>
      </c>
      <c r="E933" t="s">
        <v>154</v>
      </c>
      <c r="F933" t="s">
        <v>95</v>
      </c>
      <c r="G933" t="s">
        <v>74</v>
      </c>
      <c r="H933" t="s">
        <v>117</v>
      </c>
      <c r="I933" t="s">
        <v>214</v>
      </c>
      <c r="J933">
        <v>1</v>
      </c>
      <c r="K933" s="16">
        <v>4800</v>
      </c>
      <c r="L933" s="16">
        <v>2989.17</v>
      </c>
      <c r="M933" s="16">
        <v>1810.83</v>
      </c>
      <c r="N933" t="s">
        <v>125</v>
      </c>
      <c r="O933" t="s">
        <v>113</v>
      </c>
      <c r="P933" t="str">
        <f t="shared" si="14"/>
        <v>Coimbatore|Headset</v>
      </c>
    </row>
    <row r="934" spans="1:16" x14ac:dyDescent="0.3">
      <c r="A934" s="15">
        <v>46117</v>
      </c>
      <c r="B934" t="s">
        <v>34</v>
      </c>
      <c r="C934" t="s">
        <v>121</v>
      </c>
      <c r="D934" t="s">
        <v>122</v>
      </c>
      <c r="E934" t="s">
        <v>123</v>
      </c>
      <c r="F934" t="s">
        <v>95</v>
      </c>
      <c r="G934" t="s">
        <v>72</v>
      </c>
      <c r="H934" t="s">
        <v>173</v>
      </c>
      <c r="I934" t="s">
        <v>358</v>
      </c>
      <c r="J934">
        <v>9</v>
      </c>
      <c r="K934" s="16">
        <v>26496</v>
      </c>
      <c r="L934" s="16">
        <v>18850.93</v>
      </c>
      <c r="M934" s="16">
        <v>7645.07</v>
      </c>
      <c r="N934" t="s">
        <v>131</v>
      </c>
      <c r="O934" t="s">
        <v>142</v>
      </c>
      <c r="P934" t="str">
        <f t="shared" si="14"/>
        <v>Durgapur|Keyboard</v>
      </c>
    </row>
    <row r="935" spans="1:16" x14ac:dyDescent="0.3">
      <c r="A935" s="15">
        <v>46086</v>
      </c>
      <c r="B935" t="s">
        <v>34</v>
      </c>
      <c r="C935" t="s">
        <v>126</v>
      </c>
      <c r="D935" t="s">
        <v>127</v>
      </c>
      <c r="E935" t="s">
        <v>143</v>
      </c>
      <c r="F935" t="s">
        <v>97</v>
      </c>
      <c r="G935" t="s">
        <v>88</v>
      </c>
      <c r="H935" t="s">
        <v>117</v>
      </c>
      <c r="I935" t="s">
        <v>215</v>
      </c>
      <c r="J935">
        <v>20</v>
      </c>
      <c r="K935" s="16">
        <v>255200</v>
      </c>
      <c r="L935" s="16">
        <v>185754.33</v>
      </c>
      <c r="M935" s="16">
        <v>69445.67</v>
      </c>
      <c r="N935" t="s">
        <v>112</v>
      </c>
      <c r="O935" t="s">
        <v>113</v>
      </c>
      <c r="P935" t="str">
        <f t="shared" si="14"/>
        <v>Faridabad|Vacuum Cleaner</v>
      </c>
    </row>
    <row r="936" spans="1:16" x14ac:dyDescent="0.3">
      <c r="A936" s="15">
        <v>46058</v>
      </c>
      <c r="B936" t="s">
        <v>114</v>
      </c>
      <c r="C936" t="s">
        <v>107</v>
      </c>
      <c r="D936" t="s">
        <v>115</v>
      </c>
      <c r="E936" t="s">
        <v>191</v>
      </c>
      <c r="F936" t="s">
        <v>96</v>
      </c>
      <c r="G936" t="s">
        <v>80</v>
      </c>
      <c r="H936" t="s">
        <v>135</v>
      </c>
      <c r="I936" t="s">
        <v>387</v>
      </c>
      <c r="J936">
        <v>11</v>
      </c>
      <c r="K936" s="16">
        <v>137500</v>
      </c>
      <c r="L936" s="16">
        <v>99146.2</v>
      </c>
      <c r="M936" s="16">
        <v>38353.800000000003</v>
      </c>
      <c r="N936" t="s">
        <v>141</v>
      </c>
      <c r="O936" t="s">
        <v>142</v>
      </c>
      <c r="P936" t="str">
        <f t="shared" si="14"/>
        <v>Surat|Office Chair</v>
      </c>
    </row>
    <row r="937" spans="1:16" x14ac:dyDescent="0.3">
      <c r="A937" s="15">
        <v>46186</v>
      </c>
      <c r="B937" t="s">
        <v>34</v>
      </c>
      <c r="C937" t="s">
        <v>121</v>
      </c>
      <c r="D937" t="s">
        <v>146</v>
      </c>
      <c r="E937" t="s">
        <v>175</v>
      </c>
      <c r="F937" t="s">
        <v>95</v>
      </c>
      <c r="G937" t="s">
        <v>72</v>
      </c>
      <c r="H937" t="s">
        <v>117</v>
      </c>
      <c r="I937" t="s">
        <v>247</v>
      </c>
      <c r="J937">
        <v>9</v>
      </c>
      <c r="K937" s="16">
        <v>25344</v>
      </c>
      <c r="L937" s="16">
        <v>17925.57</v>
      </c>
      <c r="M937" s="16">
        <v>7418.43</v>
      </c>
      <c r="N937" t="s">
        <v>125</v>
      </c>
      <c r="O937" t="s">
        <v>113</v>
      </c>
      <c r="P937" t="str">
        <f t="shared" si="14"/>
        <v>Dibrugarh|Keyboard</v>
      </c>
    </row>
    <row r="938" spans="1:16" x14ac:dyDescent="0.3">
      <c r="A938" s="15">
        <v>46204</v>
      </c>
      <c r="B938" t="s">
        <v>34</v>
      </c>
      <c r="C938" t="s">
        <v>152</v>
      </c>
      <c r="D938" t="s">
        <v>187</v>
      </c>
      <c r="E938" t="s">
        <v>188</v>
      </c>
      <c r="F938" t="s">
        <v>95</v>
      </c>
      <c r="G938" t="s">
        <v>72</v>
      </c>
      <c r="H938" t="s">
        <v>110</v>
      </c>
      <c r="I938" t="s">
        <v>209</v>
      </c>
      <c r="J938">
        <v>1</v>
      </c>
      <c r="K938" s="16">
        <v>3200</v>
      </c>
      <c r="L938" s="16">
        <v>2499.35</v>
      </c>
      <c r="M938" s="16">
        <v>700.65</v>
      </c>
      <c r="N938" t="s">
        <v>141</v>
      </c>
      <c r="O938" t="s">
        <v>113</v>
      </c>
      <c r="P938" t="str">
        <f t="shared" si="14"/>
        <v>Warangal|Keyboard</v>
      </c>
    </row>
    <row r="939" spans="1:16" x14ac:dyDescent="0.3">
      <c r="A939" s="15">
        <v>46047</v>
      </c>
      <c r="B939" t="s">
        <v>34</v>
      </c>
      <c r="C939" t="s">
        <v>152</v>
      </c>
      <c r="D939" t="s">
        <v>187</v>
      </c>
      <c r="E939" t="s">
        <v>199</v>
      </c>
      <c r="F939" t="s">
        <v>95</v>
      </c>
      <c r="G939" t="s">
        <v>76</v>
      </c>
      <c r="H939" t="s">
        <v>135</v>
      </c>
      <c r="I939" t="s">
        <v>223</v>
      </c>
      <c r="J939">
        <v>12</v>
      </c>
      <c r="K939" s="16">
        <v>19008</v>
      </c>
      <c r="L939" s="16">
        <v>15309.69</v>
      </c>
      <c r="M939" s="16">
        <v>3698.31</v>
      </c>
      <c r="N939" t="s">
        <v>131</v>
      </c>
      <c r="O939" t="s">
        <v>113</v>
      </c>
      <c r="P939" t="str">
        <f t="shared" si="14"/>
        <v>Hyderabad|Mouse</v>
      </c>
    </row>
    <row r="940" spans="1:16" x14ac:dyDescent="0.3">
      <c r="A940" s="15">
        <v>46068</v>
      </c>
      <c r="B940" t="s">
        <v>34</v>
      </c>
      <c r="C940" t="s">
        <v>121</v>
      </c>
      <c r="D940" t="s">
        <v>137</v>
      </c>
      <c r="E940" t="s">
        <v>171</v>
      </c>
      <c r="F940" t="s">
        <v>94</v>
      </c>
      <c r="G940" t="s">
        <v>70</v>
      </c>
      <c r="H940" t="s">
        <v>139</v>
      </c>
      <c r="I940" t="s">
        <v>335</v>
      </c>
      <c r="J940">
        <v>5</v>
      </c>
      <c r="K940" s="16">
        <v>75175</v>
      </c>
      <c r="L940" s="16">
        <v>59663.77</v>
      </c>
      <c r="M940" s="16">
        <v>15511.23</v>
      </c>
      <c r="N940" t="s">
        <v>141</v>
      </c>
      <c r="O940" t="s">
        <v>113</v>
      </c>
      <c r="P940" t="str">
        <f t="shared" si="14"/>
        <v>Bhubaneswar|Printer Pro</v>
      </c>
    </row>
    <row r="941" spans="1:16" x14ac:dyDescent="0.3">
      <c r="A941" s="15">
        <v>46108</v>
      </c>
      <c r="B941" t="s">
        <v>120</v>
      </c>
      <c r="C941" t="s">
        <v>126</v>
      </c>
      <c r="D941" t="s">
        <v>162</v>
      </c>
      <c r="E941" t="s">
        <v>204</v>
      </c>
      <c r="F941" t="s">
        <v>95</v>
      </c>
      <c r="G941" t="s">
        <v>76</v>
      </c>
      <c r="H941" t="s">
        <v>129</v>
      </c>
      <c r="I941" t="s">
        <v>250</v>
      </c>
      <c r="J941">
        <v>3</v>
      </c>
      <c r="K941" s="16">
        <v>5238</v>
      </c>
      <c r="L941" s="16">
        <v>3682.39</v>
      </c>
      <c r="M941" s="16">
        <v>1555.61</v>
      </c>
      <c r="N941" t="s">
        <v>131</v>
      </c>
      <c r="O941" t="s">
        <v>113</v>
      </c>
      <c r="P941" t="str">
        <f t="shared" si="14"/>
        <v>Noida|Mouse</v>
      </c>
    </row>
    <row r="942" spans="1:16" x14ac:dyDescent="0.3">
      <c r="A942" s="15">
        <v>46136</v>
      </c>
      <c r="B942" t="s">
        <v>34</v>
      </c>
      <c r="C942" t="s">
        <v>126</v>
      </c>
      <c r="D942" t="s">
        <v>162</v>
      </c>
      <c r="E942" t="s">
        <v>163</v>
      </c>
      <c r="F942" t="s">
        <v>94</v>
      </c>
      <c r="G942" t="s">
        <v>67</v>
      </c>
      <c r="H942" t="s">
        <v>135</v>
      </c>
      <c r="I942" t="s">
        <v>353</v>
      </c>
      <c r="J942">
        <v>13</v>
      </c>
      <c r="K942" s="16">
        <v>429000</v>
      </c>
      <c r="L942" s="16">
        <v>269198.40999999997</v>
      </c>
      <c r="M942" s="16">
        <v>159801.59</v>
      </c>
      <c r="N942" t="s">
        <v>131</v>
      </c>
      <c r="O942" t="s">
        <v>113</v>
      </c>
      <c r="P942" t="str">
        <f t="shared" si="14"/>
        <v>Lucknow|Tablet X</v>
      </c>
    </row>
    <row r="943" spans="1:16" x14ac:dyDescent="0.3">
      <c r="A943" s="15">
        <v>46047</v>
      </c>
      <c r="B943" t="s">
        <v>34</v>
      </c>
      <c r="C943" t="s">
        <v>107</v>
      </c>
      <c r="D943" t="s">
        <v>149</v>
      </c>
      <c r="E943" t="s">
        <v>159</v>
      </c>
      <c r="F943" t="s">
        <v>94</v>
      </c>
      <c r="G943" t="s">
        <v>70</v>
      </c>
      <c r="H943" t="s">
        <v>133</v>
      </c>
      <c r="I943" t="s">
        <v>340</v>
      </c>
      <c r="J943">
        <v>18</v>
      </c>
      <c r="K943" s="16">
        <v>279000</v>
      </c>
      <c r="L943" s="16">
        <v>211437.81</v>
      </c>
      <c r="M943" s="16">
        <v>67562.19</v>
      </c>
      <c r="N943" t="s">
        <v>141</v>
      </c>
      <c r="O943" t="s">
        <v>113</v>
      </c>
      <c r="P943" t="str">
        <f t="shared" si="14"/>
        <v>Pune|Printer Pro</v>
      </c>
    </row>
    <row r="944" spans="1:16" x14ac:dyDescent="0.3">
      <c r="A944" s="15">
        <v>46091</v>
      </c>
      <c r="B944" t="s">
        <v>34</v>
      </c>
      <c r="C944" t="s">
        <v>107</v>
      </c>
      <c r="D944" t="s">
        <v>149</v>
      </c>
      <c r="E944" t="s">
        <v>150</v>
      </c>
      <c r="F944" t="s">
        <v>96</v>
      </c>
      <c r="G944" t="s">
        <v>84</v>
      </c>
      <c r="H944" t="s">
        <v>117</v>
      </c>
      <c r="I944" t="s">
        <v>283</v>
      </c>
      <c r="J944">
        <v>20</v>
      </c>
      <c r="K944" s="16">
        <v>266800</v>
      </c>
      <c r="L944" s="16">
        <v>205035.37</v>
      </c>
      <c r="M944" s="16">
        <v>61764.63</v>
      </c>
      <c r="N944" t="s">
        <v>131</v>
      </c>
      <c r="O944" t="s">
        <v>119</v>
      </c>
      <c r="P944" t="str">
        <f t="shared" si="14"/>
        <v>Mumbai|Filing Cabinet</v>
      </c>
    </row>
    <row r="945" spans="1:16" x14ac:dyDescent="0.3">
      <c r="A945" s="15">
        <v>46072</v>
      </c>
      <c r="B945" t="s">
        <v>120</v>
      </c>
      <c r="C945" t="s">
        <v>126</v>
      </c>
      <c r="D945" t="s">
        <v>127</v>
      </c>
      <c r="E945" t="s">
        <v>128</v>
      </c>
      <c r="F945" t="s">
        <v>97</v>
      </c>
      <c r="G945" t="s">
        <v>86</v>
      </c>
      <c r="H945" t="s">
        <v>133</v>
      </c>
      <c r="I945" t="s">
        <v>279</v>
      </c>
      <c r="J945">
        <v>18</v>
      </c>
      <c r="K945" s="16">
        <v>113490</v>
      </c>
      <c r="L945" s="16">
        <v>73547.02</v>
      </c>
      <c r="M945" s="16">
        <v>39942.980000000003</v>
      </c>
      <c r="N945" t="s">
        <v>141</v>
      </c>
      <c r="O945" t="s">
        <v>113</v>
      </c>
      <c r="P945" t="str">
        <f t="shared" si="14"/>
        <v>Gurugram|Coffee Maker</v>
      </c>
    </row>
    <row r="946" spans="1:16" x14ac:dyDescent="0.3">
      <c r="A946" s="15">
        <v>46032</v>
      </c>
      <c r="B946" t="s">
        <v>34</v>
      </c>
      <c r="C946" t="s">
        <v>152</v>
      </c>
      <c r="D946" t="s">
        <v>153</v>
      </c>
      <c r="E946" t="s">
        <v>169</v>
      </c>
      <c r="F946" t="s">
        <v>97</v>
      </c>
      <c r="G946" t="s">
        <v>87</v>
      </c>
      <c r="H946" t="s">
        <v>184</v>
      </c>
      <c r="I946" t="s">
        <v>172</v>
      </c>
      <c r="J946">
        <v>5</v>
      </c>
      <c r="K946" s="16">
        <v>62500</v>
      </c>
      <c r="L946" s="16">
        <v>47796.46</v>
      </c>
      <c r="M946" s="16">
        <v>14703.54</v>
      </c>
      <c r="N946" t="s">
        <v>131</v>
      </c>
      <c r="O946" t="s">
        <v>119</v>
      </c>
      <c r="P946" t="str">
        <f t="shared" si="14"/>
        <v>Chennai|Microwave</v>
      </c>
    </row>
    <row r="947" spans="1:16" x14ac:dyDescent="0.3">
      <c r="A947" s="15">
        <v>46147</v>
      </c>
      <c r="B947" t="s">
        <v>34</v>
      </c>
      <c r="C947" t="s">
        <v>121</v>
      </c>
      <c r="D947" t="s">
        <v>146</v>
      </c>
      <c r="E947" t="s">
        <v>175</v>
      </c>
      <c r="F947" t="s">
        <v>95</v>
      </c>
      <c r="G947" t="s">
        <v>76</v>
      </c>
      <c r="H947" t="s">
        <v>110</v>
      </c>
      <c r="I947" t="s">
        <v>313</v>
      </c>
      <c r="J947">
        <v>10</v>
      </c>
      <c r="K947" s="16">
        <v>17460</v>
      </c>
      <c r="L947" s="16">
        <v>13041.04</v>
      </c>
      <c r="M947" s="16">
        <v>4418.96</v>
      </c>
      <c r="N947" t="s">
        <v>125</v>
      </c>
      <c r="O947" t="s">
        <v>113</v>
      </c>
      <c r="P947" t="str">
        <f t="shared" si="14"/>
        <v>Dibrugarh|Mouse</v>
      </c>
    </row>
    <row r="948" spans="1:16" x14ac:dyDescent="0.3">
      <c r="A948" s="15">
        <v>46113</v>
      </c>
      <c r="B948" t="s">
        <v>120</v>
      </c>
      <c r="C948" t="s">
        <v>126</v>
      </c>
      <c r="D948" t="s">
        <v>162</v>
      </c>
      <c r="E948" t="s">
        <v>204</v>
      </c>
      <c r="F948" t="s">
        <v>95</v>
      </c>
      <c r="G948" t="s">
        <v>76</v>
      </c>
      <c r="H948" t="s">
        <v>139</v>
      </c>
      <c r="I948" t="s">
        <v>407</v>
      </c>
      <c r="J948">
        <v>20</v>
      </c>
      <c r="K948" s="16">
        <v>31680</v>
      </c>
      <c r="L948" s="16">
        <v>19791.71</v>
      </c>
      <c r="M948" s="16">
        <v>11888.29</v>
      </c>
      <c r="N948" t="s">
        <v>112</v>
      </c>
      <c r="O948" t="s">
        <v>113</v>
      </c>
      <c r="P948" t="str">
        <f t="shared" si="14"/>
        <v>Noida|Mouse</v>
      </c>
    </row>
    <row r="949" spans="1:16" x14ac:dyDescent="0.3">
      <c r="A949" s="15">
        <v>46107</v>
      </c>
      <c r="B949" t="s">
        <v>120</v>
      </c>
      <c r="C949" t="s">
        <v>107</v>
      </c>
      <c r="D949" t="s">
        <v>115</v>
      </c>
      <c r="E949" t="s">
        <v>116</v>
      </c>
      <c r="F949" t="s">
        <v>96</v>
      </c>
      <c r="G949" t="s">
        <v>80</v>
      </c>
      <c r="H949" t="s">
        <v>110</v>
      </c>
      <c r="I949" t="s">
        <v>364</v>
      </c>
      <c r="J949">
        <v>9</v>
      </c>
      <c r="K949" s="16">
        <v>112500</v>
      </c>
      <c r="L949" s="16">
        <v>85434.96</v>
      </c>
      <c r="M949" s="16">
        <v>27065.040000000001</v>
      </c>
      <c r="N949" t="s">
        <v>125</v>
      </c>
      <c r="O949" t="s">
        <v>119</v>
      </c>
      <c r="P949" t="str">
        <f t="shared" si="14"/>
        <v>Ahmedabad|Office Chair</v>
      </c>
    </row>
    <row r="950" spans="1:16" x14ac:dyDescent="0.3">
      <c r="A950" s="15">
        <v>46101</v>
      </c>
      <c r="B950" t="s">
        <v>120</v>
      </c>
      <c r="C950" t="s">
        <v>121</v>
      </c>
      <c r="D950" t="s">
        <v>146</v>
      </c>
      <c r="E950" t="s">
        <v>147</v>
      </c>
      <c r="F950" t="s">
        <v>97</v>
      </c>
      <c r="G950" t="s">
        <v>88</v>
      </c>
      <c r="H950" t="s">
        <v>129</v>
      </c>
      <c r="I950" t="s">
        <v>217</v>
      </c>
      <c r="J950">
        <v>20</v>
      </c>
      <c r="K950" s="16">
        <v>255200</v>
      </c>
      <c r="L950" s="16">
        <v>169572.57</v>
      </c>
      <c r="M950" s="16">
        <v>85627.43</v>
      </c>
      <c r="N950" t="s">
        <v>141</v>
      </c>
      <c r="O950" t="s">
        <v>113</v>
      </c>
      <c r="P950" t="str">
        <f t="shared" si="14"/>
        <v>Guwahati|Vacuum Cleaner</v>
      </c>
    </row>
    <row r="951" spans="1:16" x14ac:dyDescent="0.3">
      <c r="A951" s="15">
        <v>46135</v>
      </c>
      <c r="B951" t="s">
        <v>34</v>
      </c>
      <c r="C951" t="s">
        <v>107</v>
      </c>
      <c r="D951" t="s">
        <v>108</v>
      </c>
      <c r="E951" t="s">
        <v>132</v>
      </c>
      <c r="F951" t="s">
        <v>97</v>
      </c>
      <c r="G951" t="s">
        <v>88</v>
      </c>
      <c r="H951" t="s">
        <v>184</v>
      </c>
      <c r="I951" t="s">
        <v>355</v>
      </c>
      <c r="J951">
        <v>5</v>
      </c>
      <c r="K951" s="16">
        <v>63800</v>
      </c>
      <c r="L951" s="16">
        <v>46760.85</v>
      </c>
      <c r="M951" s="16">
        <v>17039.150000000001</v>
      </c>
      <c r="N951" t="s">
        <v>141</v>
      </c>
      <c r="O951" t="s">
        <v>113</v>
      </c>
      <c r="P951" t="str">
        <f t="shared" si="14"/>
        <v>Jaipur|Vacuum Cleaner</v>
      </c>
    </row>
    <row r="952" spans="1:16" x14ac:dyDescent="0.3">
      <c r="A952" s="15">
        <v>46055</v>
      </c>
      <c r="B952" t="s">
        <v>34</v>
      </c>
      <c r="C952" t="s">
        <v>152</v>
      </c>
      <c r="D952" t="s">
        <v>153</v>
      </c>
      <c r="E952" t="s">
        <v>169</v>
      </c>
      <c r="F952" t="s">
        <v>94</v>
      </c>
      <c r="G952" t="s">
        <v>61</v>
      </c>
      <c r="H952" t="s">
        <v>139</v>
      </c>
      <c r="I952" t="s">
        <v>379</v>
      </c>
      <c r="J952">
        <v>19</v>
      </c>
      <c r="K952" s="16">
        <v>1363440</v>
      </c>
      <c r="L952" s="16">
        <v>1109881.68</v>
      </c>
      <c r="M952" s="16">
        <v>253558.32</v>
      </c>
      <c r="N952" t="s">
        <v>112</v>
      </c>
      <c r="O952" t="s">
        <v>119</v>
      </c>
      <c r="P952" t="str">
        <f t="shared" si="14"/>
        <v>Chennai|Laptop Pro</v>
      </c>
    </row>
    <row r="953" spans="1:16" x14ac:dyDescent="0.3">
      <c r="A953" s="15">
        <v>46155</v>
      </c>
      <c r="B953" t="s">
        <v>34</v>
      </c>
      <c r="C953" t="s">
        <v>152</v>
      </c>
      <c r="D953" t="s">
        <v>153</v>
      </c>
      <c r="E953" t="s">
        <v>169</v>
      </c>
      <c r="F953" t="s">
        <v>95</v>
      </c>
      <c r="G953" t="s">
        <v>72</v>
      </c>
      <c r="H953" t="s">
        <v>110</v>
      </c>
      <c r="I953" t="s">
        <v>336</v>
      </c>
      <c r="J953">
        <v>11</v>
      </c>
      <c r="K953" s="16">
        <v>33440</v>
      </c>
      <c r="L953" s="16">
        <v>24560.39</v>
      </c>
      <c r="M953" s="16">
        <v>8879.61</v>
      </c>
      <c r="N953" t="s">
        <v>125</v>
      </c>
      <c r="O953" t="s">
        <v>142</v>
      </c>
      <c r="P953" t="str">
        <f t="shared" si="14"/>
        <v>Chennai|Keyboard</v>
      </c>
    </row>
    <row r="954" spans="1:16" x14ac:dyDescent="0.3">
      <c r="A954" s="15">
        <v>46178</v>
      </c>
      <c r="B954" t="s">
        <v>114</v>
      </c>
      <c r="C954" t="s">
        <v>152</v>
      </c>
      <c r="D954" t="s">
        <v>187</v>
      </c>
      <c r="E954" t="s">
        <v>188</v>
      </c>
      <c r="F954" t="s">
        <v>95</v>
      </c>
      <c r="G954" t="s">
        <v>74</v>
      </c>
      <c r="H954" t="s">
        <v>117</v>
      </c>
      <c r="I954" t="s">
        <v>393</v>
      </c>
      <c r="J954">
        <v>6</v>
      </c>
      <c r="K954" s="16">
        <v>27360</v>
      </c>
      <c r="L954" s="16">
        <v>20335.8</v>
      </c>
      <c r="M954" s="16">
        <v>7024.2</v>
      </c>
      <c r="N954" t="s">
        <v>125</v>
      </c>
      <c r="O954" t="s">
        <v>113</v>
      </c>
      <c r="P954" t="str">
        <f t="shared" si="14"/>
        <v>Warangal|Headset</v>
      </c>
    </row>
    <row r="955" spans="1:16" x14ac:dyDescent="0.3">
      <c r="A955" s="15">
        <v>46111</v>
      </c>
      <c r="B955" t="s">
        <v>114</v>
      </c>
      <c r="C955" t="s">
        <v>152</v>
      </c>
      <c r="D955" t="s">
        <v>153</v>
      </c>
      <c r="E955" t="s">
        <v>154</v>
      </c>
      <c r="F955" t="s">
        <v>95</v>
      </c>
      <c r="G955" t="s">
        <v>78</v>
      </c>
      <c r="H955" t="s">
        <v>129</v>
      </c>
      <c r="I955" t="s">
        <v>226</v>
      </c>
      <c r="J955">
        <v>3</v>
      </c>
      <c r="K955" s="16">
        <v>12600</v>
      </c>
      <c r="L955" s="16">
        <v>8549.6</v>
      </c>
      <c r="M955" s="16">
        <v>4050.4</v>
      </c>
      <c r="N955" t="s">
        <v>131</v>
      </c>
      <c r="O955" t="s">
        <v>113</v>
      </c>
      <c r="P955" t="str">
        <f t="shared" si="14"/>
        <v>Coimbatore|Webcam</v>
      </c>
    </row>
    <row r="956" spans="1:16" x14ac:dyDescent="0.3">
      <c r="A956" s="15">
        <v>46199</v>
      </c>
      <c r="B956" t="s">
        <v>34</v>
      </c>
      <c r="C956" t="s">
        <v>126</v>
      </c>
      <c r="D956" t="s">
        <v>196</v>
      </c>
      <c r="E956" t="s">
        <v>208</v>
      </c>
      <c r="F956" t="s">
        <v>94</v>
      </c>
      <c r="G956" t="s">
        <v>67</v>
      </c>
      <c r="H956" t="s">
        <v>129</v>
      </c>
      <c r="I956" t="s">
        <v>376</v>
      </c>
      <c r="J956">
        <v>5</v>
      </c>
      <c r="K956" s="16">
        <v>165000</v>
      </c>
      <c r="L956" s="16">
        <v>122242.64</v>
      </c>
      <c r="M956" s="16">
        <v>42757.36</v>
      </c>
      <c r="N956" t="s">
        <v>125</v>
      </c>
      <c r="O956" t="s">
        <v>113</v>
      </c>
      <c r="P956" t="str">
        <f t="shared" si="14"/>
        <v>New Delhi|Tablet X</v>
      </c>
    </row>
    <row r="957" spans="1:16" x14ac:dyDescent="0.3">
      <c r="A957" s="15">
        <v>46049</v>
      </c>
      <c r="B957" t="s">
        <v>34</v>
      </c>
      <c r="C957" t="s">
        <v>152</v>
      </c>
      <c r="D957" t="s">
        <v>187</v>
      </c>
      <c r="E957" t="s">
        <v>188</v>
      </c>
      <c r="F957" t="s">
        <v>94</v>
      </c>
      <c r="G957" t="s">
        <v>64</v>
      </c>
      <c r="H957" t="s">
        <v>184</v>
      </c>
      <c r="I957" t="s">
        <v>379</v>
      </c>
      <c r="J957">
        <v>1</v>
      </c>
      <c r="K957" s="16">
        <v>20370</v>
      </c>
      <c r="L957" s="16">
        <v>14371.62</v>
      </c>
      <c r="M957" s="16">
        <v>5998.38</v>
      </c>
      <c r="N957" t="s">
        <v>141</v>
      </c>
      <c r="O957" t="s">
        <v>113</v>
      </c>
      <c r="P957" t="str">
        <f t="shared" si="14"/>
        <v>Warangal|Monitor 27</v>
      </c>
    </row>
    <row r="958" spans="1:16" x14ac:dyDescent="0.3">
      <c r="A958" s="15">
        <v>46070</v>
      </c>
      <c r="B958" t="s">
        <v>120</v>
      </c>
      <c r="C958" t="s">
        <v>121</v>
      </c>
      <c r="D958" t="s">
        <v>137</v>
      </c>
      <c r="E958" t="s">
        <v>138</v>
      </c>
      <c r="F958" t="s">
        <v>94</v>
      </c>
      <c r="G958" t="s">
        <v>67</v>
      </c>
      <c r="H958" t="s">
        <v>139</v>
      </c>
      <c r="I958" t="s">
        <v>392</v>
      </c>
      <c r="J958">
        <v>11</v>
      </c>
      <c r="K958" s="16">
        <v>319440</v>
      </c>
      <c r="L958" s="16">
        <v>208818.89</v>
      </c>
      <c r="M958" s="16">
        <v>110621.11</v>
      </c>
      <c r="N958" t="s">
        <v>125</v>
      </c>
      <c r="O958" t="s">
        <v>113</v>
      </c>
      <c r="P958" t="str">
        <f t="shared" si="14"/>
        <v>Cuttack|Tablet X</v>
      </c>
    </row>
    <row r="959" spans="1:16" x14ac:dyDescent="0.3">
      <c r="A959" s="15">
        <v>46133</v>
      </c>
      <c r="B959" t="s">
        <v>34</v>
      </c>
      <c r="C959" t="s">
        <v>121</v>
      </c>
      <c r="D959" t="s">
        <v>137</v>
      </c>
      <c r="E959" t="s">
        <v>138</v>
      </c>
      <c r="F959" t="s">
        <v>94</v>
      </c>
      <c r="G959" t="s">
        <v>64</v>
      </c>
      <c r="H959" t="s">
        <v>139</v>
      </c>
      <c r="I959" t="s">
        <v>376</v>
      </c>
      <c r="J959">
        <v>5</v>
      </c>
      <c r="K959" s="16">
        <v>96600</v>
      </c>
      <c r="L959" s="16">
        <v>66840.36</v>
      </c>
      <c r="M959" s="16">
        <v>29759.64</v>
      </c>
      <c r="N959" t="s">
        <v>125</v>
      </c>
      <c r="O959" t="s">
        <v>113</v>
      </c>
      <c r="P959" t="str">
        <f t="shared" si="14"/>
        <v>Cuttack|Monitor 27</v>
      </c>
    </row>
    <row r="960" spans="1:16" x14ac:dyDescent="0.3">
      <c r="A960" s="15">
        <v>46222</v>
      </c>
      <c r="B960" t="s">
        <v>34</v>
      </c>
      <c r="C960" t="s">
        <v>121</v>
      </c>
      <c r="D960" t="s">
        <v>137</v>
      </c>
      <c r="E960" t="s">
        <v>138</v>
      </c>
      <c r="F960" t="s">
        <v>96</v>
      </c>
      <c r="G960" t="s">
        <v>82</v>
      </c>
      <c r="H960" t="s">
        <v>135</v>
      </c>
      <c r="I960" t="s">
        <v>250</v>
      </c>
      <c r="J960">
        <v>17</v>
      </c>
      <c r="K960" s="16">
        <v>445740</v>
      </c>
      <c r="L960" s="16">
        <v>326441.57</v>
      </c>
      <c r="M960" s="16">
        <v>119298.43</v>
      </c>
      <c r="N960" t="s">
        <v>141</v>
      </c>
      <c r="O960" t="s">
        <v>119</v>
      </c>
      <c r="P960" t="str">
        <f t="shared" si="14"/>
        <v>Cuttack|Standing Desk</v>
      </c>
    </row>
    <row r="961" spans="1:16" x14ac:dyDescent="0.3">
      <c r="A961" s="15">
        <v>46038</v>
      </c>
      <c r="B961" t="s">
        <v>34</v>
      </c>
      <c r="C961" t="s">
        <v>121</v>
      </c>
      <c r="D961" t="s">
        <v>146</v>
      </c>
      <c r="E961" t="s">
        <v>147</v>
      </c>
      <c r="F961" t="s">
        <v>97</v>
      </c>
      <c r="G961" t="s">
        <v>88</v>
      </c>
      <c r="H961" t="s">
        <v>173</v>
      </c>
      <c r="I961" t="s">
        <v>335</v>
      </c>
      <c r="J961">
        <v>9</v>
      </c>
      <c r="K961" s="16">
        <v>130500</v>
      </c>
      <c r="L961" s="16">
        <v>105164.39</v>
      </c>
      <c r="M961" s="16">
        <v>25335.61</v>
      </c>
      <c r="N961" t="s">
        <v>141</v>
      </c>
      <c r="O961" t="s">
        <v>113</v>
      </c>
      <c r="P961" t="str">
        <f t="shared" si="14"/>
        <v>Guwahati|Vacuum Cleaner</v>
      </c>
    </row>
    <row r="962" spans="1:16" x14ac:dyDescent="0.3">
      <c r="A962" s="15">
        <v>46185</v>
      </c>
      <c r="B962" t="s">
        <v>34</v>
      </c>
      <c r="C962" t="s">
        <v>126</v>
      </c>
      <c r="D962" t="s">
        <v>196</v>
      </c>
      <c r="E962" t="s">
        <v>208</v>
      </c>
      <c r="F962" t="s">
        <v>94</v>
      </c>
      <c r="G962" t="s">
        <v>61</v>
      </c>
      <c r="H962" t="s">
        <v>117</v>
      </c>
      <c r="I962" t="s">
        <v>118</v>
      </c>
      <c r="J962">
        <v>9</v>
      </c>
      <c r="K962" s="16">
        <v>702000</v>
      </c>
      <c r="L962" s="16">
        <v>537026.96</v>
      </c>
      <c r="M962" s="16">
        <v>164973.04</v>
      </c>
      <c r="N962" t="s">
        <v>131</v>
      </c>
      <c r="O962" t="s">
        <v>119</v>
      </c>
      <c r="P962" t="str">
        <f t="shared" si="14"/>
        <v>New Delhi|Laptop Pro</v>
      </c>
    </row>
    <row r="963" spans="1:16" x14ac:dyDescent="0.3">
      <c r="A963" s="15">
        <v>46162</v>
      </c>
      <c r="B963" t="s">
        <v>120</v>
      </c>
      <c r="C963" t="s">
        <v>126</v>
      </c>
      <c r="D963" t="s">
        <v>162</v>
      </c>
      <c r="E963" t="s">
        <v>204</v>
      </c>
      <c r="F963" t="s">
        <v>97</v>
      </c>
      <c r="G963" t="s">
        <v>88</v>
      </c>
      <c r="H963" t="s">
        <v>135</v>
      </c>
      <c r="I963" t="s">
        <v>249</v>
      </c>
      <c r="J963">
        <v>16</v>
      </c>
      <c r="K963" s="16">
        <v>232000</v>
      </c>
      <c r="L963" s="16">
        <v>187921.74</v>
      </c>
      <c r="M963" s="16">
        <v>44078.26</v>
      </c>
      <c r="N963" t="s">
        <v>112</v>
      </c>
      <c r="O963" t="s">
        <v>113</v>
      </c>
      <c r="P963" t="str">
        <f t="shared" si="14"/>
        <v>Noida|Vacuum Cleaner</v>
      </c>
    </row>
    <row r="964" spans="1:16" x14ac:dyDescent="0.3">
      <c r="A964" s="15">
        <v>46161</v>
      </c>
      <c r="B964" t="s">
        <v>34</v>
      </c>
      <c r="C964" t="s">
        <v>152</v>
      </c>
      <c r="D964" t="s">
        <v>153</v>
      </c>
      <c r="E964" t="s">
        <v>154</v>
      </c>
      <c r="F964" t="s">
        <v>94</v>
      </c>
      <c r="G964" t="s">
        <v>70</v>
      </c>
      <c r="H964" t="s">
        <v>184</v>
      </c>
      <c r="I964" t="s">
        <v>144</v>
      </c>
      <c r="J964">
        <v>4</v>
      </c>
      <c r="K964" s="16">
        <v>58900</v>
      </c>
      <c r="L964" s="16">
        <v>45132.29</v>
      </c>
      <c r="M964" s="16">
        <v>13767.71</v>
      </c>
      <c r="N964" t="s">
        <v>141</v>
      </c>
      <c r="O964" t="s">
        <v>142</v>
      </c>
      <c r="P964" t="str">
        <f t="shared" si="14"/>
        <v>Coimbatore|Printer Pro</v>
      </c>
    </row>
    <row r="965" spans="1:16" x14ac:dyDescent="0.3">
      <c r="A965" s="15">
        <v>46050</v>
      </c>
      <c r="B965" t="s">
        <v>34</v>
      </c>
      <c r="C965" t="s">
        <v>126</v>
      </c>
      <c r="D965" t="s">
        <v>162</v>
      </c>
      <c r="E965" t="s">
        <v>204</v>
      </c>
      <c r="F965" t="s">
        <v>97</v>
      </c>
      <c r="G965" t="s">
        <v>86</v>
      </c>
      <c r="H965" t="s">
        <v>133</v>
      </c>
      <c r="I965" t="s">
        <v>209</v>
      </c>
      <c r="J965">
        <v>12</v>
      </c>
      <c r="K965" s="16">
        <v>78000</v>
      </c>
      <c r="L965" s="16">
        <v>50273.18</v>
      </c>
      <c r="M965" s="16">
        <v>27726.82</v>
      </c>
      <c r="N965" t="s">
        <v>112</v>
      </c>
      <c r="O965" t="s">
        <v>113</v>
      </c>
      <c r="P965" t="str">
        <f t="shared" ref="P965:P1028" si="15">E965&amp;"|"&amp;G965</f>
        <v>Noida|Coffee Maker</v>
      </c>
    </row>
    <row r="966" spans="1:16" x14ac:dyDescent="0.3">
      <c r="A966" s="15">
        <v>46203</v>
      </c>
      <c r="B966" t="s">
        <v>114</v>
      </c>
      <c r="C966" t="s">
        <v>121</v>
      </c>
      <c r="D966" t="s">
        <v>122</v>
      </c>
      <c r="E966" t="s">
        <v>123</v>
      </c>
      <c r="F966" t="s">
        <v>96</v>
      </c>
      <c r="G966" t="s">
        <v>84</v>
      </c>
      <c r="H966" t="s">
        <v>184</v>
      </c>
      <c r="I966" t="s">
        <v>374</v>
      </c>
      <c r="J966">
        <v>20</v>
      </c>
      <c r="K966" s="16">
        <v>290000</v>
      </c>
      <c r="L966" s="16">
        <v>234704.38</v>
      </c>
      <c r="M966" s="16">
        <v>55295.62</v>
      </c>
      <c r="N966" t="s">
        <v>141</v>
      </c>
      <c r="O966" t="s">
        <v>113</v>
      </c>
      <c r="P966" t="str">
        <f t="shared" si="15"/>
        <v>Durgapur|Filing Cabinet</v>
      </c>
    </row>
    <row r="967" spans="1:16" x14ac:dyDescent="0.3">
      <c r="A967" s="15">
        <v>46227</v>
      </c>
      <c r="B967" t="s">
        <v>34</v>
      </c>
      <c r="C967" t="s">
        <v>152</v>
      </c>
      <c r="D967" t="s">
        <v>156</v>
      </c>
      <c r="E967" t="s">
        <v>238</v>
      </c>
      <c r="F967" t="s">
        <v>96</v>
      </c>
      <c r="G967" t="s">
        <v>84</v>
      </c>
      <c r="H967" t="s">
        <v>173</v>
      </c>
      <c r="I967" t="s">
        <v>311</v>
      </c>
      <c r="J967">
        <v>4</v>
      </c>
      <c r="K967" s="16">
        <v>58000</v>
      </c>
      <c r="L967" s="16">
        <v>36089.03</v>
      </c>
      <c r="M967" s="16">
        <v>21910.97</v>
      </c>
      <c r="N967" t="s">
        <v>141</v>
      </c>
      <c r="O967" t="s">
        <v>113</v>
      </c>
      <c r="P967" t="str">
        <f t="shared" si="15"/>
        <v>Bengaluru|Filing Cabinet</v>
      </c>
    </row>
    <row r="968" spans="1:16" x14ac:dyDescent="0.3">
      <c r="A968" s="15">
        <v>46261</v>
      </c>
      <c r="B968" t="s">
        <v>34</v>
      </c>
      <c r="C968" t="s">
        <v>152</v>
      </c>
      <c r="D968" t="s">
        <v>156</v>
      </c>
      <c r="E968" t="s">
        <v>238</v>
      </c>
      <c r="F968" t="s">
        <v>95</v>
      </c>
      <c r="G968" t="s">
        <v>74</v>
      </c>
      <c r="H968" t="s">
        <v>135</v>
      </c>
      <c r="I968" t="s">
        <v>234</v>
      </c>
      <c r="J968">
        <v>13</v>
      </c>
      <c r="K968" s="16">
        <v>54912</v>
      </c>
      <c r="L968" s="16">
        <v>40932.75</v>
      </c>
      <c r="M968" s="16">
        <v>13979.25</v>
      </c>
      <c r="N968" t="s">
        <v>131</v>
      </c>
      <c r="O968" t="s">
        <v>113</v>
      </c>
      <c r="P968" t="str">
        <f t="shared" si="15"/>
        <v>Bengaluru|Headset</v>
      </c>
    </row>
    <row r="969" spans="1:16" x14ac:dyDescent="0.3">
      <c r="A969" s="15">
        <v>46085</v>
      </c>
      <c r="B969" t="s">
        <v>34</v>
      </c>
      <c r="C969" t="s">
        <v>107</v>
      </c>
      <c r="D969" t="s">
        <v>115</v>
      </c>
      <c r="E969" t="s">
        <v>191</v>
      </c>
      <c r="F969" t="s">
        <v>94</v>
      </c>
      <c r="G969" t="s">
        <v>70</v>
      </c>
      <c r="H969" t="s">
        <v>129</v>
      </c>
      <c r="I969" t="s">
        <v>275</v>
      </c>
      <c r="J969">
        <v>20</v>
      </c>
      <c r="K969" s="16">
        <v>272800</v>
      </c>
      <c r="L969" s="16">
        <v>218641.64</v>
      </c>
      <c r="M969" s="16">
        <v>54158.36</v>
      </c>
      <c r="N969" t="s">
        <v>112</v>
      </c>
      <c r="O969" t="s">
        <v>142</v>
      </c>
      <c r="P969" t="str">
        <f t="shared" si="15"/>
        <v>Surat|Printer Pro</v>
      </c>
    </row>
    <row r="970" spans="1:16" x14ac:dyDescent="0.3">
      <c r="A970" s="15">
        <v>46264</v>
      </c>
      <c r="B970" t="s">
        <v>34</v>
      </c>
      <c r="C970" t="s">
        <v>152</v>
      </c>
      <c r="D970" t="s">
        <v>156</v>
      </c>
      <c r="E970" t="s">
        <v>157</v>
      </c>
      <c r="F970" t="s">
        <v>96</v>
      </c>
      <c r="G970" t="s">
        <v>83</v>
      </c>
      <c r="H970" t="s">
        <v>135</v>
      </c>
      <c r="I970" t="s">
        <v>225</v>
      </c>
      <c r="J970">
        <v>4</v>
      </c>
      <c r="K970" s="16">
        <v>144000</v>
      </c>
      <c r="L970" s="16">
        <v>116197.44</v>
      </c>
      <c r="M970" s="16">
        <v>27802.560000000001</v>
      </c>
      <c r="N970" t="s">
        <v>141</v>
      </c>
      <c r="O970" t="s">
        <v>119</v>
      </c>
      <c r="P970" t="str">
        <f t="shared" si="15"/>
        <v>Mysuru|Meeting Table</v>
      </c>
    </row>
    <row r="971" spans="1:16" x14ac:dyDescent="0.3">
      <c r="A971" s="15">
        <v>46054</v>
      </c>
      <c r="B971" t="s">
        <v>34</v>
      </c>
      <c r="C971" t="s">
        <v>121</v>
      </c>
      <c r="D971" t="s">
        <v>146</v>
      </c>
      <c r="E971" t="s">
        <v>147</v>
      </c>
      <c r="F971" t="s">
        <v>96</v>
      </c>
      <c r="G971" t="s">
        <v>80</v>
      </c>
      <c r="H971" t="s">
        <v>135</v>
      </c>
      <c r="I971" t="s">
        <v>389</v>
      </c>
      <c r="J971">
        <v>5</v>
      </c>
      <c r="K971" s="16">
        <v>62500</v>
      </c>
      <c r="L971" s="16">
        <v>47082.93</v>
      </c>
      <c r="M971" s="16">
        <v>15417.07</v>
      </c>
      <c r="N971" t="s">
        <v>141</v>
      </c>
      <c r="O971" t="s">
        <v>119</v>
      </c>
      <c r="P971" t="str">
        <f t="shared" si="15"/>
        <v>Guwahati|Office Chair</v>
      </c>
    </row>
    <row r="972" spans="1:16" x14ac:dyDescent="0.3">
      <c r="A972" s="15">
        <v>46214</v>
      </c>
      <c r="B972" t="s">
        <v>34</v>
      </c>
      <c r="C972" t="s">
        <v>152</v>
      </c>
      <c r="D972" t="s">
        <v>187</v>
      </c>
      <c r="E972" t="s">
        <v>199</v>
      </c>
      <c r="F972" t="s">
        <v>96</v>
      </c>
      <c r="G972" t="s">
        <v>80</v>
      </c>
      <c r="H972" t="s">
        <v>135</v>
      </c>
      <c r="I972" t="s">
        <v>206</v>
      </c>
      <c r="J972">
        <v>12</v>
      </c>
      <c r="K972" s="16">
        <v>145500</v>
      </c>
      <c r="L972" s="16">
        <v>115626.85</v>
      </c>
      <c r="M972" s="16">
        <v>29873.15</v>
      </c>
      <c r="N972" t="s">
        <v>125</v>
      </c>
      <c r="O972" t="s">
        <v>142</v>
      </c>
      <c r="P972" t="str">
        <f t="shared" si="15"/>
        <v>Hyderabad|Office Chair</v>
      </c>
    </row>
    <row r="973" spans="1:16" x14ac:dyDescent="0.3">
      <c r="A973" s="15">
        <v>46024</v>
      </c>
      <c r="B973" t="s">
        <v>34</v>
      </c>
      <c r="C973" t="s">
        <v>126</v>
      </c>
      <c r="D973" t="s">
        <v>162</v>
      </c>
      <c r="E973" t="s">
        <v>204</v>
      </c>
      <c r="F973" t="s">
        <v>95</v>
      </c>
      <c r="G973" t="s">
        <v>78</v>
      </c>
      <c r="H973" t="s">
        <v>139</v>
      </c>
      <c r="I973" t="s">
        <v>371</v>
      </c>
      <c r="J973">
        <v>6</v>
      </c>
      <c r="K973" s="16">
        <v>25200</v>
      </c>
      <c r="L973" s="16">
        <v>18463.68</v>
      </c>
      <c r="M973" s="16">
        <v>6736.32</v>
      </c>
      <c r="N973" t="s">
        <v>141</v>
      </c>
      <c r="O973" t="s">
        <v>113</v>
      </c>
      <c r="P973" t="str">
        <f t="shared" si="15"/>
        <v>Noida|Webcam</v>
      </c>
    </row>
    <row r="974" spans="1:16" x14ac:dyDescent="0.3">
      <c r="A974" s="15">
        <v>46094</v>
      </c>
      <c r="B974" t="s">
        <v>114</v>
      </c>
      <c r="C974" t="s">
        <v>152</v>
      </c>
      <c r="D974" t="s">
        <v>153</v>
      </c>
      <c r="E974" t="s">
        <v>154</v>
      </c>
      <c r="F974" t="s">
        <v>95</v>
      </c>
      <c r="G974" t="s">
        <v>76</v>
      </c>
      <c r="H974" t="s">
        <v>110</v>
      </c>
      <c r="I974" t="s">
        <v>261</v>
      </c>
      <c r="J974">
        <v>15</v>
      </c>
      <c r="K974" s="16">
        <v>25650</v>
      </c>
      <c r="L974" s="16">
        <v>17227.689999999999</v>
      </c>
      <c r="M974" s="16">
        <v>8422.31</v>
      </c>
      <c r="N974" t="s">
        <v>141</v>
      </c>
      <c r="O974" t="s">
        <v>142</v>
      </c>
      <c r="P974" t="str">
        <f t="shared" si="15"/>
        <v>Coimbatore|Mouse</v>
      </c>
    </row>
    <row r="975" spans="1:16" x14ac:dyDescent="0.3">
      <c r="A975" s="15">
        <v>46036</v>
      </c>
      <c r="B975" t="s">
        <v>34</v>
      </c>
      <c r="C975" t="s">
        <v>107</v>
      </c>
      <c r="D975" t="s">
        <v>115</v>
      </c>
      <c r="E975" t="s">
        <v>191</v>
      </c>
      <c r="F975" t="s">
        <v>97</v>
      </c>
      <c r="G975" t="s">
        <v>88</v>
      </c>
      <c r="H975" t="s">
        <v>135</v>
      </c>
      <c r="I975" t="s">
        <v>379</v>
      </c>
      <c r="J975">
        <v>15</v>
      </c>
      <c r="K975" s="16">
        <v>191400</v>
      </c>
      <c r="L975" s="16">
        <v>147500.19</v>
      </c>
      <c r="M975" s="16">
        <v>43899.81</v>
      </c>
      <c r="N975" t="s">
        <v>125</v>
      </c>
      <c r="O975" t="s">
        <v>113</v>
      </c>
      <c r="P975" t="str">
        <f t="shared" si="15"/>
        <v>Surat|Vacuum Cleaner</v>
      </c>
    </row>
    <row r="976" spans="1:16" x14ac:dyDescent="0.3">
      <c r="A976" s="15">
        <v>46141</v>
      </c>
      <c r="B976" t="s">
        <v>114</v>
      </c>
      <c r="C976" t="s">
        <v>152</v>
      </c>
      <c r="D976" t="s">
        <v>156</v>
      </c>
      <c r="E976" t="s">
        <v>157</v>
      </c>
      <c r="F976" t="s">
        <v>94</v>
      </c>
      <c r="G976" t="s">
        <v>67</v>
      </c>
      <c r="H976" t="s">
        <v>133</v>
      </c>
      <c r="I976" t="s">
        <v>267</v>
      </c>
      <c r="J976">
        <v>14</v>
      </c>
      <c r="K976" s="16">
        <v>438900</v>
      </c>
      <c r="L976" s="16">
        <v>310816.03999999998</v>
      </c>
      <c r="M976" s="16">
        <v>128083.96</v>
      </c>
      <c r="N976" t="s">
        <v>141</v>
      </c>
      <c r="O976" t="s">
        <v>142</v>
      </c>
      <c r="P976" t="str">
        <f t="shared" si="15"/>
        <v>Mysuru|Tablet X</v>
      </c>
    </row>
    <row r="977" spans="1:16" x14ac:dyDescent="0.3">
      <c r="A977" s="15">
        <v>46254</v>
      </c>
      <c r="B977" t="s">
        <v>34</v>
      </c>
      <c r="C977" t="s">
        <v>152</v>
      </c>
      <c r="D977" t="s">
        <v>187</v>
      </c>
      <c r="E977" t="s">
        <v>188</v>
      </c>
      <c r="F977" t="s">
        <v>94</v>
      </c>
      <c r="G977" t="s">
        <v>67</v>
      </c>
      <c r="H977" t="s">
        <v>135</v>
      </c>
      <c r="I977" t="s">
        <v>373</v>
      </c>
      <c r="J977">
        <v>10</v>
      </c>
      <c r="K977" s="16">
        <v>320100</v>
      </c>
      <c r="L977" s="16">
        <v>220329.53</v>
      </c>
      <c r="M977" s="16">
        <v>99770.47</v>
      </c>
      <c r="N977" t="s">
        <v>112</v>
      </c>
      <c r="O977" t="s">
        <v>119</v>
      </c>
      <c r="P977" t="str">
        <f t="shared" si="15"/>
        <v>Warangal|Tablet X</v>
      </c>
    </row>
    <row r="978" spans="1:16" x14ac:dyDescent="0.3">
      <c r="A978" s="15">
        <v>46185</v>
      </c>
      <c r="B978" t="s">
        <v>120</v>
      </c>
      <c r="C978" t="s">
        <v>121</v>
      </c>
      <c r="D978" t="s">
        <v>146</v>
      </c>
      <c r="E978" t="s">
        <v>175</v>
      </c>
      <c r="F978" t="s">
        <v>95</v>
      </c>
      <c r="G978" t="s">
        <v>74</v>
      </c>
      <c r="H978" t="s">
        <v>184</v>
      </c>
      <c r="I978" t="s">
        <v>276</v>
      </c>
      <c r="J978">
        <v>19</v>
      </c>
      <c r="K978" s="16">
        <v>88464</v>
      </c>
      <c r="L978" s="16">
        <v>60339.27</v>
      </c>
      <c r="M978" s="16">
        <v>28124.73</v>
      </c>
      <c r="N978" t="s">
        <v>112</v>
      </c>
      <c r="O978" t="s">
        <v>113</v>
      </c>
      <c r="P978" t="str">
        <f t="shared" si="15"/>
        <v>Dibrugarh|Headset</v>
      </c>
    </row>
    <row r="979" spans="1:16" x14ac:dyDescent="0.3">
      <c r="A979" s="15">
        <v>46231</v>
      </c>
      <c r="B979" t="s">
        <v>114</v>
      </c>
      <c r="C979" t="s">
        <v>152</v>
      </c>
      <c r="D979" t="s">
        <v>156</v>
      </c>
      <c r="E979" t="s">
        <v>238</v>
      </c>
      <c r="F979" t="s">
        <v>96</v>
      </c>
      <c r="G979" t="s">
        <v>82</v>
      </c>
      <c r="H979" t="s">
        <v>173</v>
      </c>
      <c r="I979" t="s">
        <v>167</v>
      </c>
      <c r="J979">
        <v>12</v>
      </c>
      <c r="K979" s="16">
        <v>314640</v>
      </c>
      <c r="L979" s="16">
        <v>220890.05</v>
      </c>
      <c r="M979" s="16">
        <v>93749.95</v>
      </c>
      <c r="N979" t="s">
        <v>112</v>
      </c>
      <c r="O979" t="s">
        <v>119</v>
      </c>
      <c r="P979" t="str">
        <f t="shared" si="15"/>
        <v>Bengaluru|Standing Desk</v>
      </c>
    </row>
    <row r="980" spans="1:16" x14ac:dyDescent="0.3">
      <c r="A980" s="15">
        <v>46260</v>
      </c>
      <c r="B980" t="s">
        <v>34</v>
      </c>
      <c r="C980" t="s">
        <v>126</v>
      </c>
      <c r="D980" t="s">
        <v>196</v>
      </c>
      <c r="E980" t="s">
        <v>197</v>
      </c>
      <c r="F980" t="s">
        <v>97</v>
      </c>
      <c r="G980" t="s">
        <v>85</v>
      </c>
      <c r="H980" t="s">
        <v>184</v>
      </c>
      <c r="I980" t="s">
        <v>287</v>
      </c>
      <c r="J980">
        <v>3</v>
      </c>
      <c r="K980" s="16">
        <v>52380</v>
      </c>
      <c r="L980" s="16">
        <v>36632.910000000003</v>
      </c>
      <c r="M980" s="16">
        <v>15747.09</v>
      </c>
      <c r="N980" t="s">
        <v>112</v>
      </c>
      <c r="O980" t="s">
        <v>113</v>
      </c>
      <c r="P980" t="str">
        <f t="shared" si="15"/>
        <v>Dwarka|Air Purifier</v>
      </c>
    </row>
    <row r="981" spans="1:16" x14ac:dyDescent="0.3">
      <c r="A981" s="15">
        <v>46054</v>
      </c>
      <c r="B981" t="s">
        <v>34</v>
      </c>
      <c r="C981" t="s">
        <v>121</v>
      </c>
      <c r="D981" t="s">
        <v>146</v>
      </c>
      <c r="E981" t="s">
        <v>175</v>
      </c>
      <c r="F981" t="s">
        <v>95</v>
      </c>
      <c r="G981" t="s">
        <v>76</v>
      </c>
      <c r="H981" t="s">
        <v>139</v>
      </c>
      <c r="I981" t="s">
        <v>202</v>
      </c>
      <c r="J981">
        <v>3</v>
      </c>
      <c r="K981" s="16">
        <v>5238</v>
      </c>
      <c r="L981" s="16">
        <v>3692.71</v>
      </c>
      <c r="M981" s="16">
        <v>1545.29</v>
      </c>
      <c r="N981" t="s">
        <v>141</v>
      </c>
      <c r="O981" t="s">
        <v>119</v>
      </c>
      <c r="P981" t="str">
        <f t="shared" si="15"/>
        <v>Dibrugarh|Mouse</v>
      </c>
    </row>
    <row r="982" spans="1:16" x14ac:dyDescent="0.3">
      <c r="A982" s="15">
        <v>46204</v>
      </c>
      <c r="B982" t="s">
        <v>114</v>
      </c>
      <c r="C982" t="s">
        <v>126</v>
      </c>
      <c r="D982" t="s">
        <v>196</v>
      </c>
      <c r="E982" t="s">
        <v>197</v>
      </c>
      <c r="F982" t="s">
        <v>97</v>
      </c>
      <c r="G982" t="s">
        <v>87</v>
      </c>
      <c r="H982" t="s">
        <v>133</v>
      </c>
      <c r="I982" t="s">
        <v>408</v>
      </c>
      <c r="J982">
        <v>19</v>
      </c>
      <c r="K982" s="16">
        <v>237500</v>
      </c>
      <c r="L982" s="16">
        <v>158044.24</v>
      </c>
      <c r="M982" s="16">
        <v>79455.759999999995</v>
      </c>
      <c r="N982" t="s">
        <v>125</v>
      </c>
      <c r="O982" t="s">
        <v>113</v>
      </c>
      <c r="P982" t="str">
        <f t="shared" si="15"/>
        <v>Dwarka|Microwave</v>
      </c>
    </row>
    <row r="983" spans="1:16" x14ac:dyDescent="0.3">
      <c r="A983" s="15">
        <v>46150</v>
      </c>
      <c r="B983" t="s">
        <v>34</v>
      </c>
      <c r="C983" t="s">
        <v>107</v>
      </c>
      <c r="D983" t="s">
        <v>149</v>
      </c>
      <c r="E983" t="s">
        <v>150</v>
      </c>
      <c r="F983" t="s">
        <v>94</v>
      </c>
      <c r="G983" t="s">
        <v>67</v>
      </c>
      <c r="H983" t="s">
        <v>129</v>
      </c>
      <c r="I983" t="s">
        <v>244</v>
      </c>
      <c r="J983">
        <v>18</v>
      </c>
      <c r="K983" s="16">
        <v>576180</v>
      </c>
      <c r="L983" s="16">
        <v>450972.98</v>
      </c>
      <c r="M983" s="16">
        <v>125207.02</v>
      </c>
      <c r="N983" t="s">
        <v>125</v>
      </c>
      <c r="O983" t="s">
        <v>113</v>
      </c>
      <c r="P983" t="str">
        <f t="shared" si="15"/>
        <v>Mumbai|Tablet X</v>
      </c>
    </row>
    <row r="984" spans="1:16" x14ac:dyDescent="0.3">
      <c r="A984" s="15">
        <v>46202</v>
      </c>
      <c r="B984" t="s">
        <v>34</v>
      </c>
      <c r="C984" t="s">
        <v>126</v>
      </c>
      <c r="D984" t="s">
        <v>196</v>
      </c>
      <c r="E984" t="s">
        <v>208</v>
      </c>
      <c r="F984" t="s">
        <v>96</v>
      </c>
      <c r="G984" t="s">
        <v>83</v>
      </c>
      <c r="H984" t="s">
        <v>184</v>
      </c>
      <c r="I984" t="s">
        <v>341</v>
      </c>
      <c r="J984">
        <v>18</v>
      </c>
      <c r="K984" s="16">
        <v>596160</v>
      </c>
      <c r="L984" s="16">
        <v>427720.2</v>
      </c>
      <c r="M984" s="16">
        <v>168439.8</v>
      </c>
      <c r="N984" t="s">
        <v>141</v>
      </c>
      <c r="O984" t="s">
        <v>119</v>
      </c>
      <c r="P984" t="str">
        <f t="shared" si="15"/>
        <v>New Delhi|Meeting Table</v>
      </c>
    </row>
    <row r="985" spans="1:16" x14ac:dyDescent="0.3">
      <c r="A985" s="15">
        <v>46050</v>
      </c>
      <c r="B985" t="s">
        <v>114</v>
      </c>
      <c r="C985" t="s">
        <v>107</v>
      </c>
      <c r="D985" t="s">
        <v>115</v>
      </c>
      <c r="E985" t="s">
        <v>191</v>
      </c>
      <c r="F985" t="s">
        <v>96</v>
      </c>
      <c r="G985" t="s">
        <v>82</v>
      </c>
      <c r="H985" t="s">
        <v>135</v>
      </c>
      <c r="I985" t="s">
        <v>230</v>
      </c>
      <c r="J985">
        <v>1</v>
      </c>
      <c r="K985" s="16">
        <v>27645</v>
      </c>
      <c r="L985" s="16">
        <v>21843.68</v>
      </c>
      <c r="M985" s="16">
        <v>5801.32</v>
      </c>
      <c r="N985" t="s">
        <v>112</v>
      </c>
      <c r="O985" t="s">
        <v>113</v>
      </c>
      <c r="P985" t="str">
        <f t="shared" si="15"/>
        <v>Surat|Standing Desk</v>
      </c>
    </row>
    <row r="986" spans="1:16" x14ac:dyDescent="0.3">
      <c r="A986" s="15">
        <v>46117</v>
      </c>
      <c r="B986" t="s">
        <v>34</v>
      </c>
      <c r="C986" t="s">
        <v>152</v>
      </c>
      <c r="D986" t="s">
        <v>187</v>
      </c>
      <c r="E986" t="s">
        <v>188</v>
      </c>
      <c r="F986" t="s">
        <v>96</v>
      </c>
      <c r="G986" t="s">
        <v>84</v>
      </c>
      <c r="H986" t="s">
        <v>129</v>
      </c>
      <c r="I986" t="s">
        <v>259</v>
      </c>
      <c r="J986">
        <v>9</v>
      </c>
      <c r="K986" s="16">
        <v>120060</v>
      </c>
      <c r="L986" s="16">
        <v>86233.57</v>
      </c>
      <c r="M986" s="16">
        <v>33826.43</v>
      </c>
      <c r="N986" t="s">
        <v>125</v>
      </c>
      <c r="O986" t="s">
        <v>113</v>
      </c>
      <c r="P986" t="str">
        <f t="shared" si="15"/>
        <v>Warangal|Filing Cabinet</v>
      </c>
    </row>
    <row r="987" spans="1:16" x14ac:dyDescent="0.3">
      <c r="A987" s="15">
        <v>46072</v>
      </c>
      <c r="B987" t="s">
        <v>120</v>
      </c>
      <c r="C987" t="s">
        <v>107</v>
      </c>
      <c r="D987" t="s">
        <v>108</v>
      </c>
      <c r="E987" t="s">
        <v>109</v>
      </c>
      <c r="F987" t="s">
        <v>96</v>
      </c>
      <c r="G987" t="s">
        <v>80</v>
      </c>
      <c r="H987" t="s">
        <v>173</v>
      </c>
      <c r="I987" t="s">
        <v>337</v>
      </c>
      <c r="J987">
        <v>7</v>
      </c>
      <c r="K987" s="16">
        <v>77000</v>
      </c>
      <c r="L987" s="16">
        <v>49664.800000000003</v>
      </c>
      <c r="M987" s="16">
        <v>27335.200000000001</v>
      </c>
      <c r="N987" t="s">
        <v>112</v>
      </c>
      <c r="O987" t="s">
        <v>142</v>
      </c>
      <c r="P987" t="str">
        <f t="shared" si="15"/>
        <v>Udaipur|Office Chair</v>
      </c>
    </row>
    <row r="988" spans="1:16" x14ac:dyDescent="0.3">
      <c r="A988" s="15">
        <v>46232</v>
      </c>
      <c r="B988" t="s">
        <v>34</v>
      </c>
      <c r="C988" t="s">
        <v>107</v>
      </c>
      <c r="D988" t="s">
        <v>115</v>
      </c>
      <c r="E988" t="s">
        <v>191</v>
      </c>
      <c r="F988" t="s">
        <v>94</v>
      </c>
      <c r="G988" t="s">
        <v>61</v>
      </c>
      <c r="H988" t="s">
        <v>135</v>
      </c>
      <c r="I988" t="s">
        <v>229</v>
      </c>
      <c r="J988">
        <v>1</v>
      </c>
      <c r="K988" s="16">
        <v>78000</v>
      </c>
      <c r="L988" s="16">
        <v>60080.480000000003</v>
      </c>
      <c r="M988" s="16">
        <v>17919.52</v>
      </c>
      <c r="N988" t="s">
        <v>141</v>
      </c>
      <c r="O988" t="s">
        <v>113</v>
      </c>
      <c r="P988" t="str">
        <f t="shared" si="15"/>
        <v>Surat|Laptop Pro</v>
      </c>
    </row>
    <row r="989" spans="1:16" x14ac:dyDescent="0.3">
      <c r="A989" s="15">
        <v>46134</v>
      </c>
      <c r="B989" t="s">
        <v>34</v>
      </c>
      <c r="C989" t="s">
        <v>152</v>
      </c>
      <c r="D989" t="s">
        <v>156</v>
      </c>
      <c r="E989" t="s">
        <v>238</v>
      </c>
      <c r="F989" t="s">
        <v>96</v>
      </c>
      <c r="G989" t="s">
        <v>82</v>
      </c>
      <c r="H989" t="s">
        <v>135</v>
      </c>
      <c r="I989" t="s">
        <v>200</v>
      </c>
      <c r="J989">
        <v>17</v>
      </c>
      <c r="K989" s="16">
        <v>469965</v>
      </c>
      <c r="L989" s="16">
        <v>330630.78000000003</v>
      </c>
      <c r="M989" s="16">
        <v>139334.22</v>
      </c>
      <c r="N989" t="s">
        <v>141</v>
      </c>
      <c r="O989" t="s">
        <v>119</v>
      </c>
      <c r="P989" t="str">
        <f t="shared" si="15"/>
        <v>Bengaluru|Standing Desk</v>
      </c>
    </row>
    <row r="990" spans="1:16" x14ac:dyDescent="0.3">
      <c r="A990" s="15">
        <v>46241</v>
      </c>
      <c r="B990" t="s">
        <v>34</v>
      </c>
      <c r="C990" t="s">
        <v>126</v>
      </c>
      <c r="D990" t="s">
        <v>196</v>
      </c>
      <c r="E990" t="s">
        <v>197</v>
      </c>
      <c r="F990" t="s">
        <v>95</v>
      </c>
      <c r="G990" t="s">
        <v>78</v>
      </c>
      <c r="H990" t="s">
        <v>173</v>
      </c>
      <c r="I990" t="s">
        <v>309</v>
      </c>
      <c r="J990">
        <v>19</v>
      </c>
      <c r="K990" s="16">
        <v>79800</v>
      </c>
      <c r="L990" s="16">
        <v>60296.31</v>
      </c>
      <c r="M990" s="16">
        <v>19503.689999999999</v>
      </c>
      <c r="N990" t="s">
        <v>112</v>
      </c>
      <c r="O990" t="s">
        <v>142</v>
      </c>
      <c r="P990" t="str">
        <f t="shared" si="15"/>
        <v>Dwarka|Webcam</v>
      </c>
    </row>
    <row r="991" spans="1:16" x14ac:dyDescent="0.3">
      <c r="A991" s="15">
        <v>46168</v>
      </c>
      <c r="B991" t="s">
        <v>34</v>
      </c>
      <c r="C991" t="s">
        <v>107</v>
      </c>
      <c r="D991" t="s">
        <v>149</v>
      </c>
      <c r="E991" t="s">
        <v>150</v>
      </c>
      <c r="F991" t="s">
        <v>95</v>
      </c>
      <c r="G991" t="s">
        <v>74</v>
      </c>
      <c r="H991" t="s">
        <v>133</v>
      </c>
      <c r="I991" t="s">
        <v>195</v>
      </c>
      <c r="J991">
        <v>3</v>
      </c>
      <c r="K991" s="16">
        <v>13968</v>
      </c>
      <c r="L991" s="16">
        <v>9056.1299999999992</v>
      </c>
      <c r="M991" s="16">
        <v>4911.87</v>
      </c>
      <c r="N991" t="s">
        <v>112</v>
      </c>
      <c r="O991" t="s">
        <v>113</v>
      </c>
      <c r="P991" t="str">
        <f t="shared" si="15"/>
        <v>Mumbai|Headset</v>
      </c>
    </row>
    <row r="992" spans="1:16" x14ac:dyDescent="0.3">
      <c r="A992" s="15">
        <v>46078</v>
      </c>
      <c r="B992" t="s">
        <v>34</v>
      </c>
      <c r="C992" t="s">
        <v>121</v>
      </c>
      <c r="D992" t="s">
        <v>137</v>
      </c>
      <c r="E992" t="s">
        <v>138</v>
      </c>
      <c r="F992" t="s">
        <v>95</v>
      </c>
      <c r="G992" t="s">
        <v>78</v>
      </c>
      <c r="H992" t="s">
        <v>184</v>
      </c>
      <c r="I992" t="s">
        <v>210</v>
      </c>
      <c r="J992">
        <v>9</v>
      </c>
      <c r="K992" s="16">
        <v>36666</v>
      </c>
      <c r="L992" s="16">
        <v>29366.78</v>
      </c>
      <c r="M992" s="16">
        <v>7299.22</v>
      </c>
      <c r="N992" t="s">
        <v>125</v>
      </c>
      <c r="O992" t="s">
        <v>119</v>
      </c>
      <c r="P992" t="str">
        <f t="shared" si="15"/>
        <v>Cuttack|Webcam</v>
      </c>
    </row>
    <row r="993" spans="1:16" x14ac:dyDescent="0.3">
      <c r="A993" s="15">
        <v>46141</v>
      </c>
      <c r="B993" t="s">
        <v>34</v>
      </c>
      <c r="C993" t="s">
        <v>121</v>
      </c>
      <c r="D993" t="s">
        <v>122</v>
      </c>
      <c r="E993" t="s">
        <v>166</v>
      </c>
      <c r="F993" t="s">
        <v>95</v>
      </c>
      <c r="G993" t="s">
        <v>74</v>
      </c>
      <c r="H993" t="s">
        <v>173</v>
      </c>
      <c r="I993" t="s">
        <v>378</v>
      </c>
      <c r="J993">
        <v>18</v>
      </c>
      <c r="K993" s="16">
        <v>86400</v>
      </c>
      <c r="L993" s="16">
        <v>54115.66</v>
      </c>
      <c r="M993" s="16">
        <v>32284.34</v>
      </c>
      <c r="N993" t="s">
        <v>131</v>
      </c>
      <c r="O993" t="s">
        <v>142</v>
      </c>
      <c r="P993" t="str">
        <f t="shared" si="15"/>
        <v>Kolkata|Headset</v>
      </c>
    </row>
    <row r="994" spans="1:16" x14ac:dyDescent="0.3">
      <c r="A994" s="15">
        <v>46163</v>
      </c>
      <c r="B994" t="s">
        <v>34</v>
      </c>
      <c r="C994" t="s">
        <v>152</v>
      </c>
      <c r="D994" t="s">
        <v>156</v>
      </c>
      <c r="E994" t="s">
        <v>157</v>
      </c>
      <c r="F994" t="s">
        <v>94</v>
      </c>
      <c r="G994" t="s">
        <v>70</v>
      </c>
      <c r="H994" t="s">
        <v>110</v>
      </c>
      <c r="I994" t="s">
        <v>240</v>
      </c>
      <c r="J994">
        <v>5</v>
      </c>
      <c r="K994" s="16">
        <v>77500</v>
      </c>
      <c r="L994" s="16">
        <v>50164.34</v>
      </c>
      <c r="M994" s="16">
        <v>27335.66</v>
      </c>
      <c r="N994" t="s">
        <v>112</v>
      </c>
      <c r="O994" t="s">
        <v>113</v>
      </c>
      <c r="P994" t="str">
        <f t="shared" si="15"/>
        <v>Mysuru|Printer Pro</v>
      </c>
    </row>
    <row r="995" spans="1:16" x14ac:dyDescent="0.3">
      <c r="A995" s="15">
        <v>46155</v>
      </c>
      <c r="B995" t="s">
        <v>34</v>
      </c>
      <c r="C995" t="s">
        <v>126</v>
      </c>
      <c r="D995" t="s">
        <v>127</v>
      </c>
      <c r="E995" t="s">
        <v>143</v>
      </c>
      <c r="F995" t="s">
        <v>94</v>
      </c>
      <c r="G995" t="s">
        <v>67</v>
      </c>
      <c r="H995" t="s">
        <v>139</v>
      </c>
      <c r="I995" t="s">
        <v>372</v>
      </c>
      <c r="J995">
        <v>15</v>
      </c>
      <c r="K995" s="16">
        <v>480150</v>
      </c>
      <c r="L995" s="16">
        <v>380765.5</v>
      </c>
      <c r="M995" s="16">
        <v>99384.5</v>
      </c>
      <c r="N995" t="s">
        <v>131</v>
      </c>
      <c r="O995" t="s">
        <v>113</v>
      </c>
      <c r="P995" t="str">
        <f t="shared" si="15"/>
        <v>Faridabad|Tablet X</v>
      </c>
    </row>
    <row r="996" spans="1:16" x14ac:dyDescent="0.3">
      <c r="A996" s="15">
        <v>46031</v>
      </c>
      <c r="B996" t="s">
        <v>34</v>
      </c>
      <c r="C996" t="s">
        <v>107</v>
      </c>
      <c r="D996" t="s">
        <v>115</v>
      </c>
      <c r="E996" t="s">
        <v>191</v>
      </c>
      <c r="F996" t="s">
        <v>97</v>
      </c>
      <c r="G996" t="s">
        <v>85</v>
      </c>
      <c r="H996" t="s">
        <v>117</v>
      </c>
      <c r="I996" t="s">
        <v>356</v>
      </c>
      <c r="J996">
        <v>18</v>
      </c>
      <c r="K996" s="16">
        <v>298080</v>
      </c>
      <c r="L996" s="16">
        <v>227674</v>
      </c>
      <c r="M996" s="16">
        <v>70406</v>
      </c>
      <c r="N996" t="s">
        <v>131</v>
      </c>
      <c r="O996" t="s">
        <v>113</v>
      </c>
      <c r="P996" t="str">
        <f t="shared" si="15"/>
        <v>Surat|Air Purifier</v>
      </c>
    </row>
    <row r="997" spans="1:16" x14ac:dyDescent="0.3">
      <c r="A997" s="15">
        <v>46201</v>
      </c>
      <c r="B997" t="s">
        <v>34</v>
      </c>
      <c r="C997" t="s">
        <v>121</v>
      </c>
      <c r="D997" t="s">
        <v>137</v>
      </c>
      <c r="E997" t="s">
        <v>171</v>
      </c>
      <c r="F997" t="s">
        <v>94</v>
      </c>
      <c r="G997" t="s">
        <v>64</v>
      </c>
      <c r="H997" t="s">
        <v>173</v>
      </c>
      <c r="I997" t="s">
        <v>195</v>
      </c>
      <c r="J997">
        <v>15</v>
      </c>
      <c r="K997" s="16">
        <v>289800</v>
      </c>
      <c r="L997" s="16">
        <v>212374.5</v>
      </c>
      <c r="M997" s="16">
        <v>77425.5</v>
      </c>
      <c r="N997" t="s">
        <v>112</v>
      </c>
      <c r="O997" t="s">
        <v>113</v>
      </c>
      <c r="P997" t="str">
        <f t="shared" si="15"/>
        <v>Bhubaneswar|Monitor 27</v>
      </c>
    </row>
    <row r="998" spans="1:16" x14ac:dyDescent="0.3">
      <c r="A998" s="15">
        <v>46156</v>
      </c>
      <c r="B998" t="s">
        <v>114</v>
      </c>
      <c r="C998" t="s">
        <v>121</v>
      </c>
      <c r="D998" t="s">
        <v>137</v>
      </c>
      <c r="E998" t="s">
        <v>171</v>
      </c>
      <c r="F998" t="s">
        <v>95</v>
      </c>
      <c r="G998" t="s">
        <v>76</v>
      </c>
      <c r="H998" t="s">
        <v>129</v>
      </c>
      <c r="I998" t="s">
        <v>401</v>
      </c>
      <c r="J998">
        <v>7</v>
      </c>
      <c r="K998" s="16">
        <v>12600</v>
      </c>
      <c r="L998" s="16">
        <v>9473.76</v>
      </c>
      <c r="M998" s="16">
        <v>3126.24</v>
      </c>
      <c r="N998" t="s">
        <v>125</v>
      </c>
      <c r="O998" t="s">
        <v>119</v>
      </c>
      <c r="P998" t="str">
        <f t="shared" si="15"/>
        <v>Bhubaneswar|Mouse</v>
      </c>
    </row>
    <row r="999" spans="1:16" x14ac:dyDescent="0.3">
      <c r="A999" s="15">
        <v>46139</v>
      </c>
      <c r="B999" t="s">
        <v>34</v>
      </c>
      <c r="C999" t="s">
        <v>126</v>
      </c>
      <c r="D999" t="s">
        <v>127</v>
      </c>
      <c r="E999" t="s">
        <v>143</v>
      </c>
      <c r="F999" t="s">
        <v>97</v>
      </c>
      <c r="G999" t="s">
        <v>88</v>
      </c>
      <c r="H999" t="s">
        <v>133</v>
      </c>
      <c r="I999" t="s">
        <v>353</v>
      </c>
      <c r="J999">
        <v>7</v>
      </c>
      <c r="K999" s="16">
        <v>89320</v>
      </c>
      <c r="L999" s="16">
        <v>65204.63</v>
      </c>
      <c r="M999" s="16">
        <v>24115.37</v>
      </c>
      <c r="N999" t="s">
        <v>125</v>
      </c>
      <c r="O999" t="s">
        <v>113</v>
      </c>
      <c r="P999" t="str">
        <f t="shared" si="15"/>
        <v>Faridabad|Vacuum Cleaner</v>
      </c>
    </row>
    <row r="1000" spans="1:16" x14ac:dyDescent="0.3">
      <c r="A1000" s="15">
        <v>46037</v>
      </c>
      <c r="B1000" t="s">
        <v>34</v>
      </c>
      <c r="C1000" t="s">
        <v>152</v>
      </c>
      <c r="D1000" t="s">
        <v>156</v>
      </c>
      <c r="E1000" t="s">
        <v>238</v>
      </c>
      <c r="F1000" t="s">
        <v>95</v>
      </c>
      <c r="G1000" t="s">
        <v>74</v>
      </c>
      <c r="H1000" t="s">
        <v>173</v>
      </c>
      <c r="I1000" t="s">
        <v>270</v>
      </c>
      <c r="J1000">
        <v>10</v>
      </c>
      <c r="K1000" s="16">
        <v>45600</v>
      </c>
      <c r="L1000" s="16">
        <v>36547.71</v>
      </c>
      <c r="M1000" s="16">
        <v>9052.2900000000009</v>
      </c>
      <c r="N1000" t="s">
        <v>141</v>
      </c>
      <c r="O1000" t="s">
        <v>113</v>
      </c>
      <c r="P1000" t="str">
        <f t="shared" si="15"/>
        <v>Bengaluru|Headset</v>
      </c>
    </row>
    <row r="1001" spans="1:16" x14ac:dyDescent="0.3">
      <c r="A1001" s="15">
        <v>46160</v>
      </c>
      <c r="B1001" t="s">
        <v>34</v>
      </c>
      <c r="C1001" t="s">
        <v>126</v>
      </c>
      <c r="D1001" t="s">
        <v>162</v>
      </c>
      <c r="E1001" t="s">
        <v>163</v>
      </c>
      <c r="F1001" t="s">
        <v>96</v>
      </c>
      <c r="G1001" t="s">
        <v>84</v>
      </c>
      <c r="H1001" t="s">
        <v>135</v>
      </c>
      <c r="I1001" t="s">
        <v>395</v>
      </c>
      <c r="J1001">
        <v>6</v>
      </c>
      <c r="K1001" s="16">
        <v>82650</v>
      </c>
      <c r="L1001" s="16">
        <v>62499.78</v>
      </c>
      <c r="M1001" s="16">
        <v>20150.22</v>
      </c>
      <c r="N1001" t="s">
        <v>131</v>
      </c>
      <c r="O1001" t="s">
        <v>113</v>
      </c>
      <c r="P1001" t="str">
        <f t="shared" si="15"/>
        <v>Lucknow|Filing Cabinet</v>
      </c>
    </row>
    <row r="1002" spans="1:16" x14ac:dyDescent="0.3">
      <c r="A1002" s="15">
        <v>46113</v>
      </c>
      <c r="B1002" t="s">
        <v>34</v>
      </c>
      <c r="C1002" t="s">
        <v>152</v>
      </c>
      <c r="D1002" t="s">
        <v>153</v>
      </c>
      <c r="E1002" t="s">
        <v>154</v>
      </c>
      <c r="F1002" t="s">
        <v>97</v>
      </c>
      <c r="G1002" t="s">
        <v>87</v>
      </c>
      <c r="H1002" t="s">
        <v>139</v>
      </c>
      <c r="I1002" t="s">
        <v>221</v>
      </c>
      <c r="J1002">
        <v>20</v>
      </c>
      <c r="K1002" s="16">
        <v>230000</v>
      </c>
      <c r="L1002" s="16">
        <v>182009.62</v>
      </c>
      <c r="M1002" s="16">
        <v>47990.38</v>
      </c>
      <c r="N1002" t="s">
        <v>131</v>
      </c>
      <c r="O1002" t="s">
        <v>142</v>
      </c>
      <c r="P1002" t="str">
        <f t="shared" si="15"/>
        <v>Coimbatore|Microwave</v>
      </c>
    </row>
    <row r="1003" spans="1:16" x14ac:dyDescent="0.3">
      <c r="A1003" s="15">
        <v>46029</v>
      </c>
      <c r="B1003" t="s">
        <v>120</v>
      </c>
      <c r="C1003" t="s">
        <v>107</v>
      </c>
      <c r="D1003" t="s">
        <v>108</v>
      </c>
      <c r="E1003" t="s">
        <v>132</v>
      </c>
      <c r="F1003" t="s">
        <v>94</v>
      </c>
      <c r="G1003" t="s">
        <v>64</v>
      </c>
      <c r="H1003" t="s">
        <v>135</v>
      </c>
      <c r="I1003" t="s">
        <v>344</v>
      </c>
      <c r="J1003">
        <v>5</v>
      </c>
      <c r="K1003" s="16">
        <v>96600</v>
      </c>
      <c r="L1003" s="16">
        <v>76530.36</v>
      </c>
      <c r="M1003" s="16">
        <v>20069.64</v>
      </c>
      <c r="N1003" t="s">
        <v>131</v>
      </c>
      <c r="O1003" t="s">
        <v>113</v>
      </c>
      <c r="P1003" t="str">
        <f t="shared" si="15"/>
        <v>Jaipur|Monitor 27</v>
      </c>
    </row>
    <row r="1004" spans="1:16" x14ac:dyDescent="0.3">
      <c r="A1004" s="15">
        <v>46181</v>
      </c>
      <c r="B1004" t="s">
        <v>34</v>
      </c>
      <c r="C1004" t="s">
        <v>107</v>
      </c>
      <c r="D1004" t="s">
        <v>149</v>
      </c>
      <c r="E1004" t="s">
        <v>159</v>
      </c>
      <c r="F1004" t="s">
        <v>97</v>
      </c>
      <c r="G1004" t="s">
        <v>87</v>
      </c>
      <c r="H1004" t="s">
        <v>110</v>
      </c>
      <c r="I1004" t="s">
        <v>206</v>
      </c>
      <c r="J1004">
        <v>19</v>
      </c>
      <c r="K1004" s="16">
        <v>209000</v>
      </c>
      <c r="L1004" s="16">
        <v>132984.47</v>
      </c>
      <c r="M1004" s="16">
        <v>76015.53</v>
      </c>
      <c r="N1004" t="s">
        <v>125</v>
      </c>
      <c r="O1004" t="s">
        <v>113</v>
      </c>
      <c r="P1004" t="str">
        <f t="shared" si="15"/>
        <v>Pune|Microwave</v>
      </c>
    </row>
    <row r="1005" spans="1:16" x14ac:dyDescent="0.3">
      <c r="A1005" s="15">
        <v>46086</v>
      </c>
      <c r="B1005" t="s">
        <v>34</v>
      </c>
      <c r="C1005" t="s">
        <v>126</v>
      </c>
      <c r="D1005" t="s">
        <v>127</v>
      </c>
      <c r="E1005" t="s">
        <v>143</v>
      </c>
      <c r="F1005" t="s">
        <v>97</v>
      </c>
      <c r="G1005" t="s">
        <v>86</v>
      </c>
      <c r="H1005" t="s">
        <v>135</v>
      </c>
      <c r="I1005" t="s">
        <v>312</v>
      </c>
      <c r="J1005">
        <v>10</v>
      </c>
      <c r="K1005" s="16">
        <v>63050</v>
      </c>
      <c r="L1005" s="16">
        <v>39881.230000000003</v>
      </c>
      <c r="M1005" s="16">
        <v>23168.77</v>
      </c>
      <c r="N1005" t="s">
        <v>112</v>
      </c>
      <c r="O1005" t="s">
        <v>113</v>
      </c>
      <c r="P1005" t="str">
        <f t="shared" si="15"/>
        <v>Faridabad|Coffee Maker</v>
      </c>
    </row>
    <row r="1006" spans="1:16" x14ac:dyDescent="0.3">
      <c r="A1006" s="15">
        <v>46180</v>
      </c>
      <c r="B1006" t="s">
        <v>34</v>
      </c>
      <c r="C1006" t="s">
        <v>121</v>
      </c>
      <c r="D1006" t="s">
        <v>122</v>
      </c>
      <c r="E1006" t="s">
        <v>166</v>
      </c>
      <c r="F1006" t="s">
        <v>97</v>
      </c>
      <c r="G1006" t="s">
        <v>86</v>
      </c>
      <c r="H1006" t="s">
        <v>173</v>
      </c>
      <c r="I1006" t="s">
        <v>367</v>
      </c>
      <c r="J1006">
        <v>6</v>
      </c>
      <c r="K1006" s="16">
        <v>35880</v>
      </c>
      <c r="L1006" s="16">
        <v>26981.38</v>
      </c>
      <c r="M1006" s="16">
        <v>8898.6200000000008</v>
      </c>
      <c r="N1006" t="s">
        <v>131</v>
      </c>
      <c r="O1006" t="s">
        <v>113</v>
      </c>
      <c r="P1006" t="str">
        <f t="shared" si="15"/>
        <v>Kolkata|Coffee Maker</v>
      </c>
    </row>
    <row r="1007" spans="1:16" x14ac:dyDescent="0.3">
      <c r="A1007" s="15">
        <v>46101</v>
      </c>
      <c r="B1007" t="s">
        <v>120</v>
      </c>
      <c r="C1007" t="s">
        <v>121</v>
      </c>
      <c r="D1007" t="s">
        <v>137</v>
      </c>
      <c r="E1007" t="s">
        <v>138</v>
      </c>
      <c r="F1007" t="s">
        <v>96</v>
      </c>
      <c r="G1007" t="s">
        <v>84</v>
      </c>
      <c r="H1007" t="s">
        <v>110</v>
      </c>
      <c r="I1007" t="s">
        <v>228</v>
      </c>
      <c r="J1007">
        <v>3</v>
      </c>
      <c r="K1007" s="16">
        <v>43500</v>
      </c>
      <c r="L1007" s="16">
        <v>31413.73</v>
      </c>
      <c r="M1007" s="16">
        <v>12086.27</v>
      </c>
      <c r="N1007" t="s">
        <v>125</v>
      </c>
      <c r="O1007" t="s">
        <v>113</v>
      </c>
      <c r="P1007" t="str">
        <f t="shared" si="15"/>
        <v>Cuttack|Filing Cabinet</v>
      </c>
    </row>
    <row r="1008" spans="1:16" x14ac:dyDescent="0.3">
      <c r="A1008" s="15">
        <v>46227</v>
      </c>
      <c r="B1008" t="s">
        <v>114</v>
      </c>
      <c r="C1008" t="s">
        <v>107</v>
      </c>
      <c r="D1008" t="s">
        <v>108</v>
      </c>
      <c r="E1008" t="s">
        <v>109</v>
      </c>
      <c r="F1008" t="s">
        <v>94</v>
      </c>
      <c r="G1008" t="s">
        <v>67</v>
      </c>
      <c r="H1008" t="s">
        <v>117</v>
      </c>
      <c r="I1008" t="s">
        <v>216</v>
      </c>
      <c r="J1008">
        <v>3</v>
      </c>
      <c r="K1008" s="16">
        <v>94050</v>
      </c>
      <c r="L1008" s="16">
        <v>62417.2</v>
      </c>
      <c r="M1008" s="16">
        <v>31632.799999999999</v>
      </c>
      <c r="N1008" t="s">
        <v>125</v>
      </c>
      <c r="O1008" t="s">
        <v>119</v>
      </c>
      <c r="P1008" t="str">
        <f t="shared" si="15"/>
        <v>Udaipur|Tablet X</v>
      </c>
    </row>
    <row r="1009" spans="1:16" x14ac:dyDescent="0.3">
      <c r="A1009" s="15">
        <v>46219</v>
      </c>
      <c r="B1009" t="s">
        <v>120</v>
      </c>
      <c r="C1009" t="s">
        <v>107</v>
      </c>
      <c r="D1009" t="s">
        <v>115</v>
      </c>
      <c r="E1009" t="s">
        <v>116</v>
      </c>
      <c r="F1009" t="s">
        <v>97</v>
      </c>
      <c r="G1009" t="s">
        <v>88</v>
      </c>
      <c r="H1009" t="s">
        <v>133</v>
      </c>
      <c r="I1009" t="s">
        <v>209</v>
      </c>
      <c r="J1009">
        <v>18</v>
      </c>
      <c r="K1009" s="16">
        <v>247950</v>
      </c>
      <c r="L1009" s="16">
        <v>186720.78</v>
      </c>
      <c r="M1009" s="16">
        <v>61229.22</v>
      </c>
      <c r="N1009" t="s">
        <v>141</v>
      </c>
      <c r="O1009" t="s">
        <v>113</v>
      </c>
      <c r="P1009" t="str">
        <f t="shared" si="15"/>
        <v>Ahmedabad|Vacuum Cleaner</v>
      </c>
    </row>
    <row r="1010" spans="1:16" x14ac:dyDescent="0.3">
      <c r="A1010" s="15">
        <v>46202</v>
      </c>
      <c r="B1010" t="s">
        <v>114</v>
      </c>
      <c r="C1010" t="s">
        <v>126</v>
      </c>
      <c r="D1010" t="s">
        <v>196</v>
      </c>
      <c r="E1010" t="s">
        <v>208</v>
      </c>
      <c r="F1010" t="s">
        <v>97</v>
      </c>
      <c r="G1010" t="s">
        <v>85</v>
      </c>
      <c r="H1010" t="s">
        <v>110</v>
      </c>
      <c r="I1010" t="s">
        <v>366</v>
      </c>
      <c r="J1010">
        <v>13</v>
      </c>
      <c r="K1010" s="16">
        <v>205920</v>
      </c>
      <c r="L1010" s="16">
        <v>139487.42000000001</v>
      </c>
      <c r="M1010" s="16">
        <v>66432.58</v>
      </c>
      <c r="N1010" t="s">
        <v>125</v>
      </c>
      <c r="O1010" t="s">
        <v>142</v>
      </c>
      <c r="P1010" t="str">
        <f t="shared" si="15"/>
        <v>New Delhi|Air Purifier</v>
      </c>
    </row>
    <row r="1011" spans="1:16" x14ac:dyDescent="0.3">
      <c r="A1011" s="15">
        <v>46249</v>
      </c>
      <c r="B1011" t="s">
        <v>34</v>
      </c>
      <c r="C1011" t="s">
        <v>121</v>
      </c>
      <c r="D1011" t="s">
        <v>122</v>
      </c>
      <c r="E1011" t="s">
        <v>166</v>
      </c>
      <c r="F1011" t="s">
        <v>95</v>
      </c>
      <c r="G1011" t="s">
        <v>72</v>
      </c>
      <c r="H1011" t="s">
        <v>135</v>
      </c>
      <c r="I1011" t="s">
        <v>177</v>
      </c>
      <c r="J1011">
        <v>5</v>
      </c>
      <c r="K1011" s="16">
        <v>14720</v>
      </c>
      <c r="L1011" s="16">
        <v>9929.06</v>
      </c>
      <c r="M1011" s="16">
        <v>4790.9399999999996</v>
      </c>
      <c r="N1011" t="s">
        <v>112</v>
      </c>
      <c r="O1011" t="s">
        <v>142</v>
      </c>
      <c r="P1011" t="str">
        <f t="shared" si="15"/>
        <v>Kolkata|Keyboard</v>
      </c>
    </row>
    <row r="1012" spans="1:16" x14ac:dyDescent="0.3">
      <c r="A1012" s="15">
        <v>46138</v>
      </c>
      <c r="B1012" t="s">
        <v>34</v>
      </c>
      <c r="C1012" t="s">
        <v>152</v>
      </c>
      <c r="D1012" t="s">
        <v>153</v>
      </c>
      <c r="E1012" t="s">
        <v>169</v>
      </c>
      <c r="F1012" t="s">
        <v>94</v>
      </c>
      <c r="G1012" t="s">
        <v>61</v>
      </c>
      <c r="H1012" t="s">
        <v>173</v>
      </c>
      <c r="I1012" t="s">
        <v>226</v>
      </c>
      <c r="J1012">
        <v>5</v>
      </c>
      <c r="K1012" s="16">
        <v>358800</v>
      </c>
      <c r="L1012" s="16">
        <v>286174.38</v>
      </c>
      <c r="M1012" s="16">
        <v>72625.62</v>
      </c>
      <c r="N1012" t="s">
        <v>112</v>
      </c>
      <c r="O1012" t="s">
        <v>113</v>
      </c>
      <c r="P1012" t="str">
        <f t="shared" si="15"/>
        <v>Chennai|Laptop Pro</v>
      </c>
    </row>
    <row r="1013" spans="1:16" x14ac:dyDescent="0.3">
      <c r="A1013" s="15">
        <v>46233</v>
      </c>
      <c r="B1013" t="s">
        <v>114</v>
      </c>
      <c r="C1013" t="s">
        <v>121</v>
      </c>
      <c r="D1013" t="s">
        <v>146</v>
      </c>
      <c r="E1013" t="s">
        <v>147</v>
      </c>
      <c r="F1013" t="s">
        <v>96</v>
      </c>
      <c r="G1013" t="s">
        <v>84</v>
      </c>
      <c r="H1013" t="s">
        <v>110</v>
      </c>
      <c r="I1013" t="s">
        <v>328</v>
      </c>
      <c r="J1013">
        <v>13</v>
      </c>
      <c r="K1013" s="16">
        <v>188500</v>
      </c>
      <c r="L1013" s="16">
        <v>120001.26</v>
      </c>
      <c r="M1013" s="16">
        <v>68498.740000000005</v>
      </c>
      <c r="N1013" t="s">
        <v>141</v>
      </c>
      <c r="O1013" t="s">
        <v>113</v>
      </c>
      <c r="P1013" t="str">
        <f t="shared" si="15"/>
        <v>Guwahati|Filing Cabinet</v>
      </c>
    </row>
    <row r="1014" spans="1:16" x14ac:dyDescent="0.3">
      <c r="A1014" s="15">
        <v>46190</v>
      </c>
      <c r="B1014" t="s">
        <v>34</v>
      </c>
      <c r="C1014" t="s">
        <v>126</v>
      </c>
      <c r="D1014" t="s">
        <v>162</v>
      </c>
      <c r="E1014" t="s">
        <v>204</v>
      </c>
      <c r="F1014" t="s">
        <v>96</v>
      </c>
      <c r="G1014" t="s">
        <v>84</v>
      </c>
      <c r="H1014" t="s">
        <v>133</v>
      </c>
      <c r="I1014" t="s">
        <v>245</v>
      </c>
      <c r="J1014">
        <v>20</v>
      </c>
      <c r="K1014" s="16">
        <v>281300</v>
      </c>
      <c r="L1014" s="16">
        <v>195342.92</v>
      </c>
      <c r="M1014" s="16">
        <v>85957.08</v>
      </c>
      <c r="N1014" t="s">
        <v>112</v>
      </c>
      <c r="O1014" t="s">
        <v>119</v>
      </c>
      <c r="P1014" t="str">
        <f t="shared" si="15"/>
        <v>Noida|Filing Cabinet</v>
      </c>
    </row>
    <row r="1015" spans="1:16" x14ac:dyDescent="0.3">
      <c r="A1015" s="15">
        <v>46078</v>
      </c>
      <c r="B1015" t="s">
        <v>34</v>
      </c>
      <c r="C1015" t="s">
        <v>126</v>
      </c>
      <c r="D1015" t="s">
        <v>162</v>
      </c>
      <c r="E1015" t="s">
        <v>163</v>
      </c>
      <c r="F1015" t="s">
        <v>94</v>
      </c>
      <c r="G1015" t="s">
        <v>70</v>
      </c>
      <c r="H1015" t="s">
        <v>117</v>
      </c>
      <c r="I1015" t="s">
        <v>223</v>
      </c>
      <c r="J1015">
        <v>14</v>
      </c>
      <c r="K1015" s="16">
        <v>217000</v>
      </c>
      <c r="L1015" s="16">
        <v>160036.53</v>
      </c>
      <c r="M1015" s="16">
        <v>56963.47</v>
      </c>
      <c r="N1015" t="s">
        <v>125</v>
      </c>
      <c r="O1015" t="s">
        <v>113</v>
      </c>
      <c r="P1015" t="str">
        <f t="shared" si="15"/>
        <v>Lucknow|Printer Pro</v>
      </c>
    </row>
    <row r="1016" spans="1:16" x14ac:dyDescent="0.3">
      <c r="A1016" s="15">
        <v>46055</v>
      </c>
      <c r="B1016" t="s">
        <v>34</v>
      </c>
      <c r="C1016" t="s">
        <v>152</v>
      </c>
      <c r="D1016" t="s">
        <v>153</v>
      </c>
      <c r="E1016" t="s">
        <v>154</v>
      </c>
      <c r="F1016" t="s">
        <v>94</v>
      </c>
      <c r="G1016" t="s">
        <v>70</v>
      </c>
      <c r="H1016" t="s">
        <v>135</v>
      </c>
      <c r="I1016" t="s">
        <v>386</v>
      </c>
      <c r="J1016">
        <v>13</v>
      </c>
      <c r="K1016" s="16">
        <v>201500</v>
      </c>
      <c r="L1016" s="16">
        <v>136684.31</v>
      </c>
      <c r="M1016" s="16">
        <v>64815.69</v>
      </c>
      <c r="N1016" t="s">
        <v>125</v>
      </c>
      <c r="O1016" t="s">
        <v>142</v>
      </c>
      <c r="P1016" t="str">
        <f t="shared" si="15"/>
        <v>Coimbatore|Printer Pro</v>
      </c>
    </row>
    <row r="1017" spans="1:16" x14ac:dyDescent="0.3">
      <c r="A1017" s="15">
        <v>46067</v>
      </c>
      <c r="B1017" t="s">
        <v>34</v>
      </c>
      <c r="C1017" t="s">
        <v>107</v>
      </c>
      <c r="D1017" t="s">
        <v>108</v>
      </c>
      <c r="E1017" t="s">
        <v>109</v>
      </c>
      <c r="F1017" t="s">
        <v>95</v>
      </c>
      <c r="G1017" t="s">
        <v>74</v>
      </c>
      <c r="H1017" t="s">
        <v>133</v>
      </c>
      <c r="I1017" t="s">
        <v>280</v>
      </c>
      <c r="J1017">
        <v>18</v>
      </c>
      <c r="K1017" s="16">
        <v>79488</v>
      </c>
      <c r="L1017" s="16">
        <v>49316.99</v>
      </c>
      <c r="M1017" s="16">
        <v>30171.01</v>
      </c>
      <c r="N1017" t="s">
        <v>141</v>
      </c>
      <c r="O1017" t="s">
        <v>113</v>
      </c>
      <c r="P1017" t="str">
        <f t="shared" si="15"/>
        <v>Udaipur|Headset</v>
      </c>
    </row>
    <row r="1018" spans="1:16" x14ac:dyDescent="0.3">
      <c r="A1018" s="15">
        <v>46203</v>
      </c>
      <c r="B1018" t="s">
        <v>34</v>
      </c>
      <c r="C1018" t="s">
        <v>107</v>
      </c>
      <c r="D1018" t="s">
        <v>115</v>
      </c>
      <c r="E1018" t="s">
        <v>191</v>
      </c>
      <c r="F1018" t="s">
        <v>96</v>
      </c>
      <c r="G1018" t="s">
        <v>82</v>
      </c>
      <c r="H1018" t="s">
        <v>135</v>
      </c>
      <c r="I1018" t="s">
        <v>237</v>
      </c>
      <c r="J1018">
        <v>8</v>
      </c>
      <c r="K1018" s="16">
        <v>200640</v>
      </c>
      <c r="L1018" s="16">
        <v>159131.79999999999</v>
      </c>
      <c r="M1018" s="16">
        <v>41508.199999999997</v>
      </c>
      <c r="N1018" t="s">
        <v>141</v>
      </c>
      <c r="O1018" t="s">
        <v>113</v>
      </c>
      <c r="P1018" t="str">
        <f t="shared" si="15"/>
        <v>Surat|Standing Desk</v>
      </c>
    </row>
    <row r="1019" spans="1:16" x14ac:dyDescent="0.3">
      <c r="A1019" s="15">
        <v>46058</v>
      </c>
      <c r="B1019" t="s">
        <v>34</v>
      </c>
      <c r="C1019" t="s">
        <v>126</v>
      </c>
      <c r="D1019" t="s">
        <v>162</v>
      </c>
      <c r="E1019" t="s">
        <v>163</v>
      </c>
      <c r="F1019" t="s">
        <v>95</v>
      </c>
      <c r="G1019" t="s">
        <v>74</v>
      </c>
      <c r="H1019" t="s">
        <v>139</v>
      </c>
      <c r="I1019" t="s">
        <v>167</v>
      </c>
      <c r="J1019">
        <v>1</v>
      </c>
      <c r="K1019" s="16">
        <v>4416</v>
      </c>
      <c r="L1019" s="16">
        <v>3303.21</v>
      </c>
      <c r="M1019" s="16">
        <v>1112.79</v>
      </c>
      <c r="N1019" t="s">
        <v>112</v>
      </c>
      <c r="O1019" t="s">
        <v>113</v>
      </c>
      <c r="P1019" t="str">
        <f t="shared" si="15"/>
        <v>Lucknow|Headset</v>
      </c>
    </row>
    <row r="1020" spans="1:16" x14ac:dyDescent="0.3">
      <c r="A1020" s="15">
        <v>46053</v>
      </c>
      <c r="B1020" t="s">
        <v>34</v>
      </c>
      <c r="C1020" t="s">
        <v>121</v>
      </c>
      <c r="D1020" t="s">
        <v>137</v>
      </c>
      <c r="E1020" t="s">
        <v>171</v>
      </c>
      <c r="F1020" t="s">
        <v>96</v>
      </c>
      <c r="G1020" t="s">
        <v>83</v>
      </c>
      <c r="H1020" t="s">
        <v>135</v>
      </c>
      <c r="I1020" t="s">
        <v>193</v>
      </c>
      <c r="J1020">
        <v>18</v>
      </c>
      <c r="K1020" s="16">
        <v>615600</v>
      </c>
      <c r="L1020" s="16">
        <v>418052.29</v>
      </c>
      <c r="M1020" s="16">
        <v>197547.71</v>
      </c>
      <c r="N1020" t="s">
        <v>112</v>
      </c>
      <c r="O1020" t="s">
        <v>119</v>
      </c>
      <c r="P1020" t="str">
        <f t="shared" si="15"/>
        <v>Bhubaneswar|Meeting Table</v>
      </c>
    </row>
    <row r="1021" spans="1:16" x14ac:dyDescent="0.3">
      <c r="A1021" s="15">
        <v>46054</v>
      </c>
      <c r="B1021" t="s">
        <v>114</v>
      </c>
      <c r="C1021" t="s">
        <v>126</v>
      </c>
      <c r="D1021" t="s">
        <v>162</v>
      </c>
      <c r="E1021" t="s">
        <v>163</v>
      </c>
      <c r="F1021" t="s">
        <v>97</v>
      </c>
      <c r="G1021" t="s">
        <v>86</v>
      </c>
      <c r="H1021" t="s">
        <v>129</v>
      </c>
      <c r="I1021" t="s">
        <v>353</v>
      </c>
      <c r="J1021">
        <v>14</v>
      </c>
      <c r="K1021" s="16">
        <v>91000</v>
      </c>
      <c r="L1021" s="16">
        <v>63006.6</v>
      </c>
      <c r="M1021" s="16">
        <v>27993.4</v>
      </c>
      <c r="N1021" t="s">
        <v>131</v>
      </c>
      <c r="O1021" t="s">
        <v>113</v>
      </c>
      <c r="P1021" t="str">
        <f t="shared" si="15"/>
        <v>Lucknow|Coffee Maker</v>
      </c>
    </row>
    <row r="1022" spans="1:16" x14ac:dyDescent="0.3">
      <c r="A1022" s="15">
        <v>46252</v>
      </c>
      <c r="B1022" t="s">
        <v>34</v>
      </c>
      <c r="C1022" t="s">
        <v>126</v>
      </c>
      <c r="D1022" t="s">
        <v>127</v>
      </c>
      <c r="E1022" t="s">
        <v>128</v>
      </c>
      <c r="F1022" t="s">
        <v>97</v>
      </c>
      <c r="G1022" t="s">
        <v>86</v>
      </c>
      <c r="H1022" t="s">
        <v>184</v>
      </c>
      <c r="I1022" t="s">
        <v>220</v>
      </c>
      <c r="J1022">
        <v>1</v>
      </c>
      <c r="K1022" s="16">
        <v>5720</v>
      </c>
      <c r="L1022" s="16">
        <v>3778.35</v>
      </c>
      <c r="M1022" s="16">
        <v>1941.65</v>
      </c>
      <c r="N1022" t="s">
        <v>125</v>
      </c>
      <c r="O1022" t="s">
        <v>113</v>
      </c>
      <c r="P1022" t="str">
        <f t="shared" si="15"/>
        <v>Gurugram|Coffee Maker</v>
      </c>
    </row>
    <row r="1023" spans="1:16" x14ac:dyDescent="0.3">
      <c r="A1023" s="15">
        <v>46087</v>
      </c>
      <c r="B1023" t="s">
        <v>120</v>
      </c>
      <c r="C1023" t="s">
        <v>126</v>
      </c>
      <c r="D1023" t="s">
        <v>196</v>
      </c>
      <c r="E1023" t="s">
        <v>208</v>
      </c>
      <c r="F1023" t="s">
        <v>97</v>
      </c>
      <c r="G1023" t="s">
        <v>85</v>
      </c>
      <c r="H1023" t="s">
        <v>135</v>
      </c>
      <c r="I1023" t="s">
        <v>273</v>
      </c>
      <c r="J1023">
        <v>1</v>
      </c>
      <c r="K1023" s="16">
        <v>17100</v>
      </c>
      <c r="L1023" s="16">
        <v>13831.79</v>
      </c>
      <c r="M1023" s="16">
        <v>3268.21</v>
      </c>
      <c r="N1023" t="s">
        <v>125</v>
      </c>
      <c r="O1023" t="s">
        <v>119</v>
      </c>
      <c r="P1023" t="str">
        <f t="shared" si="15"/>
        <v>New Delhi|Air Purifier</v>
      </c>
    </row>
    <row r="1024" spans="1:16" x14ac:dyDescent="0.3">
      <c r="A1024" s="15">
        <v>46256</v>
      </c>
      <c r="B1024" t="s">
        <v>34</v>
      </c>
      <c r="C1024" t="s">
        <v>121</v>
      </c>
      <c r="D1024" t="s">
        <v>122</v>
      </c>
      <c r="E1024" t="s">
        <v>123</v>
      </c>
      <c r="F1024" t="s">
        <v>95</v>
      </c>
      <c r="G1024" t="s">
        <v>78</v>
      </c>
      <c r="H1024" t="s">
        <v>129</v>
      </c>
      <c r="I1024" t="s">
        <v>202</v>
      </c>
      <c r="J1024">
        <v>18</v>
      </c>
      <c r="K1024" s="16">
        <v>71820</v>
      </c>
      <c r="L1024" s="16">
        <v>56066.6</v>
      </c>
      <c r="M1024" s="16">
        <v>15753.4</v>
      </c>
      <c r="N1024" t="s">
        <v>141</v>
      </c>
      <c r="O1024" t="s">
        <v>142</v>
      </c>
      <c r="P1024" t="str">
        <f t="shared" si="15"/>
        <v>Durgapur|Webcam</v>
      </c>
    </row>
    <row r="1025" spans="1:16" x14ac:dyDescent="0.3">
      <c r="A1025" s="15">
        <v>46196</v>
      </c>
      <c r="B1025" t="s">
        <v>120</v>
      </c>
      <c r="C1025" t="s">
        <v>121</v>
      </c>
      <c r="D1025" t="s">
        <v>122</v>
      </c>
      <c r="E1025" t="s">
        <v>123</v>
      </c>
      <c r="F1025" t="s">
        <v>97</v>
      </c>
      <c r="G1025" t="s">
        <v>88</v>
      </c>
      <c r="H1025" t="s">
        <v>184</v>
      </c>
      <c r="I1025" t="s">
        <v>310</v>
      </c>
      <c r="J1025">
        <v>9</v>
      </c>
      <c r="K1025" s="16">
        <v>130500</v>
      </c>
      <c r="L1025" s="16">
        <v>84953.17</v>
      </c>
      <c r="M1025" s="16">
        <v>45546.83</v>
      </c>
      <c r="N1025" t="s">
        <v>131</v>
      </c>
      <c r="O1025" t="s">
        <v>113</v>
      </c>
      <c r="P1025" t="str">
        <f t="shared" si="15"/>
        <v>Durgapur|Vacuum Cleaner</v>
      </c>
    </row>
    <row r="1026" spans="1:16" x14ac:dyDescent="0.3">
      <c r="A1026" s="15">
        <v>46109</v>
      </c>
      <c r="B1026" t="s">
        <v>34</v>
      </c>
      <c r="C1026" t="s">
        <v>126</v>
      </c>
      <c r="D1026" t="s">
        <v>162</v>
      </c>
      <c r="E1026" t="s">
        <v>204</v>
      </c>
      <c r="F1026" t="s">
        <v>97</v>
      </c>
      <c r="G1026" t="s">
        <v>86</v>
      </c>
      <c r="H1026" t="s">
        <v>139</v>
      </c>
      <c r="I1026" t="s">
        <v>374</v>
      </c>
      <c r="J1026">
        <v>12</v>
      </c>
      <c r="K1026" s="16">
        <v>78000</v>
      </c>
      <c r="L1026" s="16">
        <v>61942.76</v>
      </c>
      <c r="M1026" s="16">
        <v>16057.24</v>
      </c>
      <c r="N1026" t="s">
        <v>125</v>
      </c>
      <c r="O1026" t="s">
        <v>119</v>
      </c>
      <c r="P1026" t="str">
        <f t="shared" si="15"/>
        <v>Noida|Coffee Maker</v>
      </c>
    </row>
    <row r="1027" spans="1:16" x14ac:dyDescent="0.3">
      <c r="A1027" s="15">
        <v>46216</v>
      </c>
      <c r="B1027" t="s">
        <v>34</v>
      </c>
      <c r="C1027" t="s">
        <v>121</v>
      </c>
      <c r="D1027" t="s">
        <v>122</v>
      </c>
      <c r="E1027" t="s">
        <v>166</v>
      </c>
      <c r="F1027" t="s">
        <v>97</v>
      </c>
      <c r="G1027" t="s">
        <v>86</v>
      </c>
      <c r="H1027" t="s">
        <v>184</v>
      </c>
      <c r="I1027" t="s">
        <v>259</v>
      </c>
      <c r="J1027">
        <v>11</v>
      </c>
      <c r="K1027" s="16">
        <v>71500</v>
      </c>
      <c r="L1027" s="16">
        <v>52304.6</v>
      </c>
      <c r="M1027" s="16">
        <v>19195.400000000001</v>
      </c>
      <c r="N1027" t="s">
        <v>131</v>
      </c>
      <c r="O1027" t="s">
        <v>142</v>
      </c>
      <c r="P1027" t="str">
        <f t="shared" si="15"/>
        <v>Kolkata|Coffee Maker</v>
      </c>
    </row>
    <row r="1028" spans="1:16" x14ac:dyDescent="0.3">
      <c r="A1028" s="15">
        <v>46109</v>
      </c>
      <c r="B1028" t="s">
        <v>120</v>
      </c>
      <c r="C1028" t="s">
        <v>126</v>
      </c>
      <c r="D1028" t="s">
        <v>162</v>
      </c>
      <c r="E1028" t="s">
        <v>163</v>
      </c>
      <c r="F1028" t="s">
        <v>96</v>
      </c>
      <c r="G1028" t="s">
        <v>80</v>
      </c>
      <c r="H1028" t="s">
        <v>129</v>
      </c>
      <c r="I1028" t="s">
        <v>168</v>
      </c>
      <c r="J1028">
        <v>15</v>
      </c>
      <c r="K1028" s="16">
        <v>165000</v>
      </c>
      <c r="L1028" s="16">
        <v>132564.35999999999</v>
      </c>
      <c r="M1028" s="16">
        <v>32435.64</v>
      </c>
      <c r="N1028" t="s">
        <v>112</v>
      </c>
      <c r="O1028" t="s">
        <v>113</v>
      </c>
      <c r="P1028" t="str">
        <f t="shared" si="15"/>
        <v>Lucknow|Office Chair</v>
      </c>
    </row>
    <row r="1029" spans="1:16" x14ac:dyDescent="0.3">
      <c r="A1029" s="15">
        <v>46240</v>
      </c>
      <c r="B1029" t="s">
        <v>34</v>
      </c>
      <c r="C1029" t="s">
        <v>152</v>
      </c>
      <c r="D1029" t="s">
        <v>187</v>
      </c>
      <c r="E1029" t="s">
        <v>199</v>
      </c>
      <c r="F1029" t="s">
        <v>95</v>
      </c>
      <c r="G1029" t="s">
        <v>76</v>
      </c>
      <c r="H1029" t="s">
        <v>117</v>
      </c>
      <c r="I1029" t="s">
        <v>405</v>
      </c>
      <c r="J1029">
        <v>1</v>
      </c>
      <c r="K1029" s="16">
        <v>1800</v>
      </c>
      <c r="L1029" s="16">
        <v>1281.97</v>
      </c>
      <c r="M1029" s="16">
        <v>518.03</v>
      </c>
      <c r="N1029" t="s">
        <v>125</v>
      </c>
      <c r="O1029" t="s">
        <v>142</v>
      </c>
      <c r="P1029" t="str">
        <f t="shared" ref="P1029:P1092" si="16">E1029&amp;"|"&amp;G1029</f>
        <v>Hyderabad|Mouse</v>
      </c>
    </row>
    <row r="1030" spans="1:16" x14ac:dyDescent="0.3">
      <c r="A1030" s="15">
        <v>46103</v>
      </c>
      <c r="B1030" t="s">
        <v>34</v>
      </c>
      <c r="C1030" t="s">
        <v>126</v>
      </c>
      <c r="D1030" t="s">
        <v>127</v>
      </c>
      <c r="E1030" t="s">
        <v>128</v>
      </c>
      <c r="F1030" t="s">
        <v>94</v>
      </c>
      <c r="G1030" t="s">
        <v>64</v>
      </c>
      <c r="H1030" t="s">
        <v>129</v>
      </c>
      <c r="I1030" t="s">
        <v>243</v>
      </c>
      <c r="J1030">
        <v>14</v>
      </c>
      <c r="K1030" s="16">
        <v>258720</v>
      </c>
      <c r="L1030" s="16">
        <v>206325.06</v>
      </c>
      <c r="M1030" s="16">
        <v>52394.94</v>
      </c>
      <c r="N1030" t="s">
        <v>112</v>
      </c>
      <c r="O1030" t="s">
        <v>119</v>
      </c>
      <c r="P1030" t="str">
        <f t="shared" si="16"/>
        <v>Gurugram|Monitor 27</v>
      </c>
    </row>
    <row r="1031" spans="1:16" x14ac:dyDescent="0.3">
      <c r="A1031" s="15">
        <v>46239</v>
      </c>
      <c r="B1031" t="s">
        <v>34</v>
      </c>
      <c r="C1031" t="s">
        <v>121</v>
      </c>
      <c r="D1031" t="s">
        <v>146</v>
      </c>
      <c r="E1031" t="s">
        <v>147</v>
      </c>
      <c r="F1031" t="s">
        <v>95</v>
      </c>
      <c r="G1031" t="s">
        <v>74</v>
      </c>
      <c r="H1031" t="s">
        <v>139</v>
      </c>
      <c r="I1031" t="s">
        <v>326</v>
      </c>
      <c r="J1031">
        <v>3</v>
      </c>
      <c r="K1031" s="16">
        <v>12672</v>
      </c>
      <c r="L1031" s="16">
        <v>9139.09</v>
      </c>
      <c r="M1031" s="16">
        <v>3532.91</v>
      </c>
      <c r="N1031" t="s">
        <v>141</v>
      </c>
      <c r="O1031" t="s">
        <v>119</v>
      </c>
      <c r="P1031" t="str">
        <f t="shared" si="16"/>
        <v>Guwahati|Headset</v>
      </c>
    </row>
    <row r="1032" spans="1:16" x14ac:dyDescent="0.3">
      <c r="A1032" s="15">
        <v>46067</v>
      </c>
      <c r="B1032" t="s">
        <v>34</v>
      </c>
      <c r="C1032" t="s">
        <v>121</v>
      </c>
      <c r="D1032" t="s">
        <v>122</v>
      </c>
      <c r="E1032" t="s">
        <v>123</v>
      </c>
      <c r="F1032" t="s">
        <v>96</v>
      </c>
      <c r="G1032" t="s">
        <v>82</v>
      </c>
      <c r="H1032" t="s">
        <v>173</v>
      </c>
      <c r="I1032" t="s">
        <v>283</v>
      </c>
      <c r="J1032">
        <v>10</v>
      </c>
      <c r="K1032" s="16">
        <v>250800</v>
      </c>
      <c r="L1032" s="16">
        <v>198504.53</v>
      </c>
      <c r="M1032" s="16">
        <v>52295.47</v>
      </c>
      <c r="N1032" t="s">
        <v>131</v>
      </c>
      <c r="O1032" t="s">
        <v>113</v>
      </c>
      <c r="P1032" t="str">
        <f t="shared" si="16"/>
        <v>Durgapur|Standing Desk</v>
      </c>
    </row>
    <row r="1033" spans="1:16" x14ac:dyDescent="0.3">
      <c r="A1033" s="15">
        <v>46251</v>
      </c>
      <c r="B1033" t="s">
        <v>34</v>
      </c>
      <c r="C1033" t="s">
        <v>107</v>
      </c>
      <c r="D1033" t="s">
        <v>108</v>
      </c>
      <c r="E1033" t="s">
        <v>132</v>
      </c>
      <c r="F1033" t="s">
        <v>97</v>
      </c>
      <c r="G1033" t="s">
        <v>85</v>
      </c>
      <c r="H1033" t="s">
        <v>117</v>
      </c>
      <c r="I1033" t="s">
        <v>346</v>
      </c>
      <c r="J1033">
        <v>4</v>
      </c>
      <c r="K1033" s="16">
        <v>69840</v>
      </c>
      <c r="L1033" s="16">
        <v>50913.9</v>
      </c>
      <c r="M1033" s="16">
        <v>18926.099999999999</v>
      </c>
      <c r="N1033" t="s">
        <v>112</v>
      </c>
      <c r="O1033" t="s">
        <v>113</v>
      </c>
      <c r="P1033" t="str">
        <f t="shared" si="16"/>
        <v>Jaipur|Air Purifier</v>
      </c>
    </row>
    <row r="1034" spans="1:16" x14ac:dyDescent="0.3">
      <c r="A1034" s="15">
        <v>46049</v>
      </c>
      <c r="B1034" t="s">
        <v>34</v>
      </c>
      <c r="C1034" t="s">
        <v>107</v>
      </c>
      <c r="D1034" t="s">
        <v>149</v>
      </c>
      <c r="E1034" t="s">
        <v>159</v>
      </c>
      <c r="F1034" t="s">
        <v>95</v>
      </c>
      <c r="G1034" t="s">
        <v>78</v>
      </c>
      <c r="H1034" t="s">
        <v>135</v>
      </c>
      <c r="I1034" t="s">
        <v>357</v>
      </c>
      <c r="J1034">
        <v>20</v>
      </c>
      <c r="K1034" s="16">
        <v>81480</v>
      </c>
      <c r="L1034" s="16">
        <v>56295.41</v>
      </c>
      <c r="M1034" s="16">
        <v>25184.59</v>
      </c>
      <c r="N1034" t="s">
        <v>112</v>
      </c>
      <c r="O1034" t="s">
        <v>142</v>
      </c>
      <c r="P1034" t="str">
        <f t="shared" si="16"/>
        <v>Pune|Webcam</v>
      </c>
    </row>
    <row r="1035" spans="1:16" x14ac:dyDescent="0.3">
      <c r="A1035" s="15">
        <v>46089</v>
      </c>
      <c r="B1035" t="s">
        <v>34</v>
      </c>
      <c r="C1035" t="s">
        <v>107</v>
      </c>
      <c r="D1035" t="s">
        <v>115</v>
      </c>
      <c r="E1035" t="s">
        <v>191</v>
      </c>
      <c r="F1035" t="s">
        <v>94</v>
      </c>
      <c r="G1035" t="s">
        <v>70</v>
      </c>
      <c r="H1035" t="s">
        <v>135</v>
      </c>
      <c r="I1035" t="s">
        <v>317</v>
      </c>
      <c r="J1035">
        <v>12</v>
      </c>
      <c r="K1035" s="16">
        <v>180420</v>
      </c>
      <c r="L1035" s="16">
        <v>123952.66</v>
      </c>
      <c r="M1035" s="16">
        <v>56467.34</v>
      </c>
      <c r="N1035" t="s">
        <v>131</v>
      </c>
      <c r="O1035" t="s">
        <v>119</v>
      </c>
      <c r="P1035" t="str">
        <f t="shared" si="16"/>
        <v>Surat|Printer Pro</v>
      </c>
    </row>
    <row r="1036" spans="1:16" x14ac:dyDescent="0.3">
      <c r="A1036" s="15">
        <v>46069</v>
      </c>
      <c r="B1036" t="s">
        <v>34</v>
      </c>
      <c r="C1036" t="s">
        <v>152</v>
      </c>
      <c r="D1036" t="s">
        <v>187</v>
      </c>
      <c r="E1036" t="s">
        <v>199</v>
      </c>
      <c r="F1036" t="s">
        <v>96</v>
      </c>
      <c r="G1036" t="s">
        <v>80</v>
      </c>
      <c r="H1036" t="s">
        <v>110</v>
      </c>
      <c r="I1036" t="s">
        <v>344</v>
      </c>
      <c r="J1036">
        <v>18</v>
      </c>
      <c r="K1036" s="16">
        <v>218250</v>
      </c>
      <c r="L1036" s="16">
        <v>163466</v>
      </c>
      <c r="M1036" s="16">
        <v>54784</v>
      </c>
      <c r="N1036" t="s">
        <v>141</v>
      </c>
      <c r="O1036" t="s">
        <v>113</v>
      </c>
      <c r="P1036" t="str">
        <f t="shared" si="16"/>
        <v>Hyderabad|Office Chair</v>
      </c>
    </row>
    <row r="1037" spans="1:16" x14ac:dyDescent="0.3">
      <c r="A1037" s="15">
        <v>46128</v>
      </c>
      <c r="B1037" t="s">
        <v>114</v>
      </c>
      <c r="C1037" t="s">
        <v>152</v>
      </c>
      <c r="D1037" t="s">
        <v>156</v>
      </c>
      <c r="E1037" t="s">
        <v>238</v>
      </c>
      <c r="F1037" t="s">
        <v>97</v>
      </c>
      <c r="G1037" t="s">
        <v>87</v>
      </c>
      <c r="H1037" t="s">
        <v>117</v>
      </c>
      <c r="I1037" t="s">
        <v>214</v>
      </c>
      <c r="J1037">
        <v>18</v>
      </c>
      <c r="K1037" s="16">
        <v>207000</v>
      </c>
      <c r="L1037" s="16">
        <v>165521.96</v>
      </c>
      <c r="M1037" s="16">
        <v>41478.04</v>
      </c>
      <c r="N1037" t="s">
        <v>141</v>
      </c>
      <c r="O1037" t="s">
        <v>113</v>
      </c>
      <c r="P1037" t="str">
        <f t="shared" si="16"/>
        <v>Bengaluru|Microwave</v>
      </c>
    </row>
    <row r="1038" spans="1:16" x14ac:dyDescent="0.3">
      <c r="A1038" s="15">
        <v>46199</v>
      </c>
      <c r="B1038" t="s">
        <v>114</v>
      </c>
      <c r="C1038" t="s">
        <v>126</v>
      </c>
      <c r="D1038" t="s">
        <v>196</v>
      </c>
      <c r="E1038" t="s">
        <v>197</v>
      </c>
      <c r="F1038" t="s">
        <v>97</v>
      </c>
      <c r="G1038" t="s">
        <v>86</v>
      </c>
      <c r="H1038" t="s">
        <v>135</v>
      </c>
      <c r="I1038" t="s">
        <v>389</v>
      </c>
      <c r="J1038">
        <v>3</v>
      </c>
      <c r="K1038" s="16">
        <v>17940</v>
      </c>
      <c r="L1038" s="16">
        <v>12915</v>
      </c>
      <c r="M1038" s="16">
        <v>5025</v>
      </c>
      <c r="N1038" t="s">
        <v>125</v>
      </c>
      <c r="O1038" t="s">
        <v>113</v>
      </c>
      <c r="P1038" t="str">
        <f t="shared" si="16"/>
        <v>Dwarka|Coffee Maker</v>
      </c>
    </row>
    <row r="1039" spans="1:16" x14ac:dyDescent="0.3">
      <c r="A1039" s="15">
        <v>46100</v>
      </c>
      <c r="B1039" t="s">
        <v>34</v>
      </c>
      <c r="C1039" t="s">
        <v>121</v>
      </c>
      <c r="D1039" t="s">
        <v>146</v>
      </c>
      <c r="E1039" t="s">
        <v>147</v>
      </c>
      <c r="F1039" t="s">
        <v>96</v>
      </c>
      <c r="G1039" t="s">
        <v>80</v>
      </c>
      <c r="H1039" t="s">
        <v>135</v>
      </c>
      <c r="I1039" t="s">
        <v>333</v>
      </c>
      <c r="J1039">
        <v>3</v>
      </c>
      <c r="K1039" s="16">
        <v>37500</v>
      </c>
      <c r="L1039" s="16">
        <v>23410.5</v>
      </c>
      <c r="M1039" s="16">
        <v>14089.5</v>
      </c>
      <c r="N1039" t="s">
        <v>112</v>
      </c>
      <c r="O1039" t="s">
        <v>113</v>
      </c>
      <c r="P1039" t="str">
        <f t="shared" si="16"/>
        <v>Guwahati|Office Chair</v>
      </c>
    </row>
    <row r="1040" spans="1:16" x14ac:dyDescent="0.3">
      <c r="A1040" s="15">
        <v>46135</v>
      </c>
      <c r="B1040" t="s">
        <v>34</v>
      </c>
      <c r="C1040" t="s">
        <v>121</v>
      </c>
      <c r="D1040" t="s">
        <v>146</v>
      </c>
      <c r="E1040" t="s">
        <v>147</v>
      </c>
      <c r="F1040" t="s">
        <v>95</v>
      </c>
      <c r="G1040" t="s">
        <v>74</v>
      </c>
      <c r="H1040" t="s">
        <v>139</v>
      </c>
      <c r="I1040" t="s">
        <v>388</v>
      </c>
      <c r="J1040">
        <v>4</v>
      </c>
      <c r="K1040" s="16">
        <v>18624</v>
      </c>
      <c r="L1040" s="16">
        <v>11982.11</v>
      </c>
      <c r="M1040" s="16">
        <v>6641.89</v>
      </c>
      <c r="N1040" t="s">
        <v>112</v>
      </c>
      <c r="O1040" t="s">
        <v>113</v>
      </c>
      <c r="P1040" t="str">
        <f t="shared" si="16"/>
        <v>Guwahati|Headset</v>
      </c>
    </row>
    <row r="1041" spans="1:16" x14ac:dyDescent="0.3">
      <c r="A1041" s="15">
        <v>46052</v>
      </c>
      <c r="B1041" t="s">
        <v>34</v>
      </c>
      <c r="C1041" t="s">
        <v>152</v>
      </c>
      <c r="D1041" t="s">
        <v>156</v>
      </c>
      <c r="E1041" t="s">
        <v>157</v>
      </c>
      <c r="F1041" t="s">
        <v>95</v>
      </c>
      <c r="G1041" t="s">
        <v>72</v>
      </c>
      <c r="H1041" t="s">
        <v>139</v>
      </c>
      <c r="I1041" t="s">
        <v>230</v>
      </c>
      <c r="J1041">
        <v>13</v>
      </c>
      <c r="K1041" s="16">
        <v>39520</v>
      </c>
      <c r="L1041" s="16">
        <v>29762.5</v>
      </c>
      <c r="M1041" s="16">
        <v>9757.5</v>
      </c>
      <c r="N1041" t="s">
        <v>141</v>
      </c>
      <c r="O1041" t="s">
        <v>119</v>
      </c>
      <c r="P1041" t="str">
        <f t="shared" si="16"/>
        <v>Mysuru|Keyboard</v>
      </c>
    </row>
    <row r="1042" spans="1:16" x14ac:dyDescent="0.3">
      <c r="A1042" s="15">
        <v>46214</v>
      </c>
      <c r="B1042" t="s">
        <v>120</v>
      </c>
      <c r="C1042" t="s">
        <v>126</v>
      </c>
      <c r="D1042" t="s">
        <v>162</v>
      </c>
      <c r="E1042" t="s">
        <v>163</v>
      </c>
      <c r="F1042" t="s">
        <v>97</v>
      </c>
      <c r="G1042" t="s">
        <v>85</v>
      </c>
      <c r="H1042" t="s">
        <v>133</v>
      </c>
      <c r="I1042" t="s">
        <v>347</v>
      </c>
      <c r="J1042">
        <v>16</v>
      </c>
      <c r="K1042" s="16">
        <v>288000</v>
      </c>
      <c r="L1042" s="16">
        <v>192253.73</v>
      </c>
      <c r="M1042" s="16">
        <v>95746.27</v>
      </c>
      <c r="N1042" t="s">
        <v>131</v>
      </c>
      <c r="O1042" t="s">
        <v>113</v>
      </c>
      <c r="P1042" t="str">
        <f t="shared" si="16"/>
        <v>Lucknow|Air Purifier</v>
      </c>
    </row>
    <row r="1043" spans="1:16" x14ac:dyDescent="0.3">
      <c r="A1043" s="15">
        <v>46052</v>
      </c>
      <c r="B1043" t="s">
        <v>34</v>
      </c>
      <c r="C1043" t="s">
        <v>121</v>
      </c>
      <c r="D1043" t="s">
        <v>146</v>
      </c>
      <c r="E1043" t="s">
        <v>147</v>
      </c>
      <c r="F1043" t="s">
        <v>96</v>
      </c>
      <c r="G1043" t="s">
        <v>82</v>
      </c>
      <c r="H1043" t="s">
        <v>184</v>
      </c>
      <c r="I1043" t="s">
        <v>329</v>
      </c>
      <c r="J1043">
        <v>7</v>
      </c>
      <c r="K1043" s="16">
        <v>189525</v>
      </c>
      <c r="L1043" s="16">
        <v>136685.71</v>
      </c>
      <c r="M1043" s="16">
        <v>52839.29</v>
      </c>
      <c r="N1043" t="s">
        <v>125</v>
      </c>
      <c r="O1043" t="s">
        <v>119</v>
      </c>
      <c r="P1043" t="str">
        <f t="shared" si="16"/>
        <v>Guwahati|Standing Desk</v>
      </c>
    </row>
    <row r="1044" spans="1:16" x14ac:dyDescent="0.3">
      <c r="A1044" s="15">
        <v>46160</v>
      </c>
      <c r="B1044" t="s">
        <v>34</v>
      </c>
      <c r="C1044" t="s">
        <v>152</v>
      </c>
      <c r="D1044" t="s">
        <v>156</v>
      </c>
      <c r="E1044" t="s">
        <v>157</v>
      </c>
      <c r="F1044" t="s">
        <v>97</v>
      </c>
      <c r="G1044" t="s">
        <v>86</v>
      </c>
      <c r="H1044" t="s">
        <v>135</v>
      </c>
      <c r="I1044" t="s">
        <v>260</v>
      </c>
      <c r="J1044">
        <v>11</v>
      </c>
      <c r="K1044" s="16">
        <v>71500</v>
      </c>
      <c r="L1044" s="16">
        <v>49819.58</v>
      </c>
      <c r="M1044" s="16">
        <v>21680.42</v>
      </c>
      <c r="N1044" t="s">
        <v>112</v>
      </c>
      <c r="O1044" t="s">
        <v>142</v>
      </c>
      <c r="P1044" t="str">
        <f t="shared" si="16"/>
        <v>Mysuru|Coffee Maker</v>
      </c>
    </row>
    <row r="1045" spans="1:16" x14ac:dyDescent="0.3">
      <c r="A1045" s="15">
        <v>46039</v>
      </c>
      <c r="B1045" t="s">
        <v>120</v>
      </c>
      <c r="C1045" t="s">
        <v>107</v>
      </c>
      <c r="D1045" t="s">
        <v>149</v>
      </c>
      <c r="E1045" t="s">
        <v>150</v>
      </c>
      <c r="F1045" t="s">
        <v>96</v>
      </c>
      <c r="G1045" t="s">
        <v>84</v>
      </c>
      <c r="H1045" t="s">
        <v>133</v>
      </c>
      <c r="I1045" t="s">
        <v>284</v>
      </c>
      <c r="J1045">
        <v>6</v>
      </c>
      <c r="K1045" s="16">
        <v>87000</v>
      </c>
      <c r="L1045" s="16">
        <v>56489.38</v>
      </c>
      <c r="M1045" s="16">
        <v>30510.62</v>
      </c>
      <c r="N1045" t="s">
        <v>112</v>
      </c>
      <c r="O1045" t="s">
        <v>113</v>
      </c>
      <c r="P1045" t="str">
        <f t="shared" si="16"/>
        <v>Mumbai|Filing Cabinet</v>
      </c>
    </row>
    <row r="1046" spans="1:16" x14ac:dyDescent="0.3">
      <c r="A1046" s="15">
        <v>46250</v>
      </c>
      <c r="B1046" t="s">
        <v>120</v>
      </c>
      <c r="C1046" t="s">
        <v>107</v>
      </c>
      <c r="D1046" t="s">
        <v>149</v>
      </c>
      <c r="E1046" t="s">
        <v>150</v>
      </c>
      <c r="F1046" t="s">
        <v>96</v>
      </c>
      <c r="G1046" t="s">
        <v>80</v>
      </c>
      <c r="H1046" t="s">
        <v>184</v>
      </c>
      <c r="I1046" t="s">
        <v>298</v>
      </c>
      <c r="J1046">
        <v>12</v>
      </c>
      <c r="K1046" s="16">
        <v>150000</v>
      </c>
      <c r="L1046" s="16">
        <v>102817.28</v>
      </c>
      <c r="M1046" s="16">
        <v>47182.720000000001</v>
      </c>
      <c r="N1046" t="s">
        <v>141</v>
      </c>
      <c r="O1046" t="s">
        <v>119</v>
      </c>
      <c r="P1046" t="str">
        <f t="shared" si="16"/>
        <v>Mumbai|Office Chair</v>
      </c>
    </row>
    <row r="1047" spans="1:16" x14ac:dyDescent="0.3">
      <c r="A1047" s="15">
        <v>46242</v>
      </c>
      <c r="B1047" t="s">
        <v>34</v>
      </c>
      <c r="C1047" t="s">
        <v>107</v>
      </c>
      <c r="D1047" t="s">
        <v>149</v>
      </c>
      <c r="E1047" t="s">
        <v>159</v>
      </c>
      <c r="F1047" t="s">
        <v>94</v>
      </c>
      <c r="G1047" t="s">
        <v>61</v>
      </c>
      <c r="H1047" t="s">
        <v>110</v>
      </c>
      <c r="I1047" t="s">
        <v>281</v>
      </c>
      <c r="J1047">
        <v>5</v>
      </c>
      <c r="K1047" s="16">
        <v>390000</v>
      </c>
      <c r="L1047" s="16">
        <v>280235.3</v>
      </c>
      <c r="M1047" s="16">
        <v>109764.7</v>
      </c>
      <c r="N1047" t="s">
        <v>131</v>
      </c>
      <c r="O1047" t="s">
        <v>113</v>
      </c>
      <c r="P1047" t="str">
        <f t="shared" si="16"/>
        <v>Pune|Laptop Pro</v>
      </c>
    </row>
    <row r="1048" spans="1:16" x14ac:dyDescent="0.3">
      <c r="A1048" s="15">
        <v>46068</v>
      </c>
      <c r="B1048" t="s">
        <v>34</v>
      </c>
      <c r="C1048" t="s">
        <v>126</v>
      </c>
      <c r="D1048" t="s">
        <v>196</v>
      </c>
      <c r="E1048" t="s">
        <v>197</v>
      </c>
      <c r="F1048" t="s">
        <v>96</v>
      </c>
      <c r="G1048" t="s">
        <v>82</v>
      </c>
      <c r="H1048" t="s">
        <v>117</v>
      </c>
      <c r="I1048" t="s">
        <v>258</v>
      </c>
      <c r="J1048">
        <v>17</v>
      </c>
      <c r="K1048" s="16">
        <v>484500</v>
      </c>
      <c r="L1048" s="16">
        <v>369844.81</v>
      </c>
      <c r="M1048" s="16">
        <v>114655.19</v>
      </c>
      <c r="N1048" t="s">
        <v>125</v>
      </c>
      <c r="O1048" t="s">
        <v>113</v>
      </c>
      <c r="P1048" t="str">
        <f t="shared" si="16"/>
        <v>Dwarka|Standing Desk</v>
      </c>
    </row>
    <row r="1049" spans="1:16" x14ac:dyDescent="0.3">
      <c r="A1049" s="15">
        <v>46233</v>
      </c>
      <c r="B1049" t="s">
        <v>120</v>
      </c>
      <c r="C1049" t="s">
        <v>126</v>
      </c>
      <c r="D1049" t="s">
        <v>162</v>
      </c>
      <c r="E1049" t="s">
        <v>204</v>
      </c>
      <c r="F1049" t="s">
        <v>97</v>
      </c>
      <c r="G1049" t="s">
        <v>87</v>
      </c>
      <c r="H1049" t="s">
        <v>110</v>
      </c>
      <c r="I1049" t="s">
        <v>267</v>
      </c>
      <c r="J1049">
        <v>10</v>
      </c>
      <c r="K1049" s="16">
        <v>125000</v>
      </c>
      <c r="L1049" s="16">
        <v>87597.93</v>
      </c>
      <c r="M1049" s="16">
        <v>37402.07</v>
      </c>
      <c r="N1049" t="s">
        <v>131</v>
      </c>
      <c r="O1049" t="s">
        <v>142</v>
      </c>
      <c r="P1049" t="str">
        <f t="shared" si="16"/>
        <v>Noida|Microwave</v>
      </c>
    </row>
    <row r="1050" spans="1:16" x14ac:dyDescent="0.3">
      <c r="A1050" s="15">
        <v>46088</v>
      </c>
      <c r="B1050" t="s">
        <v>34</v>
      </c>
      <c r="C1050" t="s">
        <v>126</v>
      </c>
      <c r="D1050" t="s">
        <v>127</v>
      </c>
      <c r="E1050" t="s">
        <v>143</v>
      </c>
      <c r="F1050" t="s">
        <v>97</v>
      </c>
      <c r="G1050" t="s">
        <v>85</v>
      </c>
      <c r="H1050" t="s">
        <v>110</v>
      </c>
      <c r="I1050" t="s">
        <v>210</v>
      </c>
      <c r="J1050">
        <v>12</v>
      </c>
      <c r="K1050" s="16">
        <v>209520</v>
      </c>
      <c r="L1050" s="16">
        <v>130097.58</v>
      </c>
      <c r="M1050" s="16">
        <v>79422.42</v>
      </c>
      <c r="N1050" t="s">
        <v>141</v>
      </c>
      <c r="O1050" t="s">
        <v>113</v>
      </c>
      <c r="P1050" t="str">
        <f t="shared" si="16"/>
        <v>Faridabad|Air Purifier</v>
      </c>
    </row>
    <row r="1051" spans="1:16" x14ac:dyDescent="0.3">
      <c r="A1051" s="15">
        <v>46230</v>
      </c>
      <c r="B1051" t="s">
        <v>120</v>
      </c>
      <c r="C1051" t="s">
        <v>107</v>
      </c>
      <c r="D1051" t="s">
        <v>115</v>
      </c>
      <c r="E1051" t="s">
        <v>191</v>
      </c>
      <c r="F1051" t="s">
        <v>95</v>
      </c>
      <c r="G1051" t="s">
        <v>74</v>
      </c>
      <c r="H1051" t="s">
        <v>117</v>
      </c>
      <c r="I1051" t="s">
        <v>366</v>
      </c>
      <c r="J1051">
        <v>10</v>
      </c>
      <c r="K1051" s="16">
        <v>42240</v>
      </c>
      <c r="L1051" s="16">
        <v>28616.39</v>
      </c>
      <c r="M1051" s="16">
        <v>13623.61</v>
      </c>
      <c r="N1051" t="s">
        <v>112</v>
      </c>
      <c r="O1051" t="s">
        <v>119</v>
      </c>
      <c r="P1051" t="str">
        <f t="shared" si="16"/>
        <v>Surat|Headset</v>
      </c>
    </row>
    <row r="1052" spans="1:16" x14ac:dyDescent="0.3">
      <c r="A1052" s="15">
        <v>46043</v>
      </c>
      <c r="B1052" t="s">
        <v>34</v>
      </c>
      <c r="C1052" t="s">
        <v>152</v>
      </c>
      <c r="D1052" t="s">
        <v>187</v>
      </c>
      <c r="E1052" t="s">
        <v>188</v>
      </c>
      <c r="F1052" t="s">
        <v>94</v>
      </c>
      <c r="G1052" t="s">
        <v>64</v>
      </c>
      <c r="H1052" t="s">
        <v>129</v>
      </c>
      <c r="I1052" t="s">
        <v>255</v>
      </c>
      <c r="J1052">
        <v>13</v>
      </c>
      <c r="K1052" s="16">
        <v>259350</v>
      </c>
      <c r="L1052" s="16">
        <v>193781.14</v>
      </c>
      <c r="M1052" s="16">
        <v>65568.86</v>
      </c>
      <c r="N1052" t="s">
        <v>125</v>
      </c>
      <c r="O1052" t="s">
        <v>113</v>
      </c>
      <c r="P1052" t="str">
        <f t="shared" si="16"/>
        <v>Warangal|Monitor 27</v>
      </c>
    </row>
    <row r="1053" spans="1:16" x14ac:dyDescent="0.3">
      <c r="A1053" s="15">
        <v>46086</v>
      </c>
      <c r="B1053" t="s">
        <v>114</v>
      </c>
      <c r="C1053" t="s">
        <v>126</v>
      </c>
      <c r="D1053" t="s">
        <v>196</v>
      </c>
      <c r="E1053" t="s">
        <v>197</v>
      </c>
      <c r="F1053" t="s">
        <v>94</v>
      </c>
      <c r="G1053" t="s">
        <v>61</v>
      </c>
      <c r="H1053" t="s">
        <v>135</v>
      </c>
      <c r="I1053" t="s">
        <v>257</v>
      </c>
      <c r="J1053">
        <v>19</v>
      </c>
      <c r="K1053" s="16">
        <v>1482000</v>
      </c>
      <c r="L1053" s="16">
        <v>1206901.49</v>
      </c>
      <c r="M1053" s="16">
        <v>275098.51</v>
      </c>
      <c r="N1053" t="s">
        <v>131</v>
      </c>
      <c r="O1053" t="s">
        <v>142</v>
      </c>
      <c r="P1053" t="str">
        <f t="shared" si="16"/>
        <v>Dwarka|Laptop Pro</v>
      </c>
    </row>
    <row r="1054" spans="1:16" x14ac:dyDescent="0.3">
      <c r="A1054" s="15">
        <v>46030</v>
      </c>
      <c r="B1054" t="s">
        <v>34</v>
      </c>
      <c r="C1054" t="s">
        <v>121</v>
      </c>
      <c r="D1054" t="s">
        <v>122</v>
      </c>
      <c r="E1054" t="s">
        <v>123</v>
      </c>
      <c r="F1054" t="s">
        <v>94</v>
      </c>
      <c r="G1054" t="s">
        <v>61</v>
      </c>
      <c r="H1054" t="s">
        <v>129</v>
      </c>
      <c r="I1054" t="s">
        <v>320</v>
      </c>
      <c r="J1054">
        <v>20</v>
      </c>
      <c r="K1054" s="16">
        <v>1372800</v>
      </c>
      <c r="L1054" s="16">
        <v>1039875.39</v>
      </c>
      <c r="M1054" s="16">
        <v>332924.61</v>
      </c>
      <c r="N1054" t="s">
        <v>125</v>
      </c>
      <c r="O1054" t="s">
        <v>113</v>
      </c>
      <c r="P1054" t="str">
        <f t="shared" si="16"/>
        <v>Durgapur|Laptop Pro</v>
      </c>
    </row>
    <row r="1055" spans="1:16" x14ac:dyDescent="0.3">
      <c r="A1055" s="15">
        <v>46088</v>
      </c>
      <c r="B1055" t="s">
        <v>34</v>
      </c>
      <c r="C1055" t="s">
        <v>107</v>
      </c>
      <c r="D1055" t="s">
        <v>149</v>
      </c>
      <c r="E1055" t="s">
        <v>150</v>
      </c>
      <c r="F1055" t="s">
        <v>94</v>
      </c>
      <c r="G1055" t="s">
        <v>61</v>
      </c>
      <c r="H1055" t="s">
        <v>110</v>
      </c>
      <c r="I1055" t="s">
        <v>244</v>
      </c>
      <c r="J1055">
        <v>13</v>
      </c>
      <c r="K1055" s="16">
        <v>963300</v>
      </c>
      <c r="L1055" s="16">
        <v>627772.07999999996</v>
      </c>
      <c r="M1055" s="16">
        <v>335527.92</v>
      </c>
      <c r="N1055" t="s">
        <v>125</v>
      </c>
      <c r="O1055" t="s">
        <v>119</v>
      </c>
      <c r="P1055" t="str">
        <f t="shared" si="16"/>
        <v>Mumbai|Laptop Pro</v>
      </c>
    </row>
    <row r="1056" spans="1:16" x14ac:dyDescent="0.3">
      <c r="A1056" s="15">
        <v>46182</v>
      </c>
      <c r="B1056" t="s">
        <v>34</v>
      </c>
      <c r="C1056" t="s">
        <v>107</v>
      </c>
      <c r="D1056" t="s">
        <v>115</v>
      </c>
      <c r="E1056" t="s">
        <v>191</v>
      </c>
      <c r="F1056" t="s">
        <v>96</v>
      </c>
      <c r="G1056" t="s">
        <v>84</v>
      </c>
      <c r="H1056" t="s">
        <v>133</v>
      </c>
      <c r="I1056" t="s">
        <v>394</v>
      </c>
      <c r="J1056">
        <v>8</v>
      </c>
      <c r="K1056" s="16">
        <v>116000</v>
      </c>
      <c r="L1056" s="16">
        <v>86232</v>
      </c>
      <c r="M1056" s="16">
        <v>29768</v>
      </c>
      <c r="N1056" t="s">
        <v>125</v>
      </c>
      <c r="O1056" t="s">
        <v>142</v>
      </c>
      <c r="P1056" t="str">
        <f t="shared" si="16"/>
        <v>Surat|Filing Cabinet</v>
      </c>
    </row>
    <row r="1057" spans="1:16" x14ac:dyDescent="0.3">
      <c r="A1057" s="15">
        <v>46080</v>
      </c>
      <c r="B1057" t="s">
        <v>114</v>
      </c>
      <c r="C1057" t="s">
        <v>152</v>
      </c>
      <c r="D1057" t="s">
        <v>187</v>
      </c>
      <c r="E1057" t="s">
        <v>199</v>
      </c>
      <c r="F1057" t="s">
        <v>97</v>
      </c>
      <c r="G1057" t="s">
        <v>87</v>
      </c>
      <c r="H1057" t="s">
        <v>129</v>
      </c>
      <c r="I1057" t="s">
        <v>402</v>
      </c>
      <c r="J1057">
        <v>15</v>
      </c>
      <c r="K1057" s="16">
        <v>187500</v>
      </c>
      <c r="L1057" s="16">
        <v>121775.56</v>
      </c>
      <c r="M1057" s="16">
        <v>65724.44</v>
      </c>
      <c r="N1057" t="s">
        <v>141</v>
      </c>
      <c r="O1057" t="s">
        <v>113</v>
      </c>
      <c r="P1057" t="str">
        <f t="shared" si="16"/>
        <v>Hyderabad|Microwave</v>
      </c>
    </row>
    <row r="1058" spans="1:16" x14ac:dyDescent="0.3">
      <c r="A1058" s="15">
        <v>46136</v>
      </c>
      <c r="B1058" t="s">
        <v>114</v>
      </c>
      <c r="C1058" t="s">
        <v>107</v>
      </c>
      <c r="D1058" t="s">
        <v>115</v>
      </c>
      <c r="E1058" t="s">
        <v>116</v>
      </c>
      <c r="F1058" t="s">
        <v>95</v>
      </c>
      <c r="G1058" t="s">
        <v>74</v>
      </c>
      <c r="H1058" t="s">
        <v>173</v>
      </c>
      <c r="I1058" t="s">
        <v>111</v>
      </c>
      <c r="J1058">
        <v>1</v>
      </c>
      <c r="K1058" s="16">
        <v>4800</v>
      </c>
      <c r="L1058" s="16">
        <v>3404.18</v>
      </c>
      <c r="M1058" s="16">
        <v>1395.82</v>
      </c>
      <c r="N1058" t="s">
        <v>125</v>
      </c>
      <c r="O1058" t="s">
        <v>113</v>
      </c>
      <c r="P1058" t="str">
        <f t="shared" si="16"/>
        <v>Ahmedabad|Headset</v>
      </c>
    </row>
    <row r="1059" spans="1:16" x14ac:dyDescent="0.3">
      <c r="A1059" s="15">
        <v>46031</v>
      </c>
      <c r="B1059" t="s">
        <v>34</v>
      </c>
      <c r="C1059" t="s">
        <v>152</v>
      </c>
      <c r="D1059" t="s">
        <v>187</v>
      </c>
      <c r="E1059" t="s">
        <v>188</v>
      </c>
      <c r="F1059" t="s">
        <v>97</v>
      </c>
      <c r="G1059" t="s">
        <v>87</v>
      </c>
      <c r="H1059" t="s">
        <v>184</v>
      </c>
      <c r="I1059" t="s">
        <v>219</v>
      </c>
      <c r="J1059">
        <v>18</v>
      </c>
      <c r="K1059" s="16">
        <v>225000</v>
      </c>
      <c r="L1059" s="16">
        <v>163226.04</v>
      </c>
      <c r="M1059" s="16">
        <v>61773.96</v>
      </c>
      <c r="N1059" t="s">
        <v>112</v>
      </c>
      <c r="O1059" t="s">
        <v>113</v>
      </c>
      <c r="P1059" t="str">
        <f t="shared" si="16"/>
        <v>Warangal|Microwave</v>
      </c>
    </row>
    <row r="1060" spans="1:16" x14ac:dyDescent="0.3">
      <c r="A1060" s="15">
        <v>46191</v>
      </c>
      <c r="B1060" t="s">
        <v>34</v>
      </c>
      <c r="C1060" t="s">
        <v>126</v>
      </c>
      <c r="D1060" t="s">
        <v>127</v>
      </c>
      <c r="E1060" t="s">
        <v>128</v>
      </c>
      <c r="F1060" t="s">
        <v>94</v>
      </c>
      <c r="G1060" t="s">
        <v>64</v>
      </c>
      <c r="H1060" t="s">
        <v>129</v>
      </c>
      <c r="I1060" t="s">
        <v>354</v>
      </c>
      <c r="J1060">
        <v>5</v>
      </c>
      <c r="K1060" s="16">
        <v>105000</v>
      </c>
      <c r="L1060" s="16">
        <v>67459.59</v>
      </c>
      <c r="M1060" s="16">
        <v>37540.410000000003</v>
      </c>
      <c r="N1060" t="s">
        <v>125</v>
      </c>
      <c r="O1060" t="s">
        <v>119</v>
      </c>
      <c r="P1060" t="str">
        <f t="shared" si="16"/>
        <v>Gurugram|Monitor 27</v>
      </c>
    </row>
    <row r="1061" spans="1:16" x14ac:dyDescent="0.3">
      <c r="A1061" s="15">
        <v>46089</v>
      </c>
      <c r="B1061" t="s">
        <v>120</v>
      </c>
      <c r="C1061" t="s">
        <v>121</v>
      </c>
      <c r="D1061" t="s">
        <v>122</v>
      </c>
      <c r="E1061" t="s">
        <v>123</v>
      </c>
      <c r="F1061" t="s">
        <v>96</v>
      </c>
      <c r="G1061" t="s">
        <v>83</v>
      </c>
      <c r="H1061" t="s">
        <v>129</v>
      </c>
      <c r="I1061" t="s">
        <v>266</v>
      </c>
      <c r="J1061">
        <v>20</v>
      </c>
      <c r="K1061" s="16">
        <v>720000</v>
      </c>
      <c r="L1061" s="16">
        <v>499422.6</v>
      </c>
      <c r="M1061" s="16">
        <v>220577.4</v>
      </c>
      <c r="N1061" t="s">
        <v>112</v>
      </c>
      <c r="O1061" t="s">
        <v>113</v>
      </c>
      <c r="P1061" t="str">
        <f t="shared" si="16"/>
        <v>Durgapur|Meeting Table</v>
      </c>
    </row>
    <row r="1062" spans="1:16" x14ac:dyDescent="0.3">
      <c r="A1062" s="15">
        <v>46258</v>
      </c>
      <c r="B1062" t="s">
        <v>120</v>
      </c>
      <c r="C1062" t="s">
        <v>121</v>
      </c>
      <c r="D1062" t="s">
        <v>146</v>
      </c>
      <c r="E1062" t="s">
        <v>147</v>
      </c>
      <c r="F1062" t="s">
        <v>96</v>
      </c>
      <c r="G1062" t="s">
        <v>83</v>
      </c>
      <c r="H1062" t="s">
        <v>133</v>
      </c>
      <c r="I1062" t="s">
        <v>409</v>
      </c>
      <c r="J1062">
        <v>5</v>
      </c>
      <c r="K1062" s="16">
        <v>158400</v>
      </c>
      <c r="L1062" s="16">
        <v>124132.61</v>
      </c>
      <c r="M1062" s="16">
        <v>34267.39</v>
      </c>
      <c r="N1062" t="s">
        <v>141</v>
      </c>
      <c r="O1062" t="s">
        <v>113</v>
      </c>
      <c r="P1062" t="str">
        <f t="shared" si="16"/>
        <v>Guwahati|Meeting Table</v>
      </c>
    </row>
    <row r="1063" spans="1:16" x14ac:dyDescent="0.3">
      <c r="A1063" s="15">
        <v>46124</v>
      </c>
      <c r="B1063" t="s">
        <v>114</v>
      </c>
      <c r="C1063" t="s">
        <v>121</v>
      </c>
      <c r="D1063" t="s">
        <v>137</v>
      </c>
      <c r="E1063" t="s">
        <v>171</v>
      </c>
      <c r="F1063" t="s">
        <v>96</v>
      </c>
      <c r="G1063" t="s">
        <v>80</v>
      </c>
      <c r="H1063" t="s">
        <v>135</v>
      </c>
      <c r="I1063" t="s">
        <v>263</v>
      </c>
      <c r="J1063">
        <v>18</v>
      </c>
      <c r="K1063" s="16">
        <v>225000</v>
      </c>
      <c r="L1063" s="16">
        <v>161482.78</v>
      </c>
      <c r="M1063" s="16">
        <v>63517.22</v>
      </c>
      <c r="N1063" t="s">
        <v>125</v>
      </c>
      <c r="O1063" t="s">
        <v>119</v>
      </c>
      <c r="P1063" t="str">
        <f t="shared" si="16"/>
        <v>Bhubaneswar|Office Chair</v>
      </c>
    </row>
    <row r="1064" spans="1:16" x14ac:dyDescent="0.3">
      <c r="A1064" s="15">
        <v>46218</v>
      </c>
      <c r="B1064" t="s">
        <v>34</v>
      </c>
      <c r="C1064" t="s">
        <v>107</v>
      </c>
      <c r="D1064" t="s">
        <v>149</v>
      </c>
      <c r="E1064" t="s">
        <v>159</v>
      </c>
      <c r="F1064" t="s">
        <v>94</v>
      </c>
      <c r="G1064" t="s">
        <v>61</v>
      </c>
      <c r="H1064" t="s">
        <v>133</v>
      </c>
      <c r="I1064" t="s">
        <v>160</v>
      </c>
      <c r="J1064">
        <v>14</v>
      </c>
      <c r="K1064" s="16">
        <v>1059240</v>
      </c>
      <c r="L1064" s="16">
        <v>850548.02</v>
      </c>
      <c r="M1064" s="16">
        <v>208691.98</v>
      </c>
      <c r="N1064" t="s">
        <v>112</v>
      </c>
      <c r="O1064" t="s">
        <v>113</v>
      </c>
      <c r="P1064" t="str">
        <f t="shared" si="16"/>
        <v>Pune|Laptop Pro</v>
      </c>
    </row>
    <row r="1065" spans="1:16" x14ac:dyDescent="0.3">
      <c r="A1065" s="15">
        <v>46236</v>
      </c>
      <c r="B1065" t="s">
        <v>120</v>
      </c>
      <c r="C1065" t="s">
        <v>121</v>
      </c>
      <c r="D1065" t="s">
        <v>146</v>
      </c>
      <c r="E1065" t="s">
        <v>147</v>
      </c>
      <c r="F1065" t="s">
        <v>95</v>
      </c>
      <c r="G1065" t="s">
        <v>74</v>
      </c>
      <c r="H1065" t="s">
        <v>110</v>
      </c>
      <c r="I1065" t="s">
        <v>181</v>
      </c>
      <c r="J1065">
        <v>6</v>
      </c>
      <c r="K1065" s="16">
        <v>28800</v>
      </c>
      <c r="L1065" s="16">
        <v>18829.080000000002</v>
      </c>
      <c r="M1065" s="16">
        <v>9970.92</v>
      </c>
      <c r="N1065" t="s">
        <v>112</v>
      </c>
      <c r="O1065" t="s">
        <v>119</v>
      </c>
      <c r="P1065" t="str">
        <f t="shared" si="16"/>
        <v>Guwahati|Headset</v>
      </c>
    </row>
    <row r="1066" spans="1:16" x14ac:dyDescent="0.3">
      <c r="A1066" s="15">
        <v>46247</v>
      </c>
      <c r="B1066" t="s">
        <v>114</v>
      </c>
      <c r="C1066" t="s">
        <v>126</v>
      </c>
      <c r="D1066" t="s">
        <v>127</v>
      </c>
      <c r="E1066" t="s">
        <v>143</v>
      </c>
      <c r="F1066" t="s">
        <v>94</v>
      </c>
      <c r="G1066" t="s">
        <v>70</v>
      </c>
      <c r="H1066" t="s">
        <v>139</v>
      </c>
      <c r="I1066" t="s">
        <v>370</v>
      </c>
      <c r="J1066">
        <v>8</v>
      </c>
      <c r="K1066" s="16">
        <v>124000</v>
      </c>
      <c r="L1066" s="16">
        <v>94251.26</v>
      </c>
      <c r="M1066" s="16">
        <v>29748.74</v>
      </c>
      <c r="N1066" t="s">
        <v>112</v>
      </c>
      <c r="O1066" t="s">
        <v>113</v>
      </c>
      <c r="P1066" t="str">
        <f t="shared" si="16"/>
        <v>Faridabad|Printer Pro</v>
      </c>
    </row>
    <row r="1067" spans="1:16" x14ac:dyDescent="0.3">
      <c r="A1067" s="15">
        <v>46150</v>
      </c>
      <c r="B1067" t="s">
        <v>114</v>
      </c>
      <c r="C1067" t="s">
        <v>126</v>
      </c>
      <c r="D1067" t="s">
        <v>127</v>
      </c>
      <c r="E1067" t="s">
        <v>143</v>
      </c>
      <c r="F1067" t="s">
        <v>94</v>
      </c>
      <c r="G1067" t="s">
        <v>61</v>
      </c>
      <c r="H1067" t="s">
        <v>184</v>
      </c>
      <c r="I1067" t="s">
        <v>376</v>
      </c>
      <c r="J1067">
        <v>8</v>
      </c>
      <c r="K1067" s="16">
        <v>592800</v>
      </c>
      <c r="L1067" s="16">
        <v>386048.73</v>
      </c>
      <c r="M1067" s="16">
        <v>206751.27</v>
      </c>
      <c r="N1067" t="s">
        <v>112</v>
      </c>
      <c r="O1067" t="s">
        <v>119</v>
      </c>
      <c r="P1067" t="str">
        <f t="shared" si="16"/>
        <v>Faridabad|Laptop Pro</v>
      </c>
    </row>
    <row r="1068" spans="1:16" x14ac:dyDescent="0.3">
      <c r="A1068" s="15">
        <v>46145</v>
      </c>
      <c r="B1068" t="s">
        <v>34</v>
      </c>
      <c r="C1068" t="s">
        <v>126</v>
      </c>
      <c r="D1068" t="s">
        <v>162</v>
      </c>
      <c r="E1068" t="s">
        <v>204</v>
      </c>
      <c r="F1068" t="s">
        <v>94</v>
      </c>
      <c r="G1068" t="s">
        <v>67</v>
      </c>
      <c r="H1068" t="s">
        <v>110</v>
      </c>
      <c r="I1068" t="s">
        <v>290</v>
      </c>
      <c r="J1068">
        <v>3</v>
      </c>
      <c r="K1068" s="16">
        <v>99000</v>
      </c>
      <c r="L1068" s="16">
        <v>71873.22</v>
      </c>
      <c r="M1068" s="16">
        <v>27126.78</v>
      </c>
      <c r="N1068" t="s">
        <v>112</v>
      </c>
      <c r="O1068" t="s">
        <v>113</v>
      </c>
      <c r="P1068" t="str">
        <f t="shared" si="16"/>
        <v>Noida|Tablet X</v>
      </c>
    </row>
    <row r="1069" spans="1:16" x14ac:dyDescent="0.3">
      <c r="A1069" s="15">
        <v>46110</v>
      </c>
      <c r="B1069" t="s">
        <v>34</v>
      </c>
      <c r="C1069" t="s">
        <v>126</v>
      </c>
      <c r="D1069" t="s">
        <v>162</v>
      </c>
      <c r="E1069" t="s">
        <v>204</v>
      </c>
      <c r="F1069" t="s">
        <v>94</v>
      </c>
      <c r="G1069" t="s">
        <v>61</v>
      </c>
      <c r="H1069" t="s">
        <v>117</v>
      </c>
      <c r="I1069" t="s">
        <v>211</v>
      </c>
      <c r="J1069">
        <v>18</v>
      </c>
      <c r="K1069" s="16">
        <v>1404000</v>
      </c>
      <c r="L1069" s="16">
        <v>956762.05</v>
      </c>
      <c r="M1069" s="16">
        <v>447237.95</v>
      </c>
      <c r="N1069" t="s">
        <v>112</v>
      </c>
      <c r="O1069" t="s">
        <v>119</v>
      </c>
      <c r="P1069" t="str">
        <f t="shared" si="16"/>
        <v>Noida|Laptop Pro</v>
      </c>
    </row>
    <row r="1070" spans="1:16" x14ac:dyDescent="0.3">
      <c r="A1070" s="15">
        <v>46116</v>
      </c>
      <c r="B1070" t="s">
        <v>114</v>
      </c>
      <c r="C1070" t="s">
        <v>121</v>
      </c>
      <c r="D1070" t="s">
        <v>146</v>
      </c>
      <c r="E1070" t="s">
        <v>175</v>
      </c>
      <c r="F1070" t="s">
        <v>95</v>
      </c>
      <c r="G1070" t="s">
        <v>74</v>
      </c>
      <c r="H1070" t="s">
        <v>184</v>
      </c>
      <c r="I1070" t="s">
        <v>185</v>
      </c>
      <c r="J1070">
        <v>13</v>
      </c>
      <c r="K1070" s="16">
        <v>59280</v>
      </c>
      <c r="L1070" s="16">
        <v>40248.06</v>
      </c>
      <c r="M1070" s="16">
        <v>19031.939999999999</v>
      </c>
      <c r="N1070" t="s">
        <v>125</v>
      </c>
      <c r="O1070" t="s">
        <v>142</v>
      </c>
      <c r="P1070" t="str">
        <f t="shared" si="16"/>
        <v>Dibrugarh|Headset</v>
      </c>
    </row>
    <row r="1071" spans="1:16" x14ac:dyDescent="0.3">
      <c r="A1071" s="15">
        <v>46048</v>
      </c>
      <c r="B1071" t="s">
        <v>34</v>
      </c>
      <c r="C1071" t="s">
        <v>152</v>
      </c>
      <c r="D1071" t="s">
        <v>153</v>
      </c>
      <c r="E1071" t="s">
        <v>169</v>
      </c>
      <c r="F1071" t="s">
        <v>94</v>
      </c>
      <c r="G1071" t="s">
        <v>64</v>
      </c>
      <c r="H1071" t="s">
        <v>139</v>
      </c>
      <c r="I1071" t="s">
        <v>259</v>
      </c>
      <c r="J1071">
        <v>5</v>
      </c>
      <c r="K1071" s="16">
        <v>99750</v>
      </c>
      <c r="L1071" s="16">
        <v>69952.63</v>
      </c>
      <c r="M1071" s="16">
        <v>29797.37</v>
      </c>
      <c r="N1071" t="s">
        <v>125</v>
      </c>
      <c r="O1071" t="s">
        <v>113</v>
      </c>
      <c r="P1071" t="str">
        <f t="shared" si="16"/>
        <v>Chennai|Monitor 27</v>
      </c>
    </row>
    <row r="1072" spans="1:16" x14ac:dyDescent="0.3">
      <c r="A1072" s="15">
        <v>46245</v>
      </c>
      <c r="B1072" t="s">
        <v>34</v>
      </c>
      <c r="C1072" t="s">
        <v>152</v>
      </c>
      <c r="D1072" t="s">
        <v>153</v>
      </c>
      <c r="E1072" t="s">
        <v>169</v>
      </c>
      <c r="F1072" t="s">
        <v>97</v>
      </c>
      <c r="G1072" t="s">
        <v>85</v>
      </c>
      <c r="H1072" t="s">
        <v>110</v>
      </c>
      <c r="I1072" t="s">
        <v>314</v>
      </c>
      <c r="J1072">
        <v>10</v>
      </c>
      <c r="K1072" s="16">
        <v>180000</v>
      </c>
      <c r="L1072" s="16">
        <v>126340.21</v>
      </c>
      <c r="M1072" s="16">
        <v>53659.79</v>
      </c>
      <c r="N1072" t="s">
        <v>112</v>
      </c>
      <c r="O1072" t="s">
        <v>119</v>
      </c>
      <c r="P1072" t="str">
        <f t="shared" si="16"/>
        <v>Chennai|Air Purifier</v>
      </c>
    </row>
    <row r="1073" spans="1:16" x14ac:dyDescent="0.3">
      <c r="A1073" s="15">
        <v>46033</v>
      </c>
      <c r="B1073" t="s">
        <v>120</v>
      </c>
      <c r="C1073" t="s">
        <v>126</v>
      </c>
      <c r="D1073" t="s">
        <v>162</v>
      </c>
      <c r="E1073" t="s">
        <v>204</v>
      </c>
      <c r="F1073" t="s">
        <v>96</v>
      </c>
      <c r="G1073" t="s">
        <v>82</v>
      </c>
      <c r="H1073" t="s">
        <v>110</v>
      </c>
      <c r="I1073" t="s">
        <v>256</v>
      </c>
      <c r="J1073">
        <v>6</v>
      </c>
      <c r="K1073" s="16">
        <v>171000</v>
      </c>
      <c r="L1073" s="16">
        <v>133448.03</v>
      </c>
      <c r="M1073" s="16">
        <v>37551.97</v>
      </c>
      <c r="N1073" t="s">
        <v>131</v>
      </c>
      <c r="O1073" t="s">
        <v>119</v>
      </c>
      <c r="P1073" t="str">
        <f t="shared" si="16"/>
        <v>Noida|Standing Desk</v>
      </c>
    </row>
    <row r="1074" spans="1:16" x14ac:dyDescent="0.3">
      <c r="A1074" s="15">
        <v>46119</v>
      </c>
      <c r="B1074" t="s">
        <v>120</v>
      </c>
      <c r="C1074" t="s">
        <v>107</v>
      </c>
      <c r="D1074" t="s">
        <v>115</v>
      </c>
      <c r="E1074" t="s">
        <v>191</v>
      </c>
      <c r="F1074" t="s">
        <v>97</v>
      </c>
      <c r="G1074" t="s">
        <v>86</v>
      </c>
      <c r="H1074" t="s">
        <v>139</v>
      </c>
      <c r="I1074" t="s">
        <v>306</v>
      </c>
      <c r="J1074">
        <v>10</v>
      </c>
      <c r="K1074" s="16">
        <v>65000</v>
      </c>
      <c r="L1074" s="16">
        <v>43313.84</v>
      </c>
      <c r="M1074" s="16">
        <v>21686.16</v>
      </c>
      <c r="N1074" t="s">
        <v>112</v>
      </c>
      <c r="O1074" t="s">
        <v>142</v>
      </c>
      <c r="P1074" t="str">
        <f t="shared" si="16"/>
        <v>Surat|Coffee Maker</v>
      </c>
    </row>
    <row r="1075" spans="1:16" x14ac:dyDescent="0.3">
      <c r="A1075" s="15">
        <v>46135</v>
      </c>
      <c r="B1075" t="s">
        <v>34</v>
      </c>
      <c r="C1075" t="s">
        <v>126</v>
      </c>
      <c r="D1075" t="s">
        <v>196</v>
      </c>
      <c r="E1075" t="s">
        <v>208</v>
      </c>
      <c r="F1075" t="s">
        <v>97</v>
      </c>
      <c r="G1075" t="s">
        <v>87</v>
      </c>
      <c r="H1075" t="s">
        <v>135</v>
      </c>
      <c r="I1075" t="s">
        <v>229</v>
      </c>
      <c r="J1075">
        <v>10</v>
      </c>
      <c r="K1075" s="16">
        <v>110000</v>
      </c>
      <c r="L1075" s="16">
        <v>76703.31</v>
      </c>
      <c r="M1075" s="16">
        <v>33296.69</v>
      </c>
      <c r="N1075" t="s">
        <v>125</v>
      </c>
      <c r="O1075" t="s">
        <v>113</v>
      </c>
      <c r="P1075" t="str">
        <f t="shared" si="16"/>
        <v>New Delhi|Microwave</v>
      </c>
    </row>
    <row r="1076" spans="1:16" x14ac:dyDescent="0.3">
      <c r="A1076" s="15">
        <v>46249</v>
      </c>
      <c r="B1076" t="s">
        <v>34</v>
      </c>
      <c r="C1076" t="s">
        <v>152</v>
      </c>
      <c r="D1076" t="s">
        <v>153</v>
      </c>
      <c r="E1076" t="s">
        <v>169</v>
      </c>
      <c r="F1076" t="s">
        <v>95</v>
      </c>
      <c r="G1076" t="s">
        <v>78</v>
      </c>
      <c r="H1076" t="s">
        <v>184</v>
      </c>
      <c r="I1076" t="s">
        <v>347</v>
      </c>
      <c r="J1076">
        <v>7</v>
      </c>
      <c r="K1076" s="16">
        <v>27048</v>
      </c>
      <c r="L1076" s="16">
        <v>19378.36</v>
      </c>
      <c r="M1076" s="16">
        <v>7669.64</v>
      </c>
      <c r="N1076" t="s">
        <v>125</v>
      </c>
      <c r="O1076" t="s">
        <v>142</v>
      </c>
      <c r="P1076" t="str">
        <f t="shared" si="16"/>
        <v>Chennai|Webcam</v>
      </c>
    </row>
    <row r="1077" spans="1:16" x14ac:dyDescent="0.3">
      <c r="A1077" s="15">
        <v>46082</v>
      </c>
      <c r="B1077" t="s">
        <v>34</v>
      </c>
      <c r="C1077" t="s">
        <v>152</v>
      </c>
      <c r="D1077" t="s">
        <v>156</v>
      </c>
      <c r="E1077" t="s">
        <v>157</v>
      </c>
      <c r="F1077" t="s">
        <v>94</v>
      </c>
      <c r="G1077" t="s">
        <v>64</v>
      </c>
      <c r="H1077" t="s">
        <v>135</v>
      </c>
      <c r="I1077" t="s">
        <v>161</v>
      </c>
      <c r="J1077">
        <v>8</v>
      </c>
      <c r="K1077" s="16">
        <v>159600</v>
      </c>
      <c r="L1077" s="16">
        <v>116727.62</v>
      </c>
      <c r="M1077" s="16">
        <v>42872.38</v>
      </c>
      <c r="N1077" t="s">
        <v>141</v>
      </c>
      <c r="O1077" t="s">
        <v>113</v>
      </c>
      <c r="P1077" t="str">
        <f t="shared" si="16"/>
        <v>Mysuru|Monitor 27</v>
      </c>
    </row>
    <row r="1078" spans="1:16" x14ac:dyDescent="0.3">
      <c r="A1078" s="15">
        <v>46042</v>
      </c>
      <c r="B1078" t="s">
        <v>114</v>
      </c>
      <c r="C1078" t="s">
        <v>107</v>
      </c>
      <c r="D1078" t="s">
        <v>108</v>
      </c>
      <c r="E1078" t="s">
        <v>109</v>
      </c>
      <c r="F1078" t="s">
        <v>96</v>
      </c>
      <c r="G1078" t="s">
        <v>80</v>
      </c>
      <c r="H1078" t="s">
        <v>117</v>
      </c>
      <c r="I1078" t="s">
        <v>218</v>
      </c>
      <c r="J1078">
        <v>19</v>
      </c>
      <c r="K1078" s="16">
        <v>230375</v>
      </c>
      <c r="L1078" s="16">
        <v>186302.51</v>
      </c>
      <c r="M1078" s="16">
        <v>44072.49</v>
      </c>
      <c r="N1078" t="s">
        <v>141</v>
      </c>
      <c r="O1078" t="s">
        <v>119</v>
      </c>
      <c r="P1078" t="str">
        <f t="shared" si="16"/>
        <v>Udaipur|Office Chair</v>
      </c>
    </row>
    <row r="1079" spans="1:16" x14ac:dyDescent="0.3">
      <c r="A1079" s="15">
        <v>46147</v>
      </c>
      <c r="B1079" t="s">
        <v>34</v>
      </c>
      <c r="C1079" t="s">
        <v>126</v>
      </c>
      <c r="D1079" t="s">
        <v>196</v>
      </c>
      <c r="E1079" t="s">
        <v>197</v>
      </c>
      <c r="F1079" t="s">
        <v>97</v>
      </c>
      <c r="G1079" t="s">
        <v>86</v>
      </c>
      <c r="H1079" t="s">
        <v>110</v>
      </c>
      <c r="I1079" t="s">
        <v>262</v>
      </c>
      <c r="J1079">
        <v>5</v>
      </c>
      <c r="K1079" s="16">
        <v>28600</v>
      </c>
      <c r="L1079" s="16">
        <v>22262.69</v>
      </c>
      <c r="M1079" s="16">
        <v>6337.31</v>
      </c>
      <c r="N1079" t="s">
        <v>131</v>
      </c>
      <c r="O1079" t="s">
        <v>113</v>
      </c>
      <c r="P1079" t="str">
        <f t="shared" si="16"/>
        <v>Dwarka|Coffee Maker</v>
      </c>
    </row>
    <row r="1080" spans="1:16" x14ac:dyDescent="0.3">
      <c r="A1080" s="15">
        <v>46047</v>
      </c>
      <c r="B1080" t="s">
        <v>34</v>
      </c>
      <c r="C1080" t="s">
        <v>107</v>
      </c>
      <c r="D1080" t="s">
        <v>149</v>
      </c>
      <c r="E1080" t="s">
        <v>150</v>
      </c>
      <c r="F1080" t="s">
        <v>97</v>
      </c>
      <c r="G1080" t="s">
        <v>85</v>
      </c>
      <c r="H1080" t="s">
        <v>129</v>
      </c>
      <c r="I1080" t="s">
        <v>201</v>
      </c>
      <c r="J1080">
        <v>19</v>
      </c>
      <c r="K1080" s="16">
        <v>300960</v>
      </c>
      <c r="L1080" s="16">
        <v>226719.04</v>
      </c>
      <c r="M1080" s="16">
        <v>74240.960000000006</v>
      </c>
      <c r="N1080" t="s">
        <v>141</v>
      </c>
      <c r="O1080" t="s">
        <v>142</v>
      </c>
      <c r="P1080" t="str">
        <f t="shared" si="16"/>
        <v>Mumbai|Air Purifier</v>
      </c>
    </row>
    <row r="1081" spans="1:16" x14ac:dyDescent="0.3">
      <c r="A1081" s="15">
        <v>46053</v>
      </c>
      <c r="B1081" t="s">
        <v>34</v>
      </c>
      <c r="C1081" t="s">
        <v>107</v>
      </c>
      <c r="D1081" t="s">
        <v>149</v>
      </c>
      <c r="E1081" t="s">
        <v>159</v>
      </c>
      <c r="F1081" t="s">
        <v>94</v>
      </c>
      <c r="G1081" t="s">
        <v>67</v>
      </c>
      <c r="H1081" t="s">
        <v>133</v>
      </c>
      <c r="I1081" t="s">
        <v>195</v>
      </c>
      <c r="J1081">
        <v>6</v>
      </c>
      <c r="K1081" s="16">
        <v>182160</v>
      </c>
      <c r="L1081" s="16">
        <v>132814.78</v>
      </c>
      <c r="M1081" s="16">
        <v>49345.22</v>
      </c>
      <c r="N1081" t="s">
        <v>112</v>
      </c>
      <c r="O1081" t="s">
        <v>113</v>
      </c>
      <c r="P1081" t="str">
        <f t="shared" si="16"/>
        <v>Pune|Tablet X</v>
      </c>
    </row>
    <row r="1082" spans="1:16" x14ac:dyDescent="0.3">
      <c r="A1082" s="15">
        <v>46113</v>
      </c>
      <c r="B1082" t="s">
        <v>34</v>
      </c>
      <c r="C1082" t="s">
        <v>126</v>
      </c>
      <c r="D1082" t="s">
        <v>162</v>
      </c>
      <c r="E1082" t="s">
        <v>163</v>
      </c>
      <c r="F1082" t="s">
        <v>96</v>
      </c>
      <c r="G1082" t="s">
        <v>80</v>
      </c>
      <c r="H1082" t="s">
        <v>139</v>
      </c>
      <c r="I1082" t="s">
        <v>278</v>
      </c>
      <c r="J1082">
        <v>14</v>
      </c>
      <c r="K1082" s="16">
        <v>175000</v>
      </c>
      <c r="L1082" s="16">
        <v>123164.68</v>
      </c>
      <c r="M1082" s="16">
        <v>51835.32</v>
      </c>
      <c r="N1082" t="s">
        <v>141</v>
      </c>
      <c r="O1082" t="s">
        <v>142</v>
      </c>
      <c r="P1082" t="str">
        <f t="shared" si="16"/>
        <v>Lucknow|Office Chair</v>
      </c>
    </row>
    <row r="1083" spans="1:16" x14ac:dyDescent="0.3">
      <c r="A1083" s="15">
        <v>46095</v>
      </c>
      <c r="B1083" t="s">
        <v>120</v>
      </c>
      <c r="C1083" t="s">
        <v>107</v>
      </c>
      <c r="D1083" t="s">
        <v>149</v>
      </c>
      <c r="E1083" t="s">
        <v>159</v>
      </c>
      <c r="F1083" t="s">
        <v>96</v>
      </c>
      <c r="G1083" t="s">
        <v>84</v>
      </c>
      <c r="H1083" t="s">
        <v>173</v>
      </c>
      <c r="I1083" t="s">
        <v>352</v>
      </c>
      <c r="J1083">
        <v>5</v>
      </c>
      <c r="K1083" s="16">
        <v>72500</v>
      </c>
      <c r="L1083" s="16">
        <v>53282.93</v>
      </c>
      <c r="M1083" s="16">
        <v>19217.07</v>
      </c>
      <c r="N1083" t="s">
        <v>125</v>
      </c>
      <c r="O1083" t="s">
        <v>142</v>
      </c>
      <c r="P1083" t="str">
        <f t="shared" si="16"/>
        <v>Pune|Filing Cabinet</v>
      </c>
    </row>
    <row r="1084" spans="1:16" x14ac:dyDescent="0.3">
      <c r="A1084" s="15">
        <v>46078</v>
      </c>
      <c r="B1084" t="s">
        <v>120</v>
      </c>
      <c r="C1084" t="s">
        <v>126</v>
      </c>
      <c r="D1084" t="s">
        <v>162</v>
      </c>
      <c r="E1084" t="s">
        <v>204</v>
      </c>
      <c r="F1084" t="s">
        <v>94</v>
      </c>
      <c r="G1084" t="s">
        <v>70</v>
      </c>
      <c r="H1084" t="s">
        <v>184</v>
      </c>
      <c r="I1084" t="s">
        <v>349</v>
      </c>
      <c r="J1084">
        <v>7</v>
      </c>
      <c r="K1084" s="16">
        <v>105245</v>
      </c>
      <c r="L1084" s="16">
        <v>84437.98</v>
      </c>
      <c r="M1084" s="16">
        <v>20807.02</v>
      </c>
      <c r="N1084" t="s">
        <v>131</v>
      </c>
      <c r="O1084" t="s">
        <v>142</v>
      </c>
      <c r="P1084" t="str">
        <f t="shared" si="16"/>
        <v>Noida|Printer Pro</v>
      </c>
    </row>
    <row r="1085" spans="1:16" x14ac:dyDescent="0.3">
      <c r="A1085" s="15">
        <v>46218</v>
      </c>
      <c r="B1085" t="s">
        <v>34</v>
      </c>
      <c r="C1085" t="s">
        <v>121</v>
      </c>
      <c r="D1085" t="s">
        <v>122</v>
      </c>
      <c r="E1085" t="s">
        <v>166</v>
      </c>
      <c r="F1085" t="s">
        <v>97</v>
      </c>
      <c r="G1085" t="s">
        <v>88</v>
      </c>
      <c r="H1085" t="s">
        <v>135</v>
      </c>
      <c r="I1085" t="s">
        <v>315</v>
      </c>
      <c r="J1085">
        <v>19</v>
      </c>
      <c r="K1085" s="16">
        <v>242440</v>
      </c>
      <c r="L1085" s="16">
        <v>157545.44</v>
      </c>
      <c r="M1085" s="16">
        <v>84894.56</v>
      </c>
      <c r="N1085" t="s">
        <v>141</v>
      </c>
      <c r="O1085" t="s">
        <v>113</v>
      </c>
      <c r="P1085" t="str">
        <f t="shared" si="16"/>
        <v>Kolkata|Vacuum Cleaner</v>
      </c>
    </row>
    <row r="1086" spans="1:16" x14ac:dyDescent="0.3">
      <c r="A1086" s="15">
        <v>46039</v>
      </c>
      <c r="B1086" t="s">
        <v>34</v>
      </c>
      <c r="C1086" t="s">
        <v>126</v>
      </c>
      <c r="D1086" t="s">
        <v>162</v>
      </c>
      <c r="E1086" t="s">
        <v>163</v>
      </c>
      <c r="F1086" t="s">
        <v>97</v>
      </c>
      <c r="G1086" t="s">
        <v>87</v>
      </c>
      <c r="H1086" t="s">
        <v>110</v>
      </c>
      <c r="I1086" t="s">
        <v>359</v>
      </c>
      <c r="J1086">
        <v>12</v>
      </c>
      <c r="K1086" s="16">
        <v>138000</v>
      </c>
      <c r="L1086" s="16">
        <v>93563.91</v>
      </c>
      <c r="M1086" s="16">
        <v>44436.09</v>
      </c>
      <c r="N1086" t="s">
        <v>112</v>
      </c>
      <c r="O1086" t="s">
        <v>113</v>
      </c>
      <c r="P1086" t="str">
        <f t="shared" si="16"/>
        <v>Lucknow|Microwave</v>
      </c>
    </row>
    <row r="1087" spans="1:16" x14ac:dyDescent="0.3">
      <c r="A1087" s="15">
        <v>46100</v>
      </c>
      <c r="B1087" t="s">
        <v>34</v>
      </c>
      <c r="C1087" t="s">
        <v>126</v>
      </c>
      <c r="D1087" t="s">
        <v>127</v>
      </c>
      <c r="E1087" t="s">
        <v>128</v>
      </c>
      <c r="F1087" t="s">
        <v>95</v>
      </c>
      <c r="G1087" t="s">
        <v>78</v>
      </c>
      <c r="H1087" t="s">
        <v>129</v>
      </c>
      <c r="I1087" t="s">
        <v>230</v>
      </c>
      <c r="J1087">
        <v>17</v>
      </c>
      <c r="K1087" s="16">
        <v>62832</v>
      </c>
      <c r="L1087" s="16">
        <v>49473.91</v>
      </c>
      <c r="M1087" s="16">
        <v>13358.09</v>
      </c>
      <c r="N1087" t="s">
        <v>125</v>
      </c>
      <c r="O1087" t="s">
        <v>113</v>
      </c>
      <c r="P1087" t="str">
        <f t="shared" si="16"/>
        <v>Gurugram|Webcam</v>
      </c>
    </row>
    <row r="1088" spans="1:16" x14ac:dyDescent="0.3">
      <c r="A1088" s="15">
        <v>46177</v>
      </c>
      <c r="B1088" t="s">
        <v>114</v>
      </c>
      <c r="C1088" t="s">
        <v>121</v>
      </c>
      <c r="D1088" t="s">
        <v>122</v>
      </c>
      <c r="E1088" t="s">
        <v>123</v>
      </c>
      <c r="F1088" t="s">
        <v>96</v>
      </c>
      <c r="G1088" t="s">
        <v>82</v>
      </c>
      <c r="H1088" t="s">
        <v>129</v>
      </c>
      <c r="I1088" t="s">
        <v>395</v>
      </c>
      <c r="J1088">
        <v>15</v>
      </c>
      <c r="K1088" s="16">
        <v>414675</v>
      </c>
      <c r="L1088" s="16">
        <v>286813.21999999997</v>
      </c>
      <c r="M1088" s="16">
        <v>127861.78</v>
      </c>
      <c r="N1088" t="s">
        <v>141</v>
      </c>
      <c r="O1088" t="s">
        <v>113</v>
      </c>
      <c r="P1088" t="str">
        <f t="shared" si="16"/>
        <v>Durgapur|Standing Desk</v>
      </c>
    </row>
    <row r="1089" spans="1:16" x14ac:dyDescent="0.3">
      <c r="A1089" s="15">
        <v>46192</v>
      </c>
      <c r="B1089" t="s">
        <v>114</v>
      </c>
      <c r="C1089" t="s">
        <v>107</v>
      </c>
      <c r="D1089" t="s">
        <v>149</v>
      </c>
      <c r="E1089" t="s">
        <v>159</v>
      </c>
      <c r="F1089" t="s">
        <v>95</v>
      </c>
      <c r="G1089" t="s">
        <v>78</v>
      </c>
      <c r="H1089" t="s">
        <v>135</v>
      </c>
      <c r="I1089" t="s">
        <v>272</v>
      </c>
      <c r="J1089">
        <v>7</v>
      </c>
      <c r="K1089" s="16">
        <v>27930</v>
      </c>
      <c r="L1089" s="16">
        <v>21655.73</v>
      </c>
      <c r="M1089" s="16">
        <v>6274.27</v>
      </c>
      <c r="N1089" t="s">
        <v>125</v>
      </c>
      <c r="O1089" t="s">
        <v>113</v>
      </c>
      <c r="P1089" t="str">
        <f t="shared" si="16"/>
        <v>Pune|Webcam</v>
      </c>
    </row>
    <row r="1090" spans="1:16" x14ac:dyDescent="0.3">
      <c r="A1090" s="15">
        <v>46209</v>
      </c>
      <c r="B1090" t="s">
        <v>34</v>
      </c>
      <c r="C1090" t="s">
        <v>126</v>
      </c>
      <c r="D1090" t="s">
        <v>162</v>
      </c>
      <c r="E1090" t="s">
        <v>204</v>
      </c>
      <c r="F1090" t="s">
        <v>95</v>
      </c>
      <c r="G1090" t="s">
        <v>76</v>
      </c>
      <c r="H1090" t="s">
        <v>139</v>
      </c>
      <c r="I1090" t="s">
        <v>329</v>
      </c>
      <c r="J1090">
        <v>1</v>
      </c>
      <c r="K1090" s="16">
        <v>1800</v>
      </c>
      <c r="L1090" s="16">
        <v>1348.38</v>
      </c>
      <c r="M1090" s="16">
        <v>451.62</v>
      </c>
      <c r="N1090" t="s">
        <v>112</v>
      </c>
      <c r="O1090" t="s">
        <v>113</v>
      </c>
      <c r="P1090" t="str">
        <f t="shared" si="16"/>
        <v>Noida|Mouse</v>
      </c>
    </row>
    <row r="1091" spans="1:16" x14ac:dyDescent="0.3">
      <c r="A1091" s="15">
        <v>46227</v>
      </c>
      <c r="B1091" t="s">
        <v>114</v>
      </c>
      <c r="C1091" t="s">
        <v>126</v>
      </c>
      <c r="D1091" t="s">
        <v>196</v>
      </c>
      <c r="E1091" t="s">
        <v>208</v>
      </c>
      <c r="F1091" t="s">
        <v>94</v>
      </c>
      <c r="G1091" t="s">
        <v>61</v>
      </c>
      <c r="H1091" t="s">
        <v>173</v>
      </c>
      <c r="I1091" t="s">
        <v>311</v>
      </c>
      <c r="J1091">
        <v>8</v>
      </c>
      <c r="K1091" s="16">
        <v>624000</v>
      </c>
      <c r="L1091" s="16">
        <v>511489.57</v>
      </c>
      <c r="M1091" s="16">
        <v>112510.43</v>
      </c>
      <c r="N1091" t="s">
        <v>125</v>
      </c>
      <c r="O1091" t="s">
        <v>142</v>
      </c>
      <c r="P1091" t="str">
        <f t="shared" si="16"/>
        <v>New Delhi|Laptop Pro</v>
      </c>
    </row>
    <row r="1092" spans="1:16" x14ac:dyDescent="0.3">
      <c r="A1092" s="15">
        <v>46038</v>
      </c>
      <c r="B1092" t="s">
        <v>34</v>
      </c>
      <c r="C1092" t="s">
        <v>107</v>
      </c>
      <c r="D1092" t="s">
        <v>149</v>
      </c>
      <c r="E1092" t="s">
        <v>159</v>
      </c>
      <c r="F1092" t="s">
        <v>97</v>
      </c>
      <c r="G1092" t="s">
        <v>86</v>
      </c>
      <c r="H1092" t="s">
        <v>184</v>
      </c>
      <c r="I1092" t="s">
        <v>296</v>
      </c>
      <c r="J1092">
        <v>9</v>
      </c>
      <c r="K1092" s="16">
        <v>58500</v>
      </c>
      <c r="L1092" s="16">
        <v>39343.65</v>
      </c>
      <c r="M1092" s="16">
        <v>19156.349999999999</v>
      </c>
      <c r="N1092" t="s">
        <v>125</v>
      </c>
      <c r="O1092" t="s">
        <v>113</v>
      </c>
      <c r="P1092" t="str">
        <f t="shared" si="16"/>
        <v>Pune|Coffee Maker</v>
      </c>
    </row>
    <row r="1093" spans="1:16" x14ac:dyDescent="0.3">
      <c r="A1093" s="15">
        <v>46062</v>
      </c>
      <c r="B1093" t="s">
        <v>34</v>
      </c>
      <c r="C1093" t="s">
        <v>121</v>
      </c>
      <c r="D1093" t="s">
        <v>137</v>
      </c>
      <c r="E1093" t="s">
        <v>138</v>
      </c>
      <c r="F1093" t="s">
        <v>95</v>
      </c>
      <c r="G1093" t="s">
        <v>72</v>
      </c>
      <c r="H1093" t="s">
        <v>139</v>
      </c>
      <c r="I1093" t="s">
        <v>190</v>
      </c>
      <c r="J1093">
        <v>19</v>
      </c>
      <c r="K1093" s="16">
        <v>53504</v>
      </c>
      <c r="L1093" s="16">
        <v>42139.9</v>
      </c>
      <c r="M1093" s="16">
        <v>11364.1</v>
      </c>
      <c r="N1093" t="s">
        <v>112</v>
      </c>
      <c r="O1093" t="s">
        <v>113</v>
      </c>
      <c r="P1093" t="str">
        <f t="shared" ref="P1093:P1156" si="17">E1093&amp;"|"&amp;G1093</f>
        <v>Cuttack|Keyboard</v>
      </c>
    </row>
    <row r="1094" spans="1:16" x14ac:dyDescent="0.3">
      <c r="A1094" s="15">
        <v>46093</v>
      </c>
      <c r="B1094" t="s">
        <v>120</v>
      </c>
      <c r="C1094" t="s">
        <v>107</v>
      </c>
      <c r="D1094" t="s">
        <v>115</v>
      </c>
      <c r="E1094" t="s">
        <v>116</v>
      </c>
      <c r="F1094" t="s">
        <v>95</v>
      </c>
      <c r="G1094" t="s">
        <v>72</v>
      </c>
      <c r="H1094" t="s">
        <v>173</v>
      </c>
      <c r="I1094" t="s">
        <v>130</v>
      </c>
      <c r="J1094">
        <v>18</v>
      </c>
      <c r="K1094" s="16">
        <v>57600</v>
      </c>
      <c r="L1094" s="16">
        <v>45873.02</v>
      </c>
      <c r="M1094" s="16">
        <v>11726.98</v>
      </c>
      <c r="N1094" t="s">
        <v>125</v>
      </c>
      <c r="O1094" t="s">
        <v>113</v>
      </c>
      <c r="P1094" t="str">
        <f t="shared" si="17"/>
        <v>Ahmedabad|Keyboard</v>
      </c>
    </row>
    <row r="1095" spans="1:16" x14ac:dyDescent="0.3">
      <c r="A1095" s="15">
        <v>46212</v>
      </c>
      <c r="B1095" t="s">
        <v>120</v>
      </c>
      <c r="C1095" t="s">
        <v>126</v>
      </c>
      <c r="D1095" t="s">
        <v>127</v>
      </c>
      <c r="E1095" t="s">
        <v>128</v>
      </c>
      <c r="F1095" t="s">
        <v>95</v>
      </c>
      <c r="G1095" t="s">
        <v>74</v>
      </c>
      <c r="H1095" t="s">
        <v>117</v>
      </c>
      <c r="I1095" t="s">
        <v>260</v>
      </c>
      <c r="J1095">
        <v>18</v>
      </c>
      <c r="K1095" s="16">
        <v>86400</v>
      </c>
      <c r="L1095" s="16">
        <v>53994.8</v>
      </c>
      <c r="M1095" s="16">
        <v>32405.200000000001</v>
      </c>
      <c r="N1095" t="s">
        <v>125</v>
      </c>
      <c r="O1095" t="s">
        <v>113</v>
      </c>
      <c r="P1095" t="str">
        <f t="shared" si="17"/>
        <v>Gurugram|Headset</v>
      </c>
    </row>
    <row r="1096" spans="1:16" x14ac:dyDescent="0.3">
      <c r="A1096" s="15">
        <v>46092</v>
      </c>
      <c r="B1096" t="s">
        <v>34</v>
      </c>
      <c r="C1096" t="s">
        <v>107</v>
      </c>
      <c r="D1096" t="s">
        <v>115</v>
      </c>
      <c r="E1096" t="s">
        <v>191</v>
      </c>
      <c r="F1096" t="s">
        <v>95</v>
      </c>
      <c r="G1096" t="s">
        <v>72</v>
      </c>
      <c r="H1096" t="s">
        <v>139</v>
      </c>
      <c r="I1096" t="s">
        <v>368</v>
      </c>
      <c r="J1096">
        <v>16</v>
      </c>
      <c r="K1096" s="16">
        <v>45056</v>
      </c>
      <c r="L1096" s="16">
        <v>33956.67</v>
      </c>
      <c r="M1096" s="16">
        <v>11099.33</v>
      </c>
      <c r="N1096" t="s">
        <v>125</v>
      </c>
      <c r="O1096" t="s">
        <v>113</v>
      </c>
      <c r="P1096" t="str">
        <f t="shared" si="17"/>
        <v>Surat|Keyboard</v>
      </c>
    </row>
    <row r="1097" spans="1:16" x14ac:dyDescent="0.3">
      <c r="A1097" s="15">
        <v>46183</v>
      </c>
      <c r="B1097" t="s">
        <v>34</v>
      </c>
      <c r="C1097" t="s">
        <v>126</v>
      </c>
      <c r="D1097" t="s">
        <v>127</v>
      </c>
      <c r="E1097" t="s">
        <v>128</v>
      </c>
      <c r="F1097" t="s">
        <v>97</v>
      </c>
      <c r="G1097" t="s">
        <v>88</v>
      </c>
      <c r="H1097" t="s">
        <v>129</v>
      </c>
      <c r="I1097" t="s">
        <v>322</v>
      </c>
      <c r="J1097">
        <v>13</v>
      </c>
      <c r="K1097" s="16">
        <v>182845</v>
      </c>
      <c r="L1097" s="16">
        <v>144680.13</v>
      </c>
      <c r="M1097" s="16">
        <v>38164.870000000003</v>
      </c>
      <c r="N1097" t="s">
        <v>112</v>
      </c>
      <c r="O1097" t="s">
        <v>113</v>
      </c>
      <c r="P1097" t="str">
        <f t="shared" si="17"/>
        <v>Gurugram|Vacuum Cleaner</v>
      </c>
    </row>
    <row r="1098" spans="1:16" x14ac:dyDescent="0.3">
      <c r="A1098" s="15">
        <v>46028</v>
      </c>
      <c r="B1098" t="s">
        <v>34</v>
      </c>
      <c r="C1098" t="s">
        <v>126</v>
      </c>
      <c r="D1098" t="s">
        <v>162</v>
      </c>
      <c r="E1098" t="s">
        <v>204</v>
      </c>
      <c r="F1098" t="s">
        <v>97</v>
      </c>
      <c r="G1098" t="s">
        <v>86</v>
      </c>
      <c r="H1098" t="s">
        <v>117</v>
      </c>
      <c r="I1098" t="s">
        <v>185</v>
      </c>
      <c r="J1098">
        <v>18</v>
      </c>
      <c r="K1098" s="16">
        <v>102960</v>
      </c>
      <c r="L1098" s="16">
        <v>70490.05</v>
      </c>
      <c r="M1098" s="16">
        <v>32469.95</v>
      </c>
      <c r="N1098" t="s">
        <v>112</v>
      </c>
      <c r="O1098" t="s">
        <v>113</v>
      </c>
      <c r="P1098" t="str">
        <f t="shared" si="17"/>
        <v>Noida|Coffee Maker</v>
      </c>
    </row>
    <row r="1099" spans="1:16" x14ac:dyDescent="0.3">
      <c r="A1099" s="15">
        <v>46203</v>
      </c>
      <c r="B1099" t="s">
        <v>34</v>
      </c>
      <c r="C1099" t="s">
        <v>107</v>
      </c>
      <c r="D1099" t="s">
        <v>108</v>
      </c>
      <c r="E1099" t="s">
        <v>109</v>
      </c>
      <c r="F1099" t="s">
        <v>97</v>
      </c>
      <c r="G1099" t="s">
        <v>85</v>
      </c>
      <c r="H1099" t="s">
        <v>173</v>
      </c>
      <c r="I1099" t="s">
        <v>148</v>
      </c>
      <c r="J1099">
        <v>4</v>
      </c>
      <c r="K1099" s="16">
        <v>68400</v>
      </c>
      <c r="L1099" s="16">
        <v>48160.98</v>
      </c>
      <c r="M1099" s="16">
        <v>20239.02</v>
      </c>
      <c r="N1099" t="s">
        <v>112</v>
      </c>
      <c r="O1099" t="s">
        <v>119</v>
      </c>
      <c r="P1099" t="str">
        <f t="shared" si="17"/>
        <v>Udaipur|Air Purifier</v>
      </c>
    </row>
    <row r="1100" spans="1:16" x14ac:dyDescent="0.3">
      <c r="A1100" s="15">
        <v>46218</v>
      </c>
      <c r="B1100" t="s">
        <v>34</v>
      </c>
      <c r="C1100" t="s">
        <v>152</v>
      </c>
      <c r="D1100" t="s">
        <v>187</v>
      </c>
      <c r="E1100" t="s">
        <v>199</v>
      </c>
      <c r="F1100" t="s">
        <v>95</v>
      </c>
      <c r="G1100" t="s">
        <v>72</v>
      </c>
      <c r="H1100" t="s">
        <v>184</v>
      </c>
      <c r="I1100" t="s">
        <v>182</v>
      </c>
      <c r="J1100">
        <v>7</v>
      </c>
      <c r="K1100" s="16">
        <v>22400</v>
      </c>
      <c r="L1100" s="16">
        <v>14032.86</v>
      </c>
      <c r="M1100" s="16">
        <v>8367.14</v>
      </c>
      <c r="N1100" t="s">
        <v>141</v>
      </c>
      <c r="O1100" t="s">
        <v>142</v>
      </c>
      <c r="P1100" t="str">
        <f t="shared" si="17"/>
        <v>Hyderabad|Keyboard</v>
      </c>
    </row>
    <row r="1101" spans="1:16" x14ac:dyDescent="0.3">
      <c r="A1101" s="15">
        <v>46028</v>
      </c>
      <c r="B1101" t="s">
        <v>120</v>
      </c>
      <c r="C1101" t="s">
        <v>121</v>
      </c>
      <c r="D1101" t="s">
        <v>122</v>
      </c>
      <c r="E1101" t="s">
        <v>166</v>
      </c>
      <c r="F1101" t="s">
        <v>95</v>
      </c>
      <c r="G1101" t="s">
        <v>74</v>
      </c>
      <c r="H1101" t="s">
        <v>110</v>
      </c>
      <c r="I1101" t="s">
        <v>396</v>
      </c>
      <c r="J1101">
        <v>15</v>
      </c>
      <c r="K1101" s="16">
        <v>66240</v>
      </c>
      <c r="L1101" s="16">
        <v>47082.57</v>
      </c>
      <c r="M1101" s="16">
        <v>19157.43</v>
      </c>
      <c r="N1101" t="s">
        <v>112</v>
      </c>
      <c r="O1101" t="s">
        <v>113</v>
      </c>
      <c r="P1101" t="str">
        <f t="shared" si="17"/>
        <v>Kolkata|Headset</v>
      </c>
    </row>
    <row r="1102" spans="1:16" x14ac:dyDescent="0.3">
      <c r="A1102" s="15">
        <v>46026</v>
      </c>
      <c r="B1102" t="s">
        <v>34</v>
      </c>
      <c r="C1102" t="s">
        <v>126</v>
      </c>
      <c r="D1102" t="s">
        <v>127</v>
      </c>
      <c r="E1102" t="s">
        <v>128</v>
      </c>
      <c r="F1102" t="s">
        <v>95</v>
      </c>
      <c r="G1102" t="s">
        <v>72</v>
      </c>
      <c r="H1102" t="s">
        <v>129</v>
      </c>
      <c r="I1102" t="s">
        <v>376</v>
      </c>
      <c r="J1102">
        <v>7</v>
      </c>
      <c r="K1102" s="16">
        <v>22400</v>
      </c>
      <c r="L1102" s="16">
        <v>14628.87</v>
      </c>
      <c r="M1102" s="16">
        <v>7771.13</v>
      </c>
      <c r="N1102" t="s">
        <v>125</v>
      </c>
      <c r="O1102" t="s">
        <v>113</v>
      </c>
      <c r="P1102" t="str">
        <f t="shared" si="17"/>
        <v>Gurugram|Keyboard</v>
      </c>
    </row>
    <row r="1103" spans="1:16" x14ac:dyDescent="0.3">
      <c r="A1103" s="15">
        <v>46107</v>
      </c>
      <c r="B1103" t="s">
        <v>114</v>
      </c>
      <c r="C1103" t="s">
        <v>126</v>
      </c>
      <c r="D1103" t="s">
        <v>162</v>
      </c>
      <c r="E1103" t="s">
        <v>204</v>
      </c>
      <c r="F1103" t="s">
        <v>94</v>
      </c>
      <c r="G1103" t="s">
        <v>61</v>
      </c>
      <c r="H1103" t="s">
        <v>133</v>
      </c>
      <c r="I1103" t="s">
        <v>341</v>
      </c>
      <c r="J1103">
        <v>1</v>
      </c>
      <c r="K1103" s="16">
        <v>74100</v>
      </c>
      <c r="L1103" s="16">
        <v>57502.73</v>
      </c>
      <c r="M1103" s="16">
        <v>16597.27</v>
      </c>
      <c r="N1103" t="s">
        <v>125</v>
      </c>
      <c r="O1103" t="s">
        <v>113</v>
      </c>
      <c r="P1103" t="str">
        <f t="shared" si="17"/>
        <v>Noida|Laptop Pro</v>
      </c>
    </row>
    <row r="1104" spans="1:16" x14ac:dyDescent="0.3">
      <c r="A1104" s="15">
        <v>46265</v>
      </c>
      <c r="B1104" t="s">
        <v>34</v>
      </c>
      <c r="C1104" t="s">
        <v>107</v>
      </c>
      <c r="D1104" t="s">
        <v>108</v>
      </c>
      <c r="E1104" t="s">
        <v>132</v>
      </c>
      <c r="F1104" t="s">
        <v>96</v>
      </c>
      <c r="G1104" t="s">
        <v>83</v>
      </c>
      <c r="H1104" t="s">
        <v>110</v>
      </c>
      <c r="I1104" t="s">
        <v>392</v>
      </c>
      <c r="J1104">
        <v>9</v>
      </c>
      <c r="K1104" s="16">
        <v>314280</v>
      </c>
      <c r="L1104" s="16">
        <v>195698.65</v>
      </c>
      <c r="M1104" s="16">
        <v>118581.35</v>
      </c>
      <c r="N1104" t="s">
        <v>125</v>
      </c>
      <c r="O1104" t="s">
        <v>119</v>
      </c>
      <c r="P1104" t="str">
        <f t="shared" si="17"/>
        <v>Jaipur|Meeting Table</v>
      </c>
    </row>
    <row r="1105" spans="1:16" x14ac:dyDescent="0.3">
      <c r="A1105" s="15">
        <v>46165</v>
      </c>
      <c r="B1105" t="s">
        <v>34</v>
      </c>
      <c r="C1105" t="s">
        <v>126</v>
      </c>
      <c r="D1105" t="s">
        <v>162</v>
      </c>
      <c r="E1105" t="s">
        <v>163</v>
      </c>
      <c r="F1105" t="s">
        <v>97</v>
      </c>
      <c r="G1105" t="s">
        <v>88</v>
      </c>
      <c r="H1105" t="s">
        <v>184</v>
      </c>
      <c r="I1105" t="s">
        <v>311</v>
      </c>
      <c r="J1105">
        <v>17</v>
      </c>
      <c r="K1105" s="16">
        <v>234175</v>
      </c>
      <c r="L1105" s="16">
        <v>146275.35</v>
      </c>
      <c r="M1105" s="16">
        <v>87899.65</v>
      </c>
      <c r="N1105" t="s">
        <v>125</v>
      </c>
      <c r="O1105" t="s">
        <v>119</v>
      </c>
      <c r="P1105" t="str">
        <f t="shared" si="17"/>
        <v>Lucknow|Vacuum Cleaner</v>
      </c>
    </row>
    <row r="1106" spans="1:16" x14ac:dyDescent="0.3">
      <c r="A1106" s="15">
        <v>46191</v>
      </c>
      <c r="B1106" t="s">
        <v>34</v>
      </c>
      <c r="C1106" t="s">
        <v>126</v>
      </c>
      <c r="D1106" t="s">
        <v>162</v>
      </c>
      <c r="E1106" t="s">
        <v>163</v>
      </c>
      <c r="F1106" t="s">
        <v>95</v>
      </c>
      <c r="G1106" t="s">
        <v>78</v>
      </c>
      <c r="H1106" t="s">
        <v>135</v>
      </c>
      <c r="I1106" t="s">
        <v>395</v>
      </c>
      <c r="J1106">
        <v>6</v>
      </c>
      <c r="K1106" s="16">
        <v>23184</v>
      </c>
      <c r="L1106" s="16">
        <v>17288.830000000002</v>
      </c>
      <c r="M1106" s="16">
        <v>5895.17</v>
      </c>
      <c r="N1106" t="s">
        <v>112</v>
      </c>
      <c r="O1106" t="s">
        <v>119</v>
      </c>
      <c r="P1106" t="str">
        <f t="shared" si="17"/>
        <v>Lucknow|Webcam</v>
      </c>
    </row>
    <row r="1107" spans="1:16" x14ac:dyDescent="0.3">
      <c r="A1107" s="15">
        <v>46214</v>
      </c>
      <c r="B1107" t="s">
        <v>34</v>
      </c>
      <c r="C1107" t="s">
        <v>152</v>
      </c>
      <c r="D1107" t="s">
        <v>187</v>
      </c>
      <c r="E1107" t="s">
        <v>199</v>
      </c>
      <c r="F1107" t="s">
        <v>95</v>
      </c>
      <c r="G1107" t="s">
        <v>78</v>
      </c>
      <c r="H1107" t="s">
        <v>135</v>
      </c>
      <c r="I1107" t="s">
        <v>275</v>
      </c>
      <c r="J1107">
        <v>16</v>
      </c>
      <c r="K1107" s="16">
        <v>65184</v>
      </c>
      <c r="L1107" s="16">
        <v>46244.11</v>
      </c>
      <c r="M1107" s="16">
        <v>18939.89</v>
      </c>
      <c r="N1107" t="s">
        <v>125</v>
      </c>
      <c r="O1107" t="s">
        <v>142</v>
      </c>
      <c r="P1107" t="str">
        <f t="shared" si="17"/>
        <v>Hyderabad|Webcam</v>
      </c>
    </row>
    <row r="1108" spans="1:16" x14ac:dyDescent="0.3">
      <c r="A1108" s="15">
        <v>46219</v>
      </c>
      <c r="B1108" t="s">
        <v>34</v>
      </c>
      <c r="C1108" t="s">
        <v>126</v>
      </c>
      <c r="D1108" t="s">
        <v>162</v>
      </c>
      <c r="E1108" t="s">
        <v>163</v>
      </c>
      <c r="F1108" t="s">
        <v>97</v>
      </c>
      <c r="G1108" t="s">
        <v>87</v>
      </c>
      <c r="H1108" t="s">
        <v>173</v>
      </c>
      <c r="I1108" t="s">
        <v>405</v>
      </c>
      <c r="J1108">
        <v>15</v>
      </c>
      <c r="K1108" s="16">
        <v>165000</v>
      </c>
      <c r="L1108" s="16">
        <v>110397.86</v>
      </c>
      <c r="M1108" s="16">
        <v>54602.14</v>
      </c>
      <c r="N1108" t="s">
        <v>131</v>
      </c>
      <c r="O1108" t="s">
        <v>113</v>
      </c>
      <c r="P1108" t="str">
        <f t="shared" si="17"/>
        <v>Lucknow|Microwave</v>
      </c>
    </row>
    <row r="1109" spans="1:16" x14ac:dyDescent="0.3">
      <c r="A1109" s="15">
        <v>46129</v>
      </c>
      <c r="B1109" t="s">
        <v>34</v>
      </c>
      <c r="C1109" t="s">
        <v>152</v>
      </c>
      <c r="D1109" t="s">
        <v>187</v>
      </c>
      <c r="E1109" t="s">
        <v>188</v>
      </c>
      <c r="F1109" t="s">
        <v>95</v>
      </c>
      <c r="G1109" t="s">
        <v>76</v>
      </c>
      <c r="H1109" t="s">
        <v>117</v>
      </c>
      <c r="I1109" t="s">
        <v>111</v>
      </c>
      <c r="J1109">
        <v>3</v>
      </c>
      <c r="K1109" s="16">
        <v>5130</v>
      </c>
      <c r="L1109" s="16">
        <v>3708.2</v>
      </c>
      <c r="M1109" s="16">
        <v>1421.8</v>
      </c>
      <c r="N1109" t="s">
        <v>131</v>
      </c>
      <c r="O1109" t="s">
        <v>113</v>
      </c>
      <c r="P1109" t="str">
        <f t="shared" si="17"/>
        <v>Warangal|Mouse</v>
      </c>
    </row>
    <row r="1110" spans="1:16" x14ac:dyDescent="0.3">
      <c r="A1110" s="15">
        <v>46224</v>
      </c>
      <c r="B1110" t="s">
        <v>34</v>
      </c>
      <c r="C1110" t="s">
        <v>121</v>
      </c>
      <c r="D1110" t="s">
        <v>146</v>
      </c>
      <c r="E1110" t="s">
        <v>175</v>
      </c>
      <c r="F1110" t="s">
        <v>97</v>
      </c>
      <c r="G1110" t="s">
        <v>85</v>
      </c>
      <c r="H1110" t="s">
        <v>129</v>
      </c>
      <c r="I1110" t="s">
        <v>332</v>
      </c>
      <c r="J1110">
        <v>5</v>
      </c>
      <c r="K1110" s="16">
        <v>79200</v>
      </c>
      <c r="L1110" s="16">
        <v>58605.17</v>
      </c>
      <c r="M1110" s="16">
        <v>20594.830000000002</v>
      </c>
      <c r="N1110" t="s">
        <v>112</v>
      </c>
      <c r="O1110" t="s">
        <v>119</v>
      </c>
      <c r="P1110" t="str">
        <f t="shared" si="17"/>
        <v>Dibrugarh|Air Purifier</v>
      </c>
    </row>
    <row r="1111" spans="1:16" x14ac:dyDescent="0.3">
      <c r="A1111" s="15">
        <v>46036</v>
      </c>
      <c r="B1111" t="s">
        <v>34</v>
      </c>
      <c r="C1111" t="s">
        <v>121</v>
      </c>
      <c r="D1111" t="s">
        <v>122</v>
      </c>
      <c r="E1111" t="s">
        <v>123</v>
      </c>
      <c r="F1111" t="s">
        <v>94</v>
      </c>
      <c r="G1111" t="s">
        <v>67</v>
      </c>
      <c r="H1111" t="s">
        <v>173</v>
      </c>
      <c r="I1111" t="s">
        <v>217</v>
      </c>
      <c r="J1111">
        <v>9</v>
      </c>
      <c r="K1111" s="16">
        <v>273240</v>
      </c>
      <c r="L1111" s="16">
        <v>181912.38</v>
      </c>
      <c r="M1111" s="16">
        <v>91327.62</v>
      </c>
      <c r="N1111" t="s">
        <v>125</v>
      </c>
      <c r="O1111" t="s">
        <v>142</v>
      </c>
      <c r="P1111" t="str">
        <f t="shared" si="17"/>
        <v>Durgapur|Tablet X</v>
      </c>
    </row>
    <row r="1112" spans="1:16" x14ac:dyDescent="0.3">
      <c r="A1112" s="15">
        <v>46026</v>
      </c>
      <c r="B1112" t="s">
        <v>34</v>
      </c>
      <c r="C1112" t="s">
        <v>121</v>
      </c>
      <c r="D1112" t="s">
        <v>146</v>
      </c>
      <c r="E1112" t="s">
        <v>147</v>
      </c>
      <c r="F1112" t="s">
        <v>95</v>
      </c>
      <c r="G1112" t="s">
        <v>74</v>
      </c>
      <c r="H1112" t="s">
        <v>173</v>
      </c>
      <c r="I1112" t="s">
        <v>361</v>
      </c>
      <c r="J1112">
        <v>1</v>
      </c>
      <c r="K1112" s="16">
        <v>4800</v>
      </c>
      <c r="L1112" s="16">
        <v>3307.69</v>
      </c>
      <c r="M1112" s="16">
        <v>1492.31</v>
      </c>
      <c r="N1112" t="s">
        <v>141</v>
      </c>
      <c r="O1112" t="s">
        <v>113</v>
      </c>
      <c r="P1112" t="str">
        <f t="shared" si="17"/>
        <v>Guwahati|Headset</v>
      </c>
    </row>
    <row r="1113" spans="1:16" x14ac:dyDescent="0.3">
      <c r="A1113" s="15">
        <v>46217</v>
      </c>
      <c r="B1113" t="s">
        <v>120</v>
      </c>
      <c r="C1113" t="s">
        <v>126</v>
      </c>
      <c r="D1113" t="s">
        <v>162</v>
      </c>
      <c r="E1113" t="s">
        <v>163</v>
      </c>
      <c r="F1113" t="s">
        <v>95</v>
      </c>
      <c r="G1113" t="s">
        <v>72</v>
      </c>
      <c r="H1113" t="s">
        <v>139</v>
      </c>
      <c r="I1113" t="s">
        <v>345</v>
      </c>
      <c r="J1113">
        <v>3</v>
      </c>
      <c r="K1113" s="16">
        <v>9600</v>
      </c>
      <c r="L1113" s="16">
        <v>6469.54</v>
      </c>
      <c r="M1113" s="16">
        <v>3130.46</v>
      </c>
      <c r="N1113" t="s">
        <v>125</v>
      </c>
      <c r="O1113" t="s">
        <v>142</v>
      </c>
      <c r="P1113" t="str">
        <f t="shared" si="17"/>
        <v>Lucknow|Keyboard</v>
      </c>
    </row>
    <row r="1114" spans="1:16" x14ac:dyDescent="0.3">
      <c r="A1114" s="15">
        <v>46078</v>
      </c>
      <c r="B1114" t="s">
        <v>34</v>
      </c>
      <c r="C1114" t="s">
        <v>107</v>
      </c>
      <c r="D1114" t="s">
        <v>115</v>
      </c>
      <c r="E1114" t="s">
        <v>116</v>
      </c>
      <c r="F1114" t="s">
        <v>97</v>
      </c>
      <c r="G1114" t="s">
        <v>85</v>
      </c>
      <c r="H1114" t="s">
        <v>173</v>
      </c>
      <c r="I1114" t="s">
        <v>219</v>
      </c>
      <c r="J1114">
        <v>13</v>
      </c>
      <c r="K1114" s="16">
        <v>205920</v>
      </c>
      <c r="L1114" s="16">
        <v>160151.71</v>
      </c>
      <c r="M1114" s="16">
        <v>45768.29</v>
      </c>
      <c r="N1114" t="s">
        <v>131</v>
      </c>
      <c r="O1114" t="s">
        <v>113</v>
      </c>
      <c r="P1114" t="str">
        <f t="shared" si="17"/>
        <v>Ahmedabad|Air Purifier</v>
      </c>
    </row>
    <row r="1115" spans="1:16" x14ac:dyDescent="0.3">
      <c r="A1115" s="15">
        <v>46220</v>
      </c>
      <c r="B1115" t="s">
        <v>34</v>
      </c>
      <c r="C1115" t="s">
        <v>107</v>
      </c>
      <c r="D1115" t="s">
        <v>115</v>
      </c>
      <c r="E1115" t="s">
        <v>191</v>
      </c>
      <c r="F1115" t="s">
        <v>95</v>
      </c>
      <c r="G1115" t="s">
        <v>78</v>
      </c>
      <c r="H1115" t="s">
        <v>184</v>
      </c>
      <c r="I1115" t="s">
        <v>215</v>
      </c>
      <c r="J1115">
        <v>10</v>
      </c>
      <c r="K1115" s="16">
        <v>36960</v>
      </c>
      <c r="L1115" s="16">
        <v>30281.87</v>
      </c>
      <c r="M1115" s="16">
        <v>6678.13</v>
      </c>
      <c r="N1115" t="s">
        <v>125</v>
      </c>
      <c r="O1115" t="s">
        <v>113</v>
      </c>
      <c r="P1115" t="str">
        <f t="shared" si="17"/>
        <v>Surat|Webcam</v>
      </c>
    </row>
    <row r="1116" spans="1:16" x14ac:dyDescent="0.3">
      <c r="A1116" s="15">
        <v>46073</v>
      </c>
      <c r="B1116" t="s">
        <v>34</v>
      </c>
      <c r="C1116" t="s">
        <v>152</v>
      </c>
      <c r="D1116" t="s">
        <v>156</v>
      </c>
      <c r="E1116" t="s">
        <v>238</v>
      </c>
      <c r="F1116" t="s">
        <v>94</v>
      </c>
      <c r="G1116" t="s">
        <v>64</v>
      </c>
      <c r="H1116" t="s">
        <v>173</v>
      </c>
      <c r="I1116" t="s">
        <v>270</v>
      </c>
      <c r="J1116">
        <v>7</v>
      </c>
      <c r="K1116" s="16">
        <v>139650</v>
      </c>
      <c r="L1116" s="16">
        <v>99403.49</v>
      </c>
      <c r="M1116" s="16">
        <v>40246.51</v>
      </c>
      <c r="N1116" t="s">
        <v>112</v>
      </c>
      <c r="O1116" t="s">
        <v>113</v>
      </c>
      <c r="P1116" t="str">
        <f t="shared" si="17"/>
        <v>Bengaluru|Monitor 27</v>
      </c>
    </row>
    <row r="1117" spans="1:16" x14ac:dyDescent="0.3">
      <c r="A1117" s="15">
        <v>46252</v>
      </c>
      <c r="B1117" t="s">
        <v>120</v>
      </c>
      <c r="C1117" t="s">
        <v>121</v>
      </c>
      <c r="D1117" t="s">
        <v>146</v>
      </c>
      <c r="E1117" t="s">
        <v>175</v>
      </c>
      <c r="F1117" t="s">
        <v>96</v>
      </c>
      <c r="G1117" t="s">
        <v>82</v>
      </c>
      <c r="H1117" t="s">
        <v>110</v>
      </c>
      <c r="I1117" t="s">
        <v>370</v>
      </c>
      <c r="J1117">
        <v>4</v>
      </c>
      <c r="K1117" s="16">
        <v>100320</v>
      </c>
      <c r="L1117" s="16">
        <v>79480.539999999994</v>
      </c>
      <c r="M1117" s="16">
        <v>20839.46</v>
      </c>
      <c r="N1117" t="s">
        <v>131</v>
      </c>
      <c r="O1117" t="s">
        <v>113</v>
      </c>
      <c r="P1117" t="str">
        <f t="shared" si="17"/>
        <v>Dibrugarh|Standing Desk</v>
      </c>
    </row>
    <row r="1118" spans="1:16" x14ac:dyDescent="0.3">
      <c r="A1118" s="15">
        <v>46232</v>
      </c>
      <c r="B1118" t="s">
        <v>114</v>
      </c>
      <c r="C1118" t="s">
        <v>126</v>
      </c>
      <c r="D1118" t="s">
        <v>127</v>
      </c>
      <c r="E1118" t="s">
        <v>143</v>
      </c>
      <c r="F1118" t="s">
        <v>94</v>
      </c>
      <c r="G1118" t="s">
        <v>64</v>
      </c>
      <c r="H1118" t="s">
        <v>184</v>
      </c>
      <c r="I1118" t="s">
        <v>179</v>
      </c>
      <c r="J1118">
        <v>6</v>
      </c>
      <c r="K1118" s="16">
        <v>126000</v>
      </c>
      <c r="L1118" s="16">
        <v>98786.82</v>
      </c>
      <c r="M1118" s="16">
        <v>27213.18</v>
      </c>
      <c r="N1118" t="s">
        <v>112</v>
      </c>
      <c r="O1118" t="s">
        <v>113</v>
      </c>
      <c r="P1118" t="str">
        <f t="shared" si="17"/>
        <v>Faridabad|Monitor 27</v>
      </c>
    </row>
    <row r="1119" spans="1:16" x14ac:dyDescent="0.3">
      <c r="A1119" s="15">
        <v>46164</v>
      </c>
      <c r="B1119" t="s">
        <v>34</v>
      </c>
      <c r="C1119" t="s">
        <v>121</v>
      </c>
      <c r="D1119" t="s">
        <v>146</v>
      </c>
      <c r="E1119" t="s">
        <v>147</v>
      </c>
      <c r="F1119" t="s">
        <v>94</v>
      </c>
      <c r="G1119" t="s">
        <v>70</v>
      </c>
      <c r="H1119" t="s">
        <v>110</v>
      </c>
      <c r="I1119" t="s">
        <v>379</v>
      </c>
      <c r="J1119">
        <v>3</v>
      </c>
      <c r="K1119" s="16">
        <v>44175</v>
      </c>
      <c r="L1119" s="16">
        <v>28166.06</v>
      </c>
      <c r="M1119" s="16">
        <v>16008.94</v>
      </c>
      <c r="N1119" t="s">
        <v>125</v>
      </c>
      <c r="O1119" t="s">
        <v>142</v>
      </c>
      <c r="P1119" t="str">
        <f t="shared" si="17"/>
        <v>Guwahati|Printer Pro</v>
      </c>
    </row>
    <row r="1120" spans="1:16" x14ac:dyDescent="0.3">
      <c r="A1120" s="15">
        <v>46151</v>
      </c>
      <c r="B1120" t="s">
        <v>34</v>
      </c>
      <c r="C1120" t="s">
        <v>126</v>
      </c>
      <c r="D1120" t="s">
        <v>127</v>
      </c>
      <c r="E1120" t="s">
        <v>128</v>
      </c>
      <c r="F1120" t="s">
        <v>94</v>
      </c>
      <c r="G1120" t="s">
        <v>61</v>
      </c>
      <c r="H1120" t="s">
        <v>184</v>
      </c>
      <c r="I1120" t="s">
        <v>203</v>
      </c>
      <c r="J1120">
        <v>9</v>
      </c>
      <c r="K1120" s="16">
        <v>680940</v>
      </c>
      <c r="L1120" s="16">
        <v>506416.07</v>
      </c>
      <c r="M1120" s="16">
        <v>174523.93</v>
      </c>
      <c r="N1120" t="s">
        <v>141</v>
      </c>
      <c r="O1120" t="s">
        <v>113</v>
      </c>
      <c r="P1120" t="str">
        <f t="shared" si="17"/>
        <v>Gurugram|Laptop Pro</v>
      </c>
    </row>
    <row r="1121" spans="1:16" x14ac:dyDescent="0.3">
      <c r="A1121" s="15">
        <v>46193</v>
      </c>
      <c r="B1121" t="s">
        <v>34</v>
      </c>
      <c r="C1121" t="s">
        <v>121</v>
      </c>
      <c r="D1121" t="s">
        <v>146</v>
      </c>
      <c r="E1121" t="s">
        <v>147</v>
      </c>
      <c r="F1121" t="s">
        <v>96</v>
      </c>
      <c r="G1121" t="s">
        <v>80</v>
      </c>
      <c r="H1121" t="s">
        <v>129</v>
      </c>
      <c r="I1121" t="s">
        <v>241</v>
      </c>
      <c r="J1121">
        <v>11</v>
      </c>
      <c r="K1121" s="16">
        <v>130625</v>
      </c>
      <c r="L1121" s="16">
        <v>100020.74</v>
      </c>
      <c r="M1121" s="16">
        <v>30604.26</v>
      </c>
      <c r="N1121" t="s">
        <v>125</v>
      </c>
      <c r="O1121" t="s">
        <v>113</v>
      </c>
      <c r="P1121" t="str">
        <f t="shared" si="17"/>
        <v>Guwahati|Office Chair</v>
      </c>
    </row>
    <row r="1122" spans="1:16" x14ac:dyDescent="0.3">
      <c r="A1122" s="15">
        <v>46023</v>
      </c>
      <c r="B1122" t="s">
        <v>34</v>
      </c>
      <c r="C1122" t="s">
        <v>152</v>
      </c>
      <c r="D1122" t="s">
        <v>153</v>
      </c>
      <c r="E1122" t="s">
        <v>169</v>
      </c>
      <c r="F1122" t="s">
        <v>95</v>
      </c>
      <c r="G1122" t="s">
        <v>76</v>
      </c>
      <c r="H1122" t="s">
        <v>129</v>
      </c>
      <c r="I1122" t="s">
        <v>251</v>
      </c>
      <c r="J1122">
        <v>18</v>
      </c>
      <c r="K1122" s="16">
        <v>28512</v>
      </c>
      <c r="L1122" s="16">
        <v>20061.75</v>
      </c>
      <c r="M1122" s="16">
        <v>8450.25</v>
      </c>
      <c r="N1122" t="s">
        <v>112</v>
      </c>
      <c r="O1122" t="s">
        <v>113</v>
      </c>
      <c r="P1122" t="str">
        <f t="shared" si="17"/>
        <v>Chennai|Mouse</v>
      </c>
    </row>
    <row r="1123" spans="1:16" x14ac:dyDescent="0.3">
      <c r="A1123" s="15">
        <v>46171</v>
      </c>
      <c r="B1123" t="s">
        <v>120</v>
      </c>
      <c r="C1123" t="s">
        <v>152</v>
      </c>
      <c r="D1123" t="s">
        <v>153</v>
      </c>
      <c r="E1123" t="s">
        <v>154</v>
      </c>
      <c r="F1123" t="s">
        <v>94</v>
      </c>
      <c r="G1123" t="s">
        <v>64</v>
      </c>
      <c r="H1123" t="s">
        <v>133</v>
      </c>
      <c r="I1123" t="s">
        <v>254</v>
      </c>
      <c r="J1123">
        <v>3</v>
      </c>
      <c r="K1123" s="16">
        <v>57960</v>
      </c>
      <c r="L1123" s="16">
        <v>39453.39</v>
      </c>
      <c r="M1123" s="16">
        <v>18506.61</v>
      </c>
      <c r="N1123" t="s">
        <v>141</v>
      </c>
      <c r="O1123" t="s">
        <v>142</v>
      </c>
      <c r="P1123" t="str">
        <f t="shared" si="17"/>
        <v>Coimbatore|Monitor 27</v>
      </c>
    </row>
    <row r="1124" spans="1:16" x14ac:dyDescent="0.3">
      <c r="A1124" s="15">
        <v>46136</v>
      </c>
      <c r="B1124" t="s">
        <v>34</v>
      </c>
      <c r="C1124" t="s">
        <v>107</v>
      </c>
      <c r="D1124" t="s">
        <v>149</v>
      </c>
      <c r="E1124" t="s">
        <v>150</v>
      </c>
      <c r="F1124" t="s">
        <v>97</v>
      </c>
      <c r="G1124" t="s">
        <v>86</v>
      </c>
      <c r="H1124" t="s">
        <v>133</v>
      </c>
      <c r="I1124" t="s">
        <v>165</v>
      </c>
      <c r="J1124">
        <v>8</v>
      </c>
      <c r="K1124" s="16">
        <v>49400</v>
      </c>
      <c r="L1124" s="16">
        <v>32596.79</v>
      </c>
      <c r="M1124" s="16">
        <v>16803.21</v>
      </c>
      <c r="N1124" t="s">
        <v>125</v>
      </c>
      <c r="O1124" t="s">
        <v>113</v>
      </c>
      <c r="P1124" t="str">
        <f t="shared" si="17"/>
        <v>Mumbai|Coffee Maker</v>
      </c>
    </row>
    <row r="1125" spans="1:16" x14ac:dyDescent="0.3">
      <c r="A1125" s="15">
        <v>46212</v>
      </c>
      <c r="B1125" t="s">
        <v>114</v>
      </c>
      <c r="C1125" t="s">
        <v>107</v>
      </c>
      <c r="D1125" t="s">
        <v>108</v>
      </c>
      <c r="E1125" t="s">
        <v>109</v>
      </c>
      <c r="F1125" t="s">
        <v>95</v>
      </c>
      <c r="G1125" t="s">
        <v>76</v>
      </c>
      <c r="H1125" t="s">
        <v>184</v>
      </c>
      <c r="I1125" t="s">
        <v>295</v>
      </c>
      <c r="J1125">
        <v>3</v>
      </c>
      <c r="K1125" s="16">
        <v>5400</v>
      </c>
      <c r="L1125" s="16">
        <v>3743.3</v>
      </c>
      <c r="M1125" s="16">
        <v>1656.7</v>
      </c>
      <c r="N1125" t="s">
        <v>125</v>
      </c>
      <c r="O1125" t="s">
        <v>119</v>
      </c>
      <c r="P1125" t="str">
        <f t="shared" si="17"/>
        <v>Udaipur|Mouse</v>
      </c>
    </row>
    <row r="1126" spans="1:16" x14ac:dyDescent="0.3">
      <c r="A1126" s="15">
        <v>46195</v>
      </c>
      <c r="B1126" t="s">
        <v>34</v>
      </c>
      <c r="C1126" t="s">
        <v>121</v>
      </c>
      <c r="D1126" t="s">
        <v>122</v>
      </c>
      <c r="E1126" t="s">
        <v>166</v>
      </c>
      <c r="F1126" t="s">
        <v>96</v>
      </c>
      <c r="G1126" t="s">
        <v>82</v>
      </c>
      <c r="H1126" t="s">
        <v>139</v>
      </c>
      <c r="I1126" t="s">
        <v>298</v>
      </c>
      <c r="J1126">
        <v>15</v>
      </c>
      <c r="K1126" s="16">
        <v>406125</v>
      </c>
      <c r="L1126" s="16">
        <v>299942.15000000002</v>
      </c>
      <c r="M1126" s="16">
        <v>106182.85</v>
      </c>
      <c r="N1126" t="s">
        <v>125</v>
      </c>
      <c r="O1126" t="s">
        <v>113</v>
      </c>
      <c r="P1126" t="str">
        <f t="shared" si="17"/>
        <v>Kolkata|Standing Desk</v>
      </c>
    </row>
    <row r="1127" spans="1:16" x14ac:dyDescent="0.3">
      <c r="A1127" s="15">
        <v>46062</v>
      </c>
      <c r="B1127" t="s">
        <v>114</v>
      </c>
      <c r="C1127" t="s">
        <v>126</v>
      </c>
      <c r="D1127" t="s">
        <v>127</v>
      </c>
      <c r="E1127" t="s">
        <v>143</v>
      </c>
      <c r="F1127" t="s">
        <v>94</v>
      </c>
      <c r="G1127" t="s">
        <v>61</v>
      </c>
      <c r="H1127" t="s">
        <v>110</v>
      </c>
      <c r="I1127" t="s">
        <v>271</v>
      </c>
      <c r="J1127">
        <v>12</v>
      </c>
      <c r="K1127" s="16">
        <v>907920</v>
      </c>
      <c r="L1127" s="16">
        <v>608012.73</v>
      </c>
      <c r="M1127" s="16">
        <v>299907.27</v>
      </c>
      <c r="N1127" t="s">
        <v>131</v>
      </c>
      <c r="O1127" t="s">
        <v>119</v>
      </c>
      <c r="P1127" t="str">
        <f t="shared" si="17"/>
        <v>Faridabad|Laptop Pro</v>
      </c>
    </row>
    <row r="1128" spans="1:16" x14ac:dyDescent="0.3">
      <c r="A1128" s="15">
        <v>46092</v>
      </c>
      <c r="B1128" t="s">
        <v>120</v>
      </c>
      <c r="C1128" t="s">
        <v>152</v>
      </c>
      <c r="D1128" t="s">
        <v>156</v>
      </c>
      <c r="E1128" t="s">
        <v>238</v>
      </c>
      <c r="F1128" t="s">
        <v>97</v>
      </c>
      <c r="G1128" t="s">
        <v>86</v>
      </c>
      <c r="H1128" t="s">
        <v>135</v>
      </c>
      <c r="I1128" t="s">
        <v>235</v>
      </c>
      <c r="J1128">
        <v>14</v>
      </c>
      <c r="K1128" s="16">
        <v>86450</v>
      </c>
      <c r="L1128" s="16">
        <v>57237.42</v>
      </c>
      <c r="M1128" s="16">
        <v>29212.58</v>
      </c>
      <c r="N1128" t="s">
        <v>141</v>
      </c>
      <c r="O1128" t="s">
        <v>142</v>
      </c>
      <c r="P1128" t="str">
        <f t="shared" si="17"/>
        <v>Bengaluru|Coffee Maker</v>
      </c>
    </row>
    <row r="1129" spans="1:16" x14ac:dyDescent="0.3">
      <c r="A1129" s="15">
        <v>46222</v>
      </c>
      <c r="B1129" t="s">
        <v>120</v>
      </c>
      <c r="C1129" t="s">
        <v>126</v>
      </c>
      <c r="D1129" t="s">
        <v>162</v>
      </c>
      <c r="E1129" t="s">
        <v>204</v>
      </c>
      <c r="F1129" t="s">
        <v>97</v>
      </c>
      <c r="G1129" t="s">
        <v>85</v>
      </c>
      <c r="H1129" t="s">
        <v>129</v>
      </c>
      <c r="I1129" t="s">
        <v>181</v>
      </c>
      <c r="J1129">
        <v>19</v>
      </c>
      <c r="K1129" s="16">
        <v>342000</v>
      </c>
      <c r="L1129" s="16">
        <v>271734.78999999998</v>
      </c>
      <c r="M1129" s="16">
        <v>70265.210000000006</v>
      </c>
      <c r="N1129" t="s">
        <v>125</v>
      </c>
      <c r="O1129" t="s">
        <v>142</v>
      </c>
      <c r="P1129" t="str">
        <f t="shared" si="17"/>
        <v>Noida|Air Purifier</v>
      </c>
    </row>
    <row r="1130" spans="1:16" x14ac:dyDescent="0.3">
      <c r="A1130" s="15">
        <v>46198</v>
      </c>
      <c r="B1130" t="s">
        <v>34</v>
      </c>
      <c r="C1130" t="s">
        <v>152</v>
      </c>
      <c r="D1130" t="s">
        <v>153</v>
      </c>
      <c r="E1130" t="s">
        <v>169</v>
      </c>
      <c r="F1130" t="s">
        <v>97</v>
      </c>
      <c r="G1130" t="s">
        <v>85</v>
      </c>
      <c r="H1130" t="s">
        <v>139</v>
      </c>
      <c r="I1130" t="s">
        <v>245</v>
      </c>
      <c r="J1130">
        <v>18</v>
      </c>
      <c r="K1130" s="16">
        <v>314280</v>
      </c>
      <c r="L1130" s="16">
        <v>206651.65</v>
      </c>
      <c r="M1130" s="16">
        <v>107628.35</v>
      </c>
      <c r="N1130" t="s">
        <v>112</v>
      </c>
      <c r="O1130" t="s">
        <v>113</v>
      </c>
      <c r="P1130" t="str">
        <f t="shared" si="17"/>
        <v>Chennai|Air Purifier</v>
      </c>
    </row>
    <row r="1131" spans="1:16" x14ac:dyDescent="0.3">
      <c r="A1131" s="15">
        <v>46114</v>
      </c>
      <c r="B1131" t="s">
        <v>34</v>
      </c>
      <c r="C1131" t="s">
        <v>121</v>
      </c>
      <c r="D1131" t="s">
        <v>137</v>
      </c>
      <c r="E1131" t="s">
        <v>171</v>
      </c>
      <c r="F1131" t="s">
        <v>95</v>
      </c>
      <c r="G1131" t="s">
        <v>78</v>
      </c>
      <c r="H1131" t="s">
        <v>117</v>
      </c>
      <c r="I1131" t="s">
        <v>269</v>
      </c>
      <c r="J1131">
        <v>4</v>
      </c>
      <c r="K1131" s="16">
        <v>16296</v>
      </c>
      <c r="L1131" s="16">
        <v>12718.24</v>
      </c>
      <c r="M1131" s="16">
        <v>3577.76</v>
      </c>
      <c r="N1131" t="s">
        <v>131</v>
      </c>
      <c r="O1131" t="s">
        <v>113</v>
      </c>
      <c r="P1131" t="str">
        <f t="shared" si="17"/>
        <v>Bhubaneswar|Webcam</v>
      </c>
    </row>
    <row r="1132" spans="1:16" x14ac:dyDescent="0.3">
      <c r="A1132" s="15">
        <v>46069</v>
      </c>
      <c r="B1132" t="s">
        <v>34</v>
      </c>
      <c r="C1132" t="s">
        <v>121</v>
      </c>
      <c r="D1132" t="s">
        <v>137</v>
      </c>
      <c r="E1132" t="s">
        <v>171</v>
      </c>
      <c r="F1132" t="s">
        <v>96</v>
      </c>
      <c r="G1132" t="s">
        <v>83</v>
      </c>
      <c r="H1132" t="s">
        <v>173</v>
      </c>
      <c r="I1132" t="s">
        <v>226</v>
      </c>
      <c r="J1132">
        <v>12</v>
      </c>
      <c r="K1132" s="16">
        <v>380160</v>
      </c>
      <c r="L1132" s="16">
        <v>304174.96000000002</v>
      </c>
      <c r="M1132" s="16">
        <v>75985.039999999994</v>
      </c>
      <c r="N1132" t="s">
        <v>131</v>
      </c>
      <c r="O1132" t="s">
        <v>119</v>
      </c>
      <c r="P1132" t="str">
        <f t="shared" si="17"/>
        <v>Bhubaneswar|Meeting Table</v>
      </c>
    </row>
    <row r="1133" spans="1:16" x14ac:dyDescent="0.3">
      <c r="A1133" s="15">
        <v>46127</v>
      </c>
      <c r="B1133" t="s">
        <v>34</v>
      </c>
      <c r="C1133" t="s">
        <v>107</v>
      </c>
      <c r="D1133" t="s">
        <v>115</v>
      </c>
      <c r="E1133" t="s">
        <v>191</v>
      </c>
      <c r="F1133" t="s">
        <v>95</v>
      </c>
      <c r="G1133" t="s">
        <v>76</v>
      </c>
      <c r="H1133" t="s">
        <v>173</v>
      </c>
      <c r="I1133" t="s">
        <v>258</v>
      </c>
      <c r="J1133">
        <v>6</v>
      </c>
      <c r="K1133" s="16">
        <v>9936</v>
      </c>
      <c r="L1133" s="16">
        <v>6971.9</v>
      </c>
      <c r="M1133" s="16">
        <v>2964.1</v>
      </c>
      <c r="N1133" t="s">
        <v>112</v>
      </c>
      <c r="O1133" t="s">
        <v>113</v>
      </c>
      <c r="P1133" t="str">
        <f t="shared" si="17"/>
        <v>Surat|Mouse</v>
      </c>
    </row>
    <row r="1134" spans="1:16" x14ac:dyDescent="0.3">
      <c r="A1134" s="15">
        <v>46200</v>
      </c>
      <c r="B1134" t="s">
        <v>34</v>
      </c>
      <c r="C1134" t="s">
        <v>152</v>
      </c>
      <c r="D1134" t="s">
        <v>153</v>
      </c>
      <c r="E1134" t="s">
        <v>154</v>
      </c>
      <c r="F1134" t="s">
        <v>94</v>
      </c>
      <c r="G1134" t="s">
        <v>67</v>
      </c>
      <c r="H1134" t="s">
        <v>139</v>
      </c>
      <c r="I1134" t="s">
        <v>189</v>
      </c>
      <c r="J1134">
        <v>11</v>
      </c>
      <c r="K1134" s="16">
        <v>363000</v>
      </c>
      <c r="L1134" s="16">
        <v>258740.6</v>
      </c>
      <c r="M1134" s="16">
        <v>104259.4</v>
      </c>
      <c r="N1134" t="s">
        <v>125</v>
      </c>
      <c r="O1134" t="s">
        <v>119</v>
      </c>
      <c r="P1134" t="str">
        <f t="shared" si="17"/>
        <v>Coimbatore|Tablet X</v>
      </c>
    </row>
    <row r="1135" spans="1:16" x14ac:dyDescent="0.3">
      <c r="A1135" s="15">
        <v>46159</v>
      </c>
      <c r="B1135" t="s">
        <v>34</v>
      </c>
      <c r="C1135" t="s">
        <v>126</v>
      </c>
      <c r="D1135" t="s">
        <v>162</v>
      </c>
      <c r="E1135" t="s">
        <v>204</v>
      </c>
      <c r="F1135" t="s">
        <v>94</v>
      </c>
      <c r="G1135" t="s">
        <v>67</v>
      </c>
      <c r="H1135" t="s">
        <v>135</v>
      </c>
      <c r="I1135" t="s">
        <v>172</v>
      </c>
      <c r="J1135">
        <v>9</v>
      </c>
      <c r="K1135" s="16">
        <v>297000</v>
      </c>
      <c r="L1135" s="16">
        <v>227407.67</v>
      </c>
      <c r="M1135" s="16">
        <v>69592.33</v>
      </c>
      <c r="N1135" t="s">
        <v>131</v>
      </c>
      <c r="O1135" t="s">
        <v>113</v>
      </c>
      <c r="P1135" t="str">
        <f t="shared" si="17"/>
        <v>Noida|Tablet X</v>
      </c>
    </row>
    <row r="1136" spans="1:16" x14ac:dyDescent="0.3">
      <c r="A1136" s="15">
        <v>46123</v>
      </c>
      <c r="B1136" t="s">
        <v>120</v>
      </c>
      <c r="C1136" t="s">
        <v>121</v>
      </c>
      <c r="D1136" t="s">
        <v>122</v>
      </c>
      <c r="E1136" t="s">
        <v>166</v>
      </c>
      <c r="F1136" t="s">
        <v>94</v>
      </c>
      <c r="G1136" t="s">
        <v>61</v>
      </c>
      <c r="H1136" t="s">
        <v>135</v>
      </c>
      <c r="I1136" t="s">
        <v>359</v>
      </c>
      <c r="J1136">
        <v>8</v>
      </c>
      <c r="K1136" s="16">
        <v>592800</v>
      </c>
      <c r="L1136" s="16">
        <v>413735.64</v>
      </c>
      <c r="M1136" s="16">
        <v>179064.36</v>
      </c>
      <c r="N1136" t="s">
        <v>131</v>
      </c>
      <c r="O1136" t="s">
        <v>113</v>
      </c>
      <c r="P1136" t="str">
        <f t="shared" si="17"/>
        <v>Kolkata|Laptop Pro</v>
      </c>
    </row>
    <row r="1137" spans="1:16" x14ac:dyDescent="0.3">
      <c r="A1137" s="15">
        <v>46056</v>
      </c>
      <c r="B1137" t="s">
        <v>114</v>
      </c>
      <c r="C1137" t="s">
        <v>121</v>
      </c>
      <c r="D1137" t="s">
        <v>137</v>
      </c>
      <c r="E1137" t="s">
        <v>138</v>
      </c>
      <c r="F1137" t="s">
        <v>94</v>
      </c>
      <c r="G1137" t="s">
        <v>64</v>
      </c>
      <c r="H1137" t="s">
        <v>129</v>
      </c>
      <c r="I1137" t="s">
        <v>285</v>
      </c>
      <c r="J1137">
        <v>14</v>
      </c>
      <c r="K1137" s="16">
        <v>294000</v>
      </c>
      <c r="L1137" s="16">
        <v>222449.46</v>
      </c>
      <c r="M1137" s="16">
        <v>71550.539999999994</v>
      </c>
      <c r="N1137" t="s">
        <v>131</v>
      </c>
      <c r="O1137" t="s">
        <v>113</v>
      </c>
      <c r="P1137" t="str">
        <f t="shared" si="17"/>
        <v>Cuttack|Monitor 27</v>
      </c>
    </row>
    <row r="1138" spans="1:16" x14ac:dyDescent="0.3">
      <c r="A1138" s="15">
        <v>46212</v>
      </c>
      <c r="B1138" t="s">
        <v>120</v>
      </c>
      <c r="C1138" t="s">
        <v>121</v>
      </c>
      <c r="D1138" t="s">
        <v>146</v>
      </c>
      <c r="E1138" t="s">
        <v>147</v>
      </c>
      <c r="F1138" t="s">
        <v>95</v>
      </c>
      <c r="G1138" t="s">
        <v>76</v>
      </c>
      <c r="H1138" t="s">
        <v>129</v>
      </c>
      <c r="I1138" t="s">
        <v>247</v>
      </c>
      <c r="J1138">
        <v>12</v>
      </c>
      <c r="K1138" s="16">
        <v>20952</v>
      </c>
      <c r="L1138" s="16">
        <v>17163.52</v>
      </c>
      <c r="M1138" s="16">
        <v>3788.48</v>
      </c>
      <c r="N1138" t="s">
        <v>112</v>
      </c>
      <c r="O1138" t="s">
        <v>113</v>
      </c>
      <c r="P1138" t="str">
        <f t="shared" si="17"/>
        <v>Guwahati|Mouse</v>
      </c>
    </row>
    <row r="1139" spans="1:16" x14ac:dyDescent="0.3">
      <c r="A1139" s="15">
        <v>46071</v>
      </c>
      <c r="B1139" t="s">
        <v>34</v>
      </c>
      <c r="C1139" t="s">
        <v>126</v>
      </c>
      <c r="D1139" t="s">
        <v>196</v>
      </c>
      <c r="E1139" t="s">
        <v>197</v>
      </c>
      <c r="F1139" t="s">
        <v>96</v>
      </c>
      <c r="G1139" t="s">
        <v>83</v>
      </c>
      <c r="H1139" t="s">
        <v>139</v>
      </c>
      <c r="I1139" t="s">
        <v>243</v>
      </c>
      <c r="J1139">
        <v>3</v>
      </c>
      <c r="K1139" s="16">
        <v>95040</v>
      </c>
      <c r="L1139" s="16">
        <v>62248</v>
      </c>
      <c r="M1139" s="16">
        <v>32792</v>
      </c>
      <c r="N1139" t="s">
        <v>131</v>
      </c>
      <c r="O1139" t="s">
        <v>113</v>
      </c>
      <c r="P1139" t="str">
        <f t="shared" si="17"/>
        <v>Dwarka|Meeting Table</v>
      </c>
    </row>
    <row r="1140" spans="1:16" x14ac:dyDescent="0.3">
      <c r="A1140" s="15">
        <v>46114</v>
      </c>
      <c r="B1140" t="s">
        <v>34</v>
      </c>
      <c r="C1140" t="s">
        <v>126</v>
      </c>
      <c r="D1140" t="s">
        <v>196</v>
      </c>
      <c r="E1140" t="s">
        <v>197</v>
      </c>
      <c r="F1140" t="s">
        <v>96</v>
      </c>
      <c r="G1140" t="s">
        <v>82</v>
      </c>
      <c r="H1140" t="s">
        <v>184</v>
      </c>
      <c r="I1140" t="s">
        <v>198</v>
      </c>
      <c r="J1140">
        <v>11</v>
      </c>
      <c r="K1140" s="16">
        <v>275880</v>
      </c>
      <c r="L1140" s="16">
        <v>225204</v>
      </c>
      <c r="M1140" s="16">
        <v>50676</v>
      </c>
      <c r="N1140" t="s">
        <v>131</v>
      </c>
      <c r="O1140" t="s">
        <v>113</v>
      </c>
      <c r="P1140" t="str">
        <f t="shared" si="17"/>
        <v>Dwarka|Standing Desk</v>
      </c>
    </row>
    <row r="1141" spans="1:16" x14ac:dyDescent="0.3">
      <c r="A1141" s="15">
        <v>46236</v>
      </c>
      <c r="B1141" t="s">
        <v>34</v>
      </c>
      <c r="C1141" t="s">
        <v>107</v>
      </c>
      <c r="D1141" t="s">
        <v>149</v>
      </c>
      <c r="E1141" t="s">
        <v>159</v>
      </c>
      <c r="F1141" t="s">
        <v>96</v>
      </c>
      <c r="G1141" t="s">
        <v>80</v>
      </c>
      <c r="H1141" t="s">
        <v>135</v>
      </c>
      <c r="I1141" t="s">
        <v>223</v>
      </c>
      <c r="J1141">
        <v>2</v>
      </c>
      <c r="K1141" s="16">
        <v>24250</v>
      </c>
      <c r="L1141" s="16">
        <v>19424.79</v>
      </c>
      <c r="M1141" s="16">
        <v>4825.21</v>
      </c>
      <c r="N1141" t="s">
        <v>125</v>
      </c>
      <c r="O1141" t="s">
        <v>142</v>
      </c>
      <c r="P1141" t="str">
        <f t="shared" si="17"/>
        <v>Pune|Office Chair</v>
      </c>
    </row>
    <row r="1142" spans="1:16" x14ac:dyDescent="0.3">
      <c r="A1142" s="15">
        <v>46024</v>
      </c>
      <c r="B1142" t="s">
        <v>34</v>
      </c>
      <c r="C1142" t="s">
        <v>152</v>
      </c>
      <c r="D1142" t="s">
        <v>187</v>
      </c>
      <c r="E1142" t="s">
        <v>199</v>
      </c>
      <c r="F1142" t="s">
        <v>94</v>
      </c>
      <c r="G1142" t="s">
        <v>64</v>
      </c>
      <c r="H1142" t="s">
        <v>139</v>
      </c>
      <c r="I1142" t="s">
        <v>296</v>
      </c>
      <c r="J1142">
        <v>9</v>
      </c>
      <c r="K1142" s="16">
        <v>183330</v>
      </c>
      <c r="L1142" s="16">
        <v>113879.02</v>
      </c>
      <c r="M1142" s="16">
        <v>69450.98</v>
      </c>
      <c r="N1142" t="s">
        <v>112</v>
      </c>
      <c r="O1142" t="s">
        <v>119</v>
      </c>
      <c r="P1142" t="str">
        <f t="shared" si="17"/>
        <v>Hyderabad|Monitor 27</v>
      </c>
    </row>
    <row r="1143" spans="1:16" x14ac:dyDescent="0.3">
      <c r="A1143" s="15">
        <v>46109</v>
      </c>
      <c r="B1143" t="s">
        <v>120</v>
      </c>
      <c r="C1143" t="s">
        <v>152</v>
      </c>
      <c r="D1143" t="s">
        <v>187</v>
      </c>
      <c r="E1143" t="s">
        <v>199</v>
      </c>
      <c r="F1143" t="s">
        <v>94</v>
      </c>
      <c r="G1143" t="s">
        <v>67</v>
      </c>
      <c r="H1143" t="s">
        <v>139</v>
      </c>
      <c r="I1143" t="s">
        <v>200</v>
      </c>
      <c r="J1143">
        <v>8</v>
      </c>
      <c r="K1143" s="16">
        <v>264000</v>
      </c>
      <c r="L1143" s="16">
        <v>169881.55</v>
      </c>
      <c r="M1143" s="16">
        <v>94118.45</v>
      </c>
      <c r="N1143" t="s">
        <v>141</v>
      </c>
      <c r="O1143" t="s">
        <v>119</v>
      </c>
      <c r="P1143" t="str">
        <f t="shared" si="17"/>
        <v>Hyderabad|Tablet X</v>
      </c>
    </row>
    <row r="1144" spans="1:16" x14ac:dyDescent="0.3">
      <c r="A1144" s="15">
        <v>46033</v>
      </c>
      <c r="B1144" t="s">
        <v>34</v>
      </c>
      <c r="C1144" t="s">
        <v>121</v>
      </c>
      <c r="D1144" t="s">
        <v>122</v>
      </c>
      <c r="E1144" t="s">
        <v>166</v>
      </c>
      <c r="F1144" t="s">
        <v>94</v>
      </c>
      <c r="G1144" t="s">
        <v>64</v>
      </c>
      <c r="H1144" t="s">
        <v>129</v>
      </c>
      <c r="I1144" t="s">
        <v>124</v>
      </c>
      <c r="J1144">
        <v>12</v>
      </c>
      <c r="K1144" s="16">
        <v>252000</v>
      </c>
      <c r="L1144" s="16">
        <v>199644.4</v>
      </c>
      <c r="M1144" s="16">
        <v>52355.6</v>
      </c>
      <c r="N1144" t="s">
        <v>112</v>
      </c>
      <c r="O1144" t="s">
        <v>142</v>
      </c>
      <c r="P1144" t="str">
        <f t="shared" si="17"/>
        <v>Kolkata|Monitor 27</v>
      </c>
    </row>
    <row r="1145" spans="1:16" x14ac:dyDescent="0.3">
      <c r="A1145" s="15">
        <v>46253</v>
      </c>
      <c r="B1145" t="s">
        <v>120</v>
      </c>
      <c r="C1145" t="s">
        <v>107</v>
      </c>
      <c r="D1145" t="s">
        <v>149</v>
      </c>
      <c r="E1145" t="s">
        <v>150</v>
      </c>
      <c r="F1145" t="s">
        <v>95</v>
      </c>
      <c r="G1145" t="s">
        <v>76</v>
      </c>
      <c r="H1145" t="s">
        <v>184</v>
      </c>
      <c r="I1145" t="s">
        <v>180</v>
      </c>
      <c r="J1145">
        <v>3</v>
      </c>
      <c r="K1145" s="16">
        <v>5130</v>
      </c>
      <c r="L1145" s="16">
        <v>3552.59</v>
      </c>
      <c r="M1145" s="16">
        <v>1577.41</v>
      </c>
      <c r="N1145" t="s">
        <v>141</v>
      </c>
      <c r="O1145" t="s">
        <v>119</v>
      </c>
      <c r="P1145" t="str">
        <f t="shared" si="17"/>
        <v>Mumbai|Mouse</v>
      </c>
    </row>
    <row r="1146" spans="1:16" x14ac:dyDescent="0.3">
      <c r="A1146" s="15">
        <v>46029</v>
      </c>
      <c r="B1146" t="s">
        <v>34</v>
      </c>
      <c r="C1146" t="s">
        <v>126</v>
      </c>
      <c r="D1146" t="s">
        <v>127</v>
      </c>
      <c r="E1146" t="s">
        <v>143</v>
      </c>
      <c r="F1146" t="s">
        <v>95</v>
      </c>
      <c r="G1146" t="s">
        <v>74</v>
      </c>
      <c r="H1146" t="s">
        <v>184</v>
      </c>
      <c r="I1146" t="s">
        <v>225</v>
      </c>
      <c r="J1146">
        <v>10</v>
      </c>
      <c r="K1146" s="16">
        <v>42240</v>
      </c>
      <c r="L1146" s="16">
        <v>32222.6</v>
      </c>
      <c r="M1146" s="16">
        <v>10017.4</v>
      </c>
      <c r="N1146" t="s">
        <v>112</v>
      </c>
      <c r="O1146" t="s">
        <v>113</v>
      </c>
      <c r="P1146" t="str">
        <f t="shared" si="17"/>
        <v>Faridabad|Headset</v>
      </c>
    </row>
    <row r="1147" spans="1:16" x14ac:dyDescent="0.3">
      <c r="A1147" s="15">
        <v>46085</v>
      </c>
      <c r="B1147" t="s">
        <v>34</v>
      </c>
      <c r="C1147" t="s">
        <v>152</v>
      </c>
      <c r="D1147" t="s">
        <v>156</v>
      </c>
      <c r="E1147" t="s">
        <v>157</v>
      </c>
      <c r="F1147" t="s">
        <v>96</v>
      </c>
      <c r="G1147" t="s">
        <v>84</v>
      </c>
      <c r="H1147" t="s">
        <v>139</v>
      </c>
      <c r="I1147" t="s">
        <v>202</v>
      </c>
      <c r="J1147">
        <v>10</v>
      </c>
      <c r="K1147" s="16">
        <v>133400</v>
      </c>
      <c r="L1147" s="16">
        <v>89283.34</v>
      </c>
      <c r="M1147" s="16">
        <v>44116.66</v>
      </c>
      <c r="N1147" t="s">
        <v>131</v>
      </c>
      <c r="O1147" t="s">
        <v>142</v>
      </c>
      <c r="P1147" t="str">
        <f t="shared" si="17"/>
        <v>Mysuru|Filing Cabinet</v>
      </c>
    </row>
    <row r="1148" spans="1:16" x14ac:dyDescent="0.3">
      <c r="A1148" s="15">
        <v>46028</v>
      </c>
      <c r="B1148" t="s">
        <v>34</v>
      </c>
      <c r="C1148" t="s">
        <v>121</v>
      </c>
      <c r="D1148" t="s">
        <v>146</v>
      </c>
      <c r="E1148" t="s">
        <v>175</v>
      </c>
      <c r="F1148" t="s">
        <v>94</v>
      </c>
      <c r="G1148" t="s">
        <v>61</v>
      </c>
      <c r="H1148" t="s">
        <v>184</v>
      </c>
      <c r="I1148" t="s">
        <v>136</v>
      </c>
      <c r="J1148">
        <v>16</v>
      </c>
      <c r="K1148" s="16">
        <v>1098240</v>
      </c>
      <c r="L1148" s="16">
        <v>718290.02</v>
      </c>
      <c r="M1148" s="16">
        <v>379949.98</v>
      </c>
      <c r="N1148" t="s">
        <v>131</v>
      </c>
      <c r="O1148" t="s">
        <v>119</v>
      </c>
      <c r="P1148" t="str">
        <f t="shared" si="17"/>
        <v>Dibrugarh|Laptop Pro</v>
      </c>
    </row>
    <row r="1149" spans="1:16" x14ac:dyDescent="0.3">
      <c r="A1149" s="15">
        <v>46131</v>
      </c>
      <c r="B1149" t="s">
        <v>120</v>
      </c>
      <c r="C1149" t="s">
        <v>107</v>
      </c>
      <c r="D1149" t="s">
        <v>108</v>
      </c>
      <c r="E1149" t="s">
        <v>132</v>
      </c>
      <c r="F1149" t="s">
        <v>96</v>
      </c>
      <c r="G1149" t="s">
        <v>83</v>
      </c>
      <c r="H1149" t="s">
        <v>110</v>
      </c>
      <c r="I1149" t="s">
        <v>266</v>
      </c>
      <c r="J1149">
        <v>9</v>
      </c>
      <c r="K1149" s="16">
        <v>314280</v>
      </c>
      <c r="L1149" s="16">
        <v>248405.88</v>
      </c>
      <c r="M1149" s="16">
        <v>65874.12</v>
      </c>
      <c r="N1149" t="s">
        <v>125</v>
      </c>
      <c r="O1149" t="s">
        <v>113</v>
      </c>
      <c r="P1149" t="str">
        <f t="shared" si="17"/>
        <v>Jaipur|Meeting Table</v>
      </c>
    </row>
    <row r="1150" spans="1:16" x14ac:dyDescent="0.3">
      <c r="A1150" s="15">
        <v>46029</v>
      </c>
      <c r="B1150" t="s">
        <v>114</v>
      </c>
      <c r="C1150" t="s">
        <v>126</v>
      </c>
      <c r="D1150" t="s">
        <v>162</v>
      </c>
      <c r="E1150" t="s">
        <v>163</v>
      </c>
      <c r="F1150" t="s">
        <v>96</v>
      </c>
      <c r="G1150" t="s">
        <v>84</v>
      </c>
      <c r="H1150" t="s">
        <v>135</v>
      </c>
      <c r="I1150" t="s">
        <v>348</v>
      </c>
      <c r="J1150">
        <v>6</v>
      </c>
      <c r="K1150" s="16">
        <v>76560</v>
      </c>
      <c r="L1150" s="16">
        <v>57629.39</v>
      </c>
      <c r="M1150" s="16">
        <v>18930.61</v>
      </c>
      <c r="N1150" t="s">
        <v>112</v>
      </c>
      <c r="O1150" t="s">
        <v>113</v>
      </c>
      <c r="P1150" t="str">
        <f t="shared" si="17"/>
        <v>Lucknow|Filing Cabinet</v>
      </c>
    </row>
    <row r="1151" spans="1:16" x14ac:dyDescent="0.3">
      <c r="A1151" s="15">
        <v>46132</v>
      </c>
      <c r="B1151" t="s">
        <v>114</v>
      </c>
      <c r="C1151" t="s">
        <v>126</v>
      </c>
      <c r="D1151" t="s">
        <v>127</v>
      </c>
      <c r="E1151" t="s">
        <v>143</v>
      </c>
      <c r="F1151" t="s">
        <v>97</v>
      </c>
      <c r="G1151" t="s">
        <v>88</v>
      </c>
      <c r="H1151" t="s">
        <v>129</v>
      </c>
      <c r="I1151" t="s">
        <v>222</v>
      </c>
      <c r="J1151">
        <v>11</v>
      </c>
      <c r="K1151" s="16">
        <v>151525</v>
      </c>
      <c r="L1151" s="16">
        <v>105500.15</v>
      </c>
      <c r="M1151" s="16">
        <v>46024.85</v>
      </c>
      <c r="N1151" t="s">
        <v>131</v>
      </c>
      <c r="O1151" t="s">
        <v>119</v>
      </c>
      <c r="P1151" t="str">
        <f t="shared" si="17"/>
        <v>Faridabad|Vacuum Cleaner</v>
      </c>
    </row>
    <row r="1152" spans="1:16" x14ac:dyDescent="0.3">
      <c r="A1152" s="15">
        <v>46034</v>
      </c>
      <c r="B1152" t="s">
        <v>114</v>
      </c>
      <c r="C1152" t="s">
        <v>121</v>
      </c>
      <c r="D1152" t="s">
        <v>122</v>
      </c>
      <c r="E1152" t="s">
        <v>123</v>
      </c>
      <c r="F1152" t="s">
        <v>97</v>
      </c>
      <c r="G1152" t="s">
        <v>86</v>
      </c>
      <c r="H1152" t="s">
        <v>117</v>
      </c>
      <c r="I1152" t="s">
        <v>351</v>
      </c>
      <c r="J1152">
        <v>9</v>
      </c>
      <c r="K1152" s="16">
        <v>53820</v>
      </c>
      <c r="L1152" s="16">
        <v>42739.54</v>
      </c>
      <c r="M1152" s="16">
        <v>11080.46</v>
      </c>
      <c r="N1152" t="s">
        <v>112</v>
      </c>
      <c r="O1152" t="s">
        <v>119</v>
      </c>
      <c r="P1152" t="str">
        <f t="shared" si="17"/>
        <v>Durgapur|Coffee Maker</v>
      </c>
    </row>
    <row r="1153" spans="1:16" x14ac:dyDescent="0.3">
      <c r="A1153" s="15">
        <v>46132</v>
      </c>
      <c r="B1153" t="s">
        <v>34</v>
      </c>
      <c r="C1153" t="s">
        <v>107</v>
      </c>
      <c r="D1153" t="s">
        <v>149</v>
      </c>
      <c r="E1153" t="s">
        <v>150</v>
      </c>
      <c r="F1153" t="s">
        <v>96</v>
      </c>
      <c r="G1153" t="s">
        <v>80</v>
      </c>
      <c r="H1153" t="s">
        <v>129</v>
      </c>
      <c r="I1153" t="s">
        <v>207</v>
      </c>
      <c r="J1153">
        <v>10</v>
      </c>
      <c r="K1153" s="16">
        <v>110000</v>
      </c>
      <c r="L1153" s="16">
        <v>71541.36</v>
      </c>
      <c r="M1153" s="16">
        <v>38458.639999999999</v>
      </c>
      <c r="N1153" t="s">
        <v>141</v>
      </c>
      <c r="O1153" t="s">
        <v>113</v>
      </c>
      <c r="P1153" t="str">
        <f t="shared" si="17"/>
        <v>Mumbai|Office Chair</v>
      </c>
    </row>
    <row r="1154" spans="1:16" x14ac:dyDescent="0.3">
      <c r="A1154" s="15">
        <v>46108</v>
      </c>
      <c r="B1154" t="s">
        <v>34</v>
      </c>
      <c r="C1154" t="s">
        <v>121</v>
      </c>
      <c r="D1154" t="s">
        <v>137</v>
      </c>
      <c r="E1154" t="s">
        <v>171</v>
      </c>
      <c r="F1154" t="s">
        <v>94</v>
      </c>
      <c r="G1154" t="s">
        <v>64</v>
      </c>
      <c r="H1154" t="s">
        <v>110</v>
      </c>
      <c r="I1154" t="s">
        <v>198</v>
      </c>
      <c r="J1154">
        <v>2</v>
      </c>
      <c r="K1154" s="16">
        <v>38640</v>
      </c>
      <c r="L1154" s="16">
        <v>30067.74</v>
      </c>
      <c r="M1154" s="16">
        <v>8572.26</v>
      </c>
      <c r="N1154" t="s">
        <v>131</v>
      </c>
      <c r="O1154" t="s">
        <v>113</v>
      </c>
      <c r="P1154" t="str">
        <f t="shared" si="17"/>
        <v>Bhubaneswar|Monitor 27</v>
      </c>
    </row>
    <row r="1155" spans="1:16" x14ac:dyDescent="0.3">
      <c r="A1155" s="15">
        <v>46128</v>
      </c>
      <c r="B1155" t="s">
        <v>114</v>
      </c>
      <c r="C1155" t="s">
        <v>126</v>
      </c>
      <c r="D1155" t="s">
        <v>196</v>
      </c>
      <c r="E1155" t="s">
        <v>208</v>
      </c>
      <c r="F1155" t="s">
        <v>97</v>
      </c>
      <c r="G1155" t="s">
        <v>87</v>
      </c>
      <c r="H1155" t="s">
        <v>135</v>
      </c>
      <c r="I1155" t="s">
        <v>190</v>
      </c>
      <c r="J1155">
        <v>6</v>
      </c>
      <c r="K1155" s="16">
        <v>69000</v>
      </c>
      <c r="L1155" s="16">
        <v>55285.05</v>
      </c>
      <c r="M1155" s="16">
        <v>13714.95</v>
      </c>
      <c r="N1155" t="s">
        <v>112</v>
      </c>
      <c r="O1155" t="s">
        <v>119</v>
      </c>
      <c r="P1155" t="str">
        <f t="shared" si="17"/>
        <v>New Delhi|Microwave</v>
      </c>
    </row>
    <row r="1156" spans="1:16" x14ac:dyDescent="0.3">
      <c r="A1156" s="15">
        <v>46100</v>
      </c>
      <c r="B1156" t="s">
        <v>120</v>
      </c>
      <c r="C1156" t="s">
        <v>126</v>
      </c>
      <c r="D1156" t="s">
        <v>196</v>
      </c>
      <c r="E1156" t="s">
        <v>208</v>
      </c>
      <c r="F1156" t="s">
        <v>96</v>
      </c>
      <c r="G1156" t="s">
        <v>80</v>
      </c>
      <c r="H1156" t="s">
        <v>139</v>
      </c>
      <c r="I1156" t="s">
        <v>388</v>
      </c>
      <c r="J1156">
        <v>7</v>
      </c>
      <c r="K1156" s="16">
        <v>84875</v>
      </c>
      <c r="L1156" s="16">
        <v>62475.39</v>
      </c>
      <c r="M1156" s="16">
        <v>22399.61</v>
      </c>
      <c r="N1156" t="s">
        <v>112</v>
      </c>
      <c r="O1156" t="s">
        <v>142</v>
      </c>
      <c r="P1156" t="str">
        <f t="shared" si="17"/>
        <v>New Delhi|Office Chair</v>
      </c>
    </row>
    <row r="1157" spans="1:16" x14ac:dyDescent="0.3">
      <c r="A1157" s="15">
        <v>46182</v>
      </c>
      <c r="B1157" t="s">
        <v>120</v>
      </c>
      <c r="C1157" t="s">
        <v>152</v>
      </c>
      <c r="D1157" t="s">
        <v>187</v>
      </c>
      <c r="E1157" t="s">
        <v>188</v>
      </c>
      <c r="F1157" t="s">
        <v>96</v>
      </c>
      <c r="G1157" t="s">
        <v>82</v>
      </c>
      <c r="H1157" t="s">
        <v>129</v>
      </c>
      <c r="I1157" t="s">
        <v>246</v>
      </c>
      <c r="J1157">
        <v>11</v>
      </c>
      <c r="K1157" s="16">
        <v>297825</v>
      </c>
      <c r="L1157" s="16">
        <v>190108</v>
      </c>
      <c r="M1157" s="16">
        <v>107717</v>
      </c>
      <c r="N1157" t="s">
        <v>112</v>
      </c>
      <c r="O1157" t="s">
        <v>119</v>
      </c>
      <c r="P1157" t="str">
        <f t="shared" ref="P1157:P1220" si="18">E1157&amp;"|"&amp;G1157</f>
        <v>Warangal|Standing Desk</v>
      </c>
    </row>
    <row r="1158" spans="1:16" x14ac:dyDescent="0.3">
      <c r="A1158" s="15">
        <v>46217</v>
      </c>
      <c r="B1158" t="s">
        <v>114</v>
      </c>
      <c r="C1158" t="s">
        <v>107</v>
      </c>
      <c r="D1158" t="s">
        <v>115</v>
      </c>
      <c r="E1158" t="s">
        <v>191</v>
      </c>
      <c r="F1158" t="s">
        <v>96</v>
      </c>
      <c r="G1158" t="s">
        <v>83</v>
      </c>
      <c r="H1158" t="s">
        <v>133</v>
      </c>
      <c r="I1158" t="s">
        <v>379</v>
      </c>
      <c r="J1158">
        <v>18</v>
      </c>
      <c r="K1158" s="16">
        <v>648000</v>
      </c>
      <c r="L1158" s="16">
        <v>499889.25</v>
      </c>
      <c r="M1158" s="16">
        <v>148110.75</v>
      </c>
      <c r="N1158" t="s">
        <v>131</v>
      </c>
      <c r="O1158" t="s">
        <v>113</v>
      </c>
      <c r="P1158" t="str">
        <f t="shared" si="18"/>
        <v>Surat|Meeting Table</v>
      </c>
    </row>
    <row r="1159" spans="1:16" x14ac:dyDescent="0.3">
      <c r="A1159" s="15">
        <v>46089</v>
      </c>
      <c r="B1159" t="s">
        <v>120</v>
      </c>
      <c r="C1159" t="s">
        <v>121</v>
      </c>
      <c r="D1159" t="s">
        <v>122</v>
      </c>
      <c r="E1159" t="s">
        <v>123</v>
      </c>
      <c r="F1159" t="s">
        <v>96</v>
      </c>
      <c r="G1159" t="s">
        <v>83</v>
      </c>
      <c r="H1159" t="s">
        <v>117</v>
      </c>
      <c r="I1159" t="s">
        <v>337</v>
      </c>
      <c r="J1159">
        <v>5</v>
      </c>
      <c r="K1159" s="16">
        <v>158400</v>
      </c>
      <c r="L1159" s="16">
        <v>128041.29</v>
      </c>
      <c r="M1159" s="16">
        <v>30358.71</v>
      </c>
      <c r="N1159" t="s">
        <v>141</v>
      </c>
      <c r="O1159" t="s">
        <v>113</v>
      </c>
      <c r="P1159" t="str">
        <f t="shared" si="18"/>
        <v>Durgapur|Meeting Table</v>
      </c>
    </row>
    <row r="1160" spans="1:16" x14ac:dyDescent="0.3">
      <c r="A1160" s="15">
        <v>46251</v>
      </c>
      <c r="B1160" t="s">
        <v>34</v>
      </c>
      <c r="C1160" t="s">
        <v>121</v>
      </c>
      <c r="D1160" t="s">
        <v>137</v>
      </c>
      <c r="E1160" t="s">
        <v>138</v>
      </c>
      <c r="F1160" t="s">
        <v>97</v>
      </c>
      <c r="G1160" t="s">
        <v>88</v>
      </c>
      <c r="H1160" t="s">
        <v>184</v>
      </c>
      <c r="I1160" t="s">
        <v>387</v>
      </c>
      <c r="J1160">
        <v>2</v>
      </c>
      <c r="K1160" s="16">
        <v>29000</v>
      </c>
      <c r="L1160" s="16">
        <v>19699.13</v>
      </c>
      <c r="M1160" s="16">
        <v>9300.8700000000008</v>
      </c>
      <c r="N1160" t="s">
        <v>112</v>
      </c>
      <c r="O1160" t="s">
        <v>142</v>
      </c>
      <c r="P1160" t="str">
        <f t="shared" si="18"/>
        <v>Cuttack|Vacuum Cleaner</v>
      </c>
    </row>
    <row r="1161" spans="1:16" x14ac:dyDescent="0.3">
      <c r="A1161" s="15">
        <v>46119</v>
      </c>
      <c r="B1161" t="s">
        <v>34</v>
      </c>
      <c r="C1161" t="s">
        <v>107</v>
      </c>
      <c r="D1161" t="s">
        <v>108</v>
      </c>
      <c r="E1161" t="s">
        <v>132</v>
      </c>
      <c r="F1161" t="s">
        <v>96</v>
      </c>
      <c r="G1161" t="s">
        <v>83</v>
      </c>
      <c r="H1161" t="s">
        <v>184</v>
      </c>
      <c r="I1161" t="s">
        <v>344</v>
      </c>
      <c r="J1161">
        <v>8</v>
      </c>
      <c r="K1161" s="16">
        <v>253440</v>
      </c>
      <c r="L1161" s="16">
        <v>200916.92</v>
      </c>
      <c r="M1161" s="16">
        <v>52523.08</v>
      </c>
      <c r="N1161" t="s">
        <v>125</v>
      </c>
      <c r="O1161" t="s">
        <v>113</v>
      </c>
      <c r="P1161" t="str">
        <f t="shared" si="18"/>
        <v>Jaipur|Meeting Table</v>
      </c>
    </row>
    <row r="1162" spans="1:16" x14ac:dyDescent="0.3">
      <c r="A1162" s="15">
        <v>46119</v>
      </c>
      <c r="B1162" t="s">
        <v>34</v>
      </c>
      <c r="C1162" t="s">
        <v>126</v>
      </c>
      <c r="D1162" t="s">
        <v>127</v>
      </c>
      <c r="E1162" t="s">
        <v>143</v>
      </c>
      <c r="F1162" t="s">
        <v>94</v>
      </c>
      <c r="G1162" t="s">
        <v>64</v>
      </c>
      <c r="H1162" t="s">
        <v>117</v>
      </c>
      <c r="I1162" t="s">
        <v>401</v>
      </c>
      <c r="J1162">
        <v>1</v>
      </c>
      <c r="K1162" s="16">
        <v>18480</v>
      </c>
      <c r="L1162" s="16">
        <v>12960.28</v>
      </c>
      <c r="M1162" s="16">
        <v>5519.72</v>
      </c>
      <c r="N1162" t="s">
        <v>131</v>
      </c>
      <c r="O1162" t="s">
        <v>119</v>
      </c>
      <c r="P1162" t="str">
        <f t="shared" si="18"/>
        <v>Faridabad|Monitor 27</v>
      </c>
    </row>
    <row r="1163" spans="1:16" x14ac:dyDescent="0.3">
      <c r="A1163" s="15">
        <v>46156</v>
      </c>
      <c r="B1163" t="s">
        <v>34</v>
      </c>
      <c r="C1163" t="s">
        <v>126</v>
      </c>
      <c r="D1163" t="s">
        <v>196</v>
      </c>
      <c r="E1163" t="s">
        <v>197</v>
      </c>
      <c r="F1163" t="s">
        <v>95</v>
      </c>
      <c r="G1163" t="s">
        <v>74</v>
      </c>
      <c r="H1163" t="s">
        <v>129</v>
      </c>
      <c r="I1163" t="s">
        <v>222</v>
      </c>
      <c r="J1163">
        <v>10</v>
      </c>
      <c r="K1163" s="16">
        <v>44160</v>
      </c>
      <c r="L1163" s="16">
        <v>31472.75</v>
      </c>
      <c r="M1163" s="16">
        <v>12687.25</v>
      </c>
      <c r="N1163" t="s">
        <v>125</v>
      </c>
      <c r="O1163" t="s">
        <v>113</v>
      </c>
      <c r="P1163" t="str">
        <f t="shared" si="18"/>
        <v>Dwarka|Headset</v>
      </c>
    </row>
    <row r="1164" spans="1:16" x14ac:dyDescent="0.3">
      <c r="A1164" s="15">
        <v>46125</v>
      </c>
      <c r="B1164" t="s">
        <v>34</v>
      </c>
      <c r="C1164" t="s">
        <v>107</v>
      </c>
      <c r="D1164" t="s">
        <v>149</v>
      </c>
      <c r="E1164" t="s">
        <v>159</v>
      </c>
      <c r="F1164" t="s">
        <v>95</v>
      </c>
      <c r="G1164" t="s">
        <v>74</v>
      </c>
      <c r="H1164" t="s">
        <v>139</v>
      </c>
      <c r="I1164" t="s">
        <v>321</v>
      </c>
      <c r="J1164">
        <v>11</v>
      </c>
      <c r="K1164" s="16">
        <v>46464</v>
      </c>
      <c r="L1164" s="16">
        <v>33688.42</v>
      </c>
      <c r="M1164" s="16">
        <v>12775.58</v>
      </c>
      <c r="N1164" t="s">
        <v>131</v>
      </c>
      <c r="O1164" t="s">
        <v>142</v>
      </c>
      <c r="P1164" t="str">
        <f t="shared" si="18"/>
        <v>Pune|Headset</v>
      </c>
    </row>
    <row r="1165" spans="1:16" x14ac:dyDescent="0.3">
      <c r="A1165" s="15">
        <v>46159</v>
      </c>
      <c r="B1165" t="s">
        <v>34</v>
      </c>
      <c r="C1165" t="s">
        <v>126</v>
      </c>
      <c r="D1165" t="s">
        <v>127</v>
      </c>
      <c r="E1165" t="s">
        <v>128</v>
      </c>
      <c r="F1165" t="s">
        <v>96</v>
      </c>
      <c r="G1165" t="s">
        <v>83</v>
      </c>
      <c r="H1165" t="s">
        <v>139</v>
      </c>
      <c r="I1165" t="s">
        <v>355</v>
      </c>
      <c r="J1165">
        <v>5</v>
      </c>
      <c r="K1165" s="16">
        <v>158400</v>
      </c>
      <c r="L1165" s="16">
        <v>108424.39</v>
      </c>
      <c r="M1165" s="16">
        <v>49975.61</v>
      </c>
      <c r="N1165" t="s">
        <v>131</v>
      </c>
      <c r="O1165" t="s">
        <v>113</v>
      </c>
      <c r="P1165" t="str">
        <f t="shared" si="18"/>
        <v>Gurugram|Meeting Table</v>
      </c>
    </row>
    <row r="1166" spans="1:16" x14ac:dyDescent="0.3">
      <c r="A1166" s="15">
        <v>46167</v>
      </c>
      <c r="B1166" t="s">
        <v>34</v>
      </c>
      <c r="C1166" t="s">
        <v>121</v>
      </c>
      <c r="D1166" t="s">
        <v>122</v>
      </c>
      <c r="E1166" t="s">
        <v>166</v>
      </c>
      <c r="F1166" t="s">
        <v>94</v>
      </c>
      <c r="G1166" t="s">
        <v>67</v>
      </c>
      <c r="H1166" t="s">
        <v>129</v>
      </c>
      <c r="I1166" t="s">
        <v>214</v>
      </c>
      <c r="J1166">
        <v>15</v>
      </c>
      <c r="K1166" s="16">
        <v>455400</v>
      </c>
      <c r="L1166" s="16">
        <v>358452.1</v>
      </c>
      <c r="M1166" s="16">
        <v>96947.9</v>
      </c>
      <c r="N1166" t="s">
        <v>112</v>
      </c>
      <c r="O1166" t="s">
        <v>119</v>
      </c>
      <c r="P1166" t="str">
        <f t="shared" si="18"/>
        <v>Kolkata|Tablet X</v>
      </c>
    </row>
    <row r="1167" spans="1:16" x14ac:dyDescent="0.3">
      <c r="A1167" s="15">
        <v>46227</v>
      </c>
      <c r="B1167" t="s">
        <v>120</v>
      </c>
      <c r="C1167" t="s">
        <v>152</v>
      </c>
      <c r="D1167" t="s">
        <v>187</v>
      </c>
      <c r="E1167" t="s">
        <v>199</v>
      </c>
      <c r="F1167" t="s">
        <v>96</v>
      </c>
      <c r="G1167" t="s">
        <v>82</v>
      </c>
      <c r="H1167" t="s">
        <v>139</v>
      </c>
      <c r="I1167" t="s">
        <v>407</v>
      </c>
      <c r="J1167">
        <v>9</v>
      </c>
      <c r="K1167" s="16">
        <v>225720</v>
      </c>
      <c r="L1167" s="16">
        <v>147458.07</v>
      </c>
      <c r="M1167" s="16">
        <v>78261.929999999993</v>
      </c>
      <c r="N1167" t="s">
        <v>112</v>
      </c>
      <c r="O1167" t="s">
        <v>113</v>
      </c>
      <c r="P1167" t="str">
        <f t="shared" si="18"/>
        <v>Hyderabad|Standing Desk</v>
      </c>
    </row>
    <row r="1168" spans="1:16" x14ac:dyDescent="0.3">
      <c r="A1168" s="15">
        <v>46044</v>
      </c>
      <c r="B1168" t="s">
        <v>34</v>
      </c>
      <c r="C1168" t="s">
        <v>152</v>
      </c>
      <c r="D1168" t="s">
        <v>156</v>
      </c>
      <c r="E1168" t="s">
        <v>157</v>
      </c>
      <c r="F1168" t="s">
        <v>95</v>
      </c>
      <c r="G1168" t="s">
        <v>72</v>
      </c>
      <c r="H1168" t="s">
        <v>110</v>
      </c>
      <c r="I1168" t="s">
        <v>214</v>
      </c>
      <c r="J1168">
        <v>12</v>
      </c>
      <c r="K1168" s="16">
        <v>37248</v>
      </c>
      <c r="L1168" s="16">
        <v>26591.13</v>
      </c>
      <c r="M1168" s="16">
        <v>10656.87</v>
      </c>
      <c r="N1168" t="s">
        <v>141</v>
      </c>
      <c r="O1168" t="s">
        <v>119</v>
      </c>
      <c r="P1168" t="str">
        <f t="shared" si="18"/>
        <v>Mysuru|Keyboard</v>
      </c>
    </row>
    <row r="1169" spans="1:16" x14ac:dyDescent="0.3">
      <c r="A1169" s="15">
        <v>46100</v>
      </c>
      <c r="B1169" t="s">
        <v>34</v>
      </c>
      <c r="C1169" t="s">
        <v>121</v>
      </c>
      <c r="D1169" t="s">
        <v>137</v>
      </c>
      <c r="E1169" t="s">
        <v>171</v>
      </c>
      <c r="F1169" t="s">
        <v>95</v>
      </c>
      <c r="G1169" t="s">
        <v>72</v>
      </c>
      <c r="H1169" t="s">
        <v>139</v>
      </c>
      <c r="I1169" t="s">
        <v>216</v>
      </c>
      <c r="J1169">
        <v>4</v>
      </c>
      <c r="K1169" s="16">
        <v>12416</v>
      </c>
      <c r="L1169" s="16">
        <v>8449.01</v>
      </c>
      <c r="M1169" s="16">
        <v>3966.99</v>
      </c>
      <c r="N1169" t="s">
        <v>112</v>
      </c>
      <c r="O1169" t="s">
        <v>113</v>
      </c>
      <c r="P1169" t="str">
        <f t="shared" si="18"/>
        <v>Bhubaneswar|Keyboard</v>
      </c>
    </row>
    <row r="1170" spans="1:16" x14ac:dyDescent="0.3">
      <c r="A1170" s="15">
        <v>46042</v>
      </c>
      <c r="B1170" t="s">
        <v>34</v>
      </c>
      <c r="C1170" t="s">
        <v>121</v>
      </c>
      <c r="D1170" t="s">
        <v>122</v>
      </c>
      <c r="E1170" t="s">
        <v>166</v>
      </c>
      <c r="F1170" t="s">
        <v>96</v>
      </c>
      <c r="G1170" t="s">
        <v>84</v>
      </c>
      <c r="H1170" t="s">
        <v>133</v>
      </c>
      <c r="I1170" t="s">
        <v>278</v>
      </c>
      <c r="J1170">
        <v>9</v>
      </c>
      <c r="K1170" s="16">
        <v>120060</v>
      </c>
      <c r="L1170" s="16">
        <v>83958.69</v>
      </c>
      <c r="M1170" s="16">
        <v>36101.31</v>
      </c>
      <c r="N1170" t="s">
        <v>125</v>
      </c>
      <c r="O1170" t="s">
        <v>113</v>
      </c>
      <c r="P1170" t="str">
        <f t="shared" si="18"/>
        <v>Kolkata|Filing Cabinet</v>
      </c>
    </row>
    <row r="1171" spans="1:16" x14ac:dyDescent="0.3">
      <c r="A1171" s="15">
        <v>46208</v>
      </c>
      <c r="B1171" t="s">
        <v>34</v>
      </c>
      <c r="C1171" t="s">
        <v>126</v>
      </c>
      <c r="D1171" t="s">
        <v>162</v>
      </c>
      <c r="E1171" t="s">
        <v>163</v>
      </c>
      <c r="F1171" t="s">
        <v>94</v>
      </c>
      <c r="G1171" t="s">
        <v>67</v>
      </c>
      <c r="H1171" t="s">
        <v>173</v>
      </c>
      <c r="I1171" t="s">
        <v>399</v>
      </c>
      <c r="J1171">
        <v>1</v>
      </c>
      <c r="K1171" s="16">
        <v>33000</v>
      </c>
      <c r="L1171" s="16">
        <v>21764.63</v>
      </c>
      <c r="M1171" s="16">
        <v>11235.37</v>
      </c>
      <c r="N1171" t="s">
        <v>125</v>
      </c>
      <c r="O1171" t="s">
        <v>113</v>
      </c>
      <c r="P1171" t="str">
        <f t="shared" si="18"/>
        <v>Lucknow|Tablet X</v>
      </c>
    </row>
    <row r="1172" spans="1:16" x14ac:dyDescent="0.3">
      <c r="A1172" s="15">
        <v>46162</v>
      </c>
      <c r="B1172" t="s">
        <v>34</v>
      </c>
      <c r="C1172" t="s">
        <v>152</v>
      </c>
      <c r="D1172" t="s">
        <v>156</v>
      </c>
      <c r="E1172" t="s">
        <v>157</v>
      </c>
      <c r="F1172" t="s">
        <v>95</v>
      </c>
      <c r="G1172" t="s">
        <v>78</v>
      </c>
      <c r="H1172" t="s">
        <v>117</v>
      </c>
      <c r="I1172" t="s">
        <v>281</v>
      </c>
      <c r="J1172">
        <v>7</v>
      </c>
      <c r="K1172" s="16">
        <v>25872</v>
      </c>
      <c r="L1172" s="16">
        <v>18225.84</v>
      </c>
      <c r="M1172" s="16">
        <v>7646.16</v>
      </c>
      <c r="N1172" t="s">
        <v>112</v>
      </c>
      <c r="O1172" t="s">
        <v>119</v>
      </c>
      <c r="P1172" t="str">
        <f t="shared" si="18"/>
        <v>Mysuru|Webcam</v>
      </c>
    </row>
    <row r="1173" spans="1:16" x14ac:dyDescent="0.3">
      <c r="A1173" s="15">
        <v>46233</v>
      </c>
      <c r="B1173" t="s">
        <v>120</v>
      </c>
      <c r="C1173" t="s">
        <v>152</v>
      </c>
      <c r="D1173" t="s">
        <v>156</v>
      </c>
      <c r="E1173" t="s">
        <v>157</v>
      </c>
      <c r="F1173" t="s">
        <v>95</v>
      </c>
      <c r="G1173" t="s">
        <v>78</v>
      </c>
      <c r="H1173" t="s">
        <v>184</v>
      </c>
      <c r="I1173" t="s">
        <v>333</v>
      </c>
      <c r="J1173">
        <v>4</v>
      </c>
      <c r="K1173" s="16">
        <v>16296</v>
      </c>
      <c r="L1173" s="16">
        <v>12529.56</v>
      </c>
      <c r="M1173" s="16">
        <v>3766.44</v>
      </c>
      <c r="N1173" t="s">
        <v>131</v>
      </c>
      <c r="O1173" t="s">
        <v>113</v>
      </c>
      <c r="P1173" t="str">
        <f t="shared" si="18"/>
        <v>Mysuru|Webcam</v>
      </c>
    </row>
    <row r="1174" spans="1:16" x14ac:dyDescent="0.3">
      <c r="A1174" s="15">
        <v>46112</v>
      </c>
      <c r="B1174" t="s">
        <v>34</v>
      </c>
      <c r="C1174" t="s">
        <v>152</v>
      </c>
      <c r="D1174" t="s">
        <v>187</v>
      </c>
      <c r="E1174" t="s">
        <v>188</v>
      </c>
      <c r="F1174" t="s">
        <v>95</v>
      </c>
      <c r="G1174" t="s">
        <v>72</v>
      </c>
      <c r="H1174" t="s">
        <v>110</v>
      </c>
      <c r="I1174" t="s">
        <v>364</v>
      </c>
      <c r="J1174">
        <v>1</v>
      </c>
      <c r="K1174" s="16">
        <v>3104</v>
      </c>
      <c r="L1174" s="16">
        <v>1963.91</v>
      </c>
      <c r="M1174" s="16">
        <v>1140.0899999999999</v>
      </c>
      <c r="N1174" t="s">
        <v>125</v>
      </c>
      <c r="O1174" t="s">
        <v>113</v>
      </c>
      <c r="P1174" t="str">
        <f t="shared" si="18"/>
        <v>Warangal|Keyboard</v>
      </c>
    </row>
    <row r="1175" spans="1:16" x14ac:dyDescent="0.3">
      <c r="A1175" s="15">
        <v>46232</v>
      </c>
      <c r="B1175" t="s">
        <v>120</v>
      </c>
      <c r="C1175" t="s">
        <v>152</v>
      </c>
      <c r="D1175" t="s">
        <v>187</v>
      </c>
      <c r="E1175" t="s">
        <v>188</v>
      </c>
      <c r="F1175" t="s">
        <v>95</v>
      </c>
      <c r="G1175" t="s">
        <v>74</v>
      </c>
      <c r="H1175" t="s">
        <v>129</v>
      </c>
      <c r="I1175" t="s">
        <v>237</v>
      </c>
      <c r="J1175">
        <v>3</v>
      </c>
      <c r="K1175" s="16">
        <v>12672</v>
      </c>
      <c r="L1175" s="16">
        <v>8407.65</v>
      </c>
      <c r="M1175" s="16">
        <v>4264.3500000000004</v>
      </c>
      <c r="N1175" t="s">
        <v>131</v>
      </c>
      <c r="O1175" t="s">
        <v>113</v>
      </c>
      <c r="P1175" t="str">
        <f t="shared" si="18"/>
        <v>Warangal|Headset</v>
      </c>
    </row>
    <row r="1176" spans="1:16" x14ac:dyDescent="0.3">
      <c r="A1176" s="15">
        <v>46116</v>
      </c>
      <c r="B1176" t="s">
        <v>114</v>
      </c>
      <c r="C1176" t="s">
        <v>107</v>
      </c>
      <c r="D1176" t="s">
        <v>149</v>
      </c>
      <c r="E1176" t="s">
        <v>159</v>
      </c>
      <c r="F1176" t="s">
        <v>95</v>
      </c>
      <c r="G1176" t="s">
        <v>72</v>
      </c>
      <c r="H1176" t="s">
        <v>133</v>
      </c>
      <c r="I1176" t="s">
        <v>329</v>
      </c>
      <c r="J1176">
        <v>20</v>
      </c>
      <c r="K1176" s="16">
        <v>56320</v>
      </c>
      <c r="L1176" s="16">
        <v>43251.53</v>
      </c>
      <c r="M1176" s="16">
        <v>13068.47</v>
      </c>
      <c r="N1176" t="s">
        <v>125</v>
      </c>
      <c r="O1176" t="s">
        <v>113</v>
      </c>
      <c r="P1176" t="str">
        <f t="shared" si="18"/>
        <v>Pune|Keyboard</v>
      </c>
    </row>
    <row r="1177" spans="1:16" x14ac:dyDescent="0.3">
      <c r="A1177" s="15">
        <v>46180</v>
      </c>
      <c r="B1177" t="s">
        <v>34</v>
      </c>
      <c r="C1177" t="s">
        <v>107</v>
      </c>
      <c r="D1177" t="s">
        <v>115</v>
      </c>
      <c r="E1177" t="s">
        <v>191</v>
      </c>
      <c r="F1177" t="s">
        <v>94</v>
      </c>
      <c r="G1177" t="s">
        <v>64</v>
      </c>
      <c r="H1177" t="s">
        <v>110</v>
      </c>
      <c r="I1177" t="s">
        <v>303</v>
      </c>
      <c r="J1177">
        <v>7</v>
      </c>
      <c r="K1177" s="16">
        <v>142590</v>
      </c>
      <c r="L1177" s="16">
        <v>107824.86</v>
      </c>
      <c r="M1177" s="16">
        <v>34765.14</v>
      </c>
      <c r="N1177" t="s">
        <v>112</v>
      </c>
      <c r="O1177" t="s">
        <v>113</v>
      </c>
      <c r="P1177" t="str">
        <f t="shared" si="18"/>
        <v>Surat|Monitor 27</v>
      </c>
    </row>
    <row r="1178" spans="1:16" x14ac:dyDescent="0.3">
      <c r="A1178" s="15">
        <v>46226</v>
      </c>
      <c r="B1178" t="s">
        <v>34</v>
      </c>
      <c r="C1178" t="s">
        <v>152</v>
      </c>
      <c r="D1178" t="s">
        <v>187</v>
      </c>
      <c r="E1178" t="s">
        <v>188</v>
      </c>
      <c r="F1178" t="s">
        <v>95</v>
      </c>
      <c r="G1178" t="s">
        <v>76</v>
      </c>
      <c r="H1178" t="s">
        <v>133</v>
      </c>
      <c r="I1178" t="s">
        <v>222</v>
      </c>
      <c r="J1178">
        <v>3</v>
      </c>
      <c r="K1178" s="16">
        <v>4968</v>
      </c>
      <c r="L1178" s="16">
        <v>3409.94</v>
      </c>
      <c r="M1178" s="16">
        <v>1558.06</v>
      </c>
      <c r="N1178" t="s">
        <v>112</v>
      </c>
      <c r="O1178" t="s">
        <v>113</v>
      </c>
      <c r="P1178" t="str">
        <f t="shared" si="18"/>
        <v>Warangal|Mouse</v>
      </c>
    </row>
    <row r="1179" spans="1:16" x14ac:dyDescent="0.3">
      <c r="A1179" s="15">
        <v>46046</v>
      </c>
      <c r="B1179" t="s">
        <v>34</v>
      </c>
      <c r="C1179" t="s">
        <v>107</v>
      </c>
      <c r="D1179" t="s">
        <v>108</v>
      </c>
      <c r="E1179" t="s">
        <v>109</v>
      </c>
      <c r="F1179" t="s">
        <v>95</v>
      </c>
      <c r="G1179" t="s">
        <v>72</v>
      </c>
      <c r="H1179" t="s">
        <v>129</v>
      </c>
      <c r="I1179" t="s">
        <v>165</v>
      </c>
      <c r="J1179">
        <v>16</v>
      </c>
      <c r="K1179" s="16">
        <v>45056</v>
      </c>
      <c r="L1179" s="16">
        <v>30917.09</v>
      </c>
      <c r="M1179" s="16">
        <v>14138.91</v>
      </c>
      <c r="N1179" t="s">
        <v>131</v>
      </c>
      <c r="O1179" t="s">
        <v>113</v>
      </c>
      <c r="P1179" t="str">
        <f t="shared" si="18"/>
        <v>Udaipur|Keyboard</v>
      </c>
    </row>
    <row r="1180" spans="1:16" x14ac:dyDescent="0.3">
      <c r="A1180" s="15">
        <v>46227</v>
      </c>
      <c r="B1180" t="s">
        <v>120</v>
      </c>
      <c r="C1180" t="s">
        <v>152</v>
      </c>
      <c r="D1180" t="s">
        <v>153</v>
      </c>
      <c r="E1180" t="s">
        <v>154</v>
      </c>
      <c r="F1180" t="s">
        <v>97</v>
      </c>
      <c r="G1180" t="s">
        <v>86</v>
      </c>
      <c r="H1180" t="s">
        <v>133</v>
      </c>
      <c r="I1180" t="s">
        <v>284</v>
      </c>
      <c r="J1180">
        <v>1</v>
      </c>
      <c r="K1180" s="16">
        <v>6500</v>
      </c>
      <c r="L1180" s="16">
        <v>5308.57</v>
      </c>
      <c r="M1180" s="16">
        <v>1191.43</v>
      </c>
      <c r="N1180" t="s">
        <v>131</v>
      </c>
      <c r="O1180" t="s">
        <v>113</v>
      </c>
      <c r="P1180" t="str">
        <f t="shared" si="18"/>
        <v>Coimbatore|Coffee Maker</v>
      </c>
    </row>
    <row r="1181" spans="1:16" x14ac:dyDescent="0.3">
      <c r="A1181" s="15">
        <v>46103</v>
      </c>
      <c r="B1181" t="s">
        <v>114</v>
      </c>
      <c r="C1181" t="s">
        <v>107</v>
      </c>
      <c r="D1181" t="s">
        <v>115</v>
      </c>
      <c r="E1181" t="s">
        <v>191</v>
      </c>
      <c r="F1181" t="s">
        <v>94</v>
      </c>
      <c r="G1181" t="s">
        <v>64</v>
      </c>
      <c r="H1181" t="s">
        <v>133</v>
      </c>
      <c r="I1181" t="s">
        <v>389</v>
      </c>
      <c r="J1181">
        <v>1</v>
      </c>
      <c r="K1181" s="16">
        <v>21000</v>
      </c>
      <c r="L1181" s="16">
        <v>16749.080000000002</v>
      </c>
      <c r="M1181" s="16">
        <v>4250.92</v>
      </c>
      <c r="N1181" t="s">
        <v>125</v>
      </c>
      <c r="O1181" t="s">
        <v>119</v>
      </c>
      <c r="P1181" t="str">
        <f t="shared" si="18"/>
        <v>Surat|Monitor 27</v>
      </c>
    </row>
    <row r="1182" spans="1:16" x14ac:dyDescent="0.3">
      <c r="A1182" s="15">
        <v>46112</v>
      </c>
      <c r="B1182" t="s">
        <v>114</v>
      </c>
      <c r="C1182" t="s">
        <v>152</v>
      </c>
      <c r="D1182" t="s">
        <v>187</v>
      </c>
      <c r="E1182" t="s">
        <v>199</v>
      </c>
      <c r="F1182" t="s">
        <v>94</v>
      </c>
      <c r="G1182" t="s">
        <v>70</v>
      </c>
      <c r="H1182" t="s">
        <v>129</v>
      </c>
      <c r="I1182" t="s">
        <v>218</v>
      </c>
      <c r="J1182">
        <v>13</v>
      </c>
      <c r="K1182" s="16">
        <v>191425</v>
      </c>
      <c r="L1182" s="16">
        <v>142211.01999999999</v>
      </c>
      <c r="M1182" s="16">
        <v>49213.98</v>
      </c>
      <c r="N1182" t="s">
        <v>112</v>
      </c>
      <c r="O1182" t="s">
        <v>113</v>
      </c>
      <c r="P1182" t="str">
        <f t="shared" si="18"/>
        <v>Hyderabad|Printer Pro</v>
      </c>
    </row>
    <row r="1183" spans="1:16" x14ac:dyDescent="0.3">
      <c r="A1183" s="15">
        <v>46209</v>
      </c>
      <c r="B1183" t="s">
        <v>34</v>
      </c>
      <c r="C1183" t="s">
        <v>107</v>
      </c>
      <c r="D1183" t="s">
        <v>108</v>
      </c>
      <c r="E1183" t="s">
        <v>109</v>
      </c>
      <c r="F1183" t="s">
        <v>96</v>
      </c>
      <c r="G1183" t="s">
        <v>84</v>
      </c>
      <c r="H1183" t="s">
        <v>133</v>
      </c>
      <c r="I1183" t="s">
        <v>140</v>
      </c>
      <c r="J1183">
        <v>4</v>
      </c>
      <c r="K1183" s="16">
        <v>58000</v>
      </c>
      <c r="L1183" s="16">
        <v>43588.94</v>
      </c>
      <c r="M1183" s="16">
        <v>14411.06</v>
      </c>
      <c r="N1183" t="s">
        <v>125</v>
      </c>
      <c r="O1183" t="s">
        <v>113</v>
      </c>
      <c r="P1183" t="str">
        <f t="shared" si="18"/>
        <v>Udaipur|Filing Cabinet</v>
      </c>
    </row>
    <row r="1184" spans="1:16" x14ac:dyDescent="0.3">
      <c r="A1184" s="15">
        <v>46173</v>
      </c>
      <c r="B1184" t="s">
        <v>34</v>
      </c>
      <c r="C1184" t="s">
        <v>126</v>
      </c>
      <c r="D1184" t="s">
        <v>162</v>
      </c>
      <c r="E1184" t="s">
        <v>204</v>
      </c>
      <c r="F1184" t="s">
        <v>94</v>
      </c>
      <c r="G1184" t="s">
        <v>64</v>
      </c>
      <c r="H1184" t="s">
        <v>133</v>
      </c>
      <c r="I1184" t="s">
        <v>186</v>
      </c>
      <c r="J1184">
        <v>6</v>
      </c>
      <c r="K1184" s="16">
        <v>110880</v>
      </c>
      <c r="L1184" s="16">
        <v>71555.850000000006</v>
      </c>
      <c r="M1184" s="16">
        <v>39324.15</v>
      </c>
      <c r="N1184" t="s">
        <v>131</v>
      </c>
      <c r="O1184" t="s">
        <v>113</v>
      </c>
      <c r="P1184" t="str">
        <f t="shared" si="18"/>
        <v>Noida|Monitor 27</v>
      </c>
    </row>
    <row r="1185" spans="1:16" x14ac:dyDescent="0.3">
      <c r="A1185" s="15">
        <v>46249</v>
      </c>
      <c r="B1185" t="s">
        <v>114</v>
      </c>
      <c r="C1185" t="s">
        <v>107</v>
      </c>
      <c r="D1185" t="s">
        <v>108</v>
      </c>
      <c r="E1185" t="s">
        <v>132</v>
      </c>
      <c r="F1185" t="s">
        <v>96</v>
      </c>
      <c r="G1185" t="s">
        <v>80</v>
      </c>
      <c r="H1185" t="s">
        <v>184</v>
      </c>
      <c r="I1185" t="s">
        <v>394</v>
      </c>
      <c r="J1185">
        <v>13</v>
      </c>
      <c r="K1185" s="16">
        <v>162500</v>
      </c>
      <c r="L1185" s="16">
        <v>133166.72</v>
      </c>
      <c r="M1185" s="16">
        <v>29333.279999999999</v>
      </c>
      <c r="N1185" t="s">
        <v>141</v>
      </c>
      <c r="O1185" t="s">
        <v>119</v>
      </c>
      <c r="P1185" t="str">
        <f t="shared" si="18"/>
        <v>Jaipur|Office Chair</v>
      </c>
    </row>
    <row r="1186" spans="1:16" x14ac:dyDescent="0.3">
      <c r="A1186" s="15">
        <v>46193</v>
      </c>
      <c r="B1186" t="s">
        <v>34</v>
      </c>
      <c r="C1186" t="s">
        <v>121</v>
      </c>
      <c r="D1186" t="s">
        <v>137</v>
      </c>
      <c r="E1186" t="s">
        <v>138</v>
      </c>
      <c r="F1186" t="s">
        <v>97</v>
      </c>
      <c r="G1186" t="s">
        <v>88</v>
      </c>
      <c r="H1186" t="s">
        <v>173</v>
      </c>
      <c r="I1186" t="s">
        <v>351</v>
      </c>
      <c r="J1186">
        <v>1</v>
      </c>
      <c r="K1186" s="16">
        <v>14500</v>
      </c>
      <c r="L1186" s="16">
        <v>9088.66</v>
      </c>
      <c r="M1186" s="16">
        <v>5411.34</v>
      </c>
      <c r="N1186" t="s">
        <v>112</v>
      </c>
      <c r="O1186" t="s">
        <v>113</v>
      </c>
      <c r="P1186" t="str">
        <f t="shared" si="18"/>
        <v>Cuttack|Vacuum Cleaner</v>
      </c>
    </row>
    <row r="1187" spans="1:16" x14ac:dyDescent="0.3">
      <c r="A1187" s="15">
        <v>46055</v>
      </c>
      <c r="B1187" t="s">
        <v>114</v>
      </c>
      <c r="C1187" t="s">
        <v>121</v>
      </c>
      <c r="D1187" t="s">
        <v>137</v>
      </c>
      <c r="E1187" t="s">
        <v>138</v>
      </c>
      <c r="F1187" t="s">
        <v>96</v>
      </c>
      <c r="G1187" t="s">
        <v>84</v>
      </c>
      <c r="H1187" t="s">
        <v>135</v>
      </c>
      <c r="I1187" t="s">
        <v>410</v>
      </c>
      <c r="J1187">
        <v>13</v>
      </c>
      <c r="K1187" s="16">
        <v>182845</v>
      </c>
      <c r="L1187" s="16">
        <v>126514.16</v>
      </c>
      <c r="M1187" s="16">
        <v>56330.84</v>
      </c>
      <c r="N1187" t="s">
        <v>131</v>
      </c>
      <c r="O1187" t="s">
        <v>142</v>
      </c>
      <c r="P1187" t="str">
        <f t="shared" si="18"/>
        <v>Cuttack|Filing Cabinet</v>
      </c>
    </row>
    <row r="1188" spans="1:16" x14ac:dyDescent="0.3">
      <c r="A1188" s="15">
        <v>46169</v>
      </c>
      <c r="B1188" t="s">
        <v>34</v>
      </c>
      <c r="C1188" t="s">
        <v>152</v>
      </c>
      <c r="D1188" t="s">
        <v>156</v>
      </c>
      <c r="E1188" t="s">
        <v>157</v>
      </c>
      <c r="F1188" t="s">
        <v>97</v>
      </c>
      <c r="G1188" t="s">
        <v>88</v>
      </c>
      <c r="H1188" t="s">
        <v>184</v>
      </c>
      <c r="I1188" t="s">
        <v>377</v>
      </c>
      <c r="J1188">
        <v>5</v>
      </c>
      <c r="K1188" s="16">
        <v>72500</v>
      </c>
      <c r="L1188" s="16">
        <v>46487.13</v>
      </c>
      <c r="M1188" s="16">
        <v>26012.87</v>
      </c>
      <c r="N1188" t="s">
        <v>112</v>
      </c>
      <c r="O1188" t="s">
        <v>113</v>
      </c>
      <c r="P1188" t="str">
        <f t="shared" si="18"/>
        <v>Mysuru|Vacuum Cleaner</v>
      </c>
    </row>
    <row r="1189" spans="1:16" x14ac:dyDescent="0.3">
      <c r="A1189" s="15">
        <v>46140</v>
      </c>
      <c r="B1189" t="s">
        <v>34</v>
      </c>
      <c r="C1189" t="s">
        <v>121</v>
      </c>
      <c r="D1189" t="s">
        <v>122</v>
      </c>
      <c r="E1189" t="s">
        <v>123</v>
      </c>
      <c r="F1189" t="s">
        <v>95</v>
      </c>
      <c r="G1189" t="s">
        <v>74</v>
      </c>
      <c r="H1189" t="s">
        <v>139</v>
      </c>
      <c r="I1189" t="s">
        <v>245</v>
      </c>
      <c r="J1189">
        <v>11</v>
      </c>
      <c r="K1189" s="16">
        <v>48576</v>
      </c>
      <c r="L1189" s="16">
        <v>35217.550000000003</v>
      </c>
      <c r="M1189" s="16">
        <v>13358.45</v>
      </c>
      <c r="N1189" t="s">
        <v>131</v>
      </c>
      <c r="O1189" t="s">
        <v>142</v>
      </c>
      <c r="P1189" t="str">
        <f t="shared" si="18"/>
        <v>Durgapur|Headset</v>
      </c>
    </row>
    <row r="1190" spans="1:16" x14ac:dyDescent="0.3">
      <c r="A1190" s="15">
        <v>46193</v>
      </c>
      <c r="B1190" t="s">
        <v>34</v>
      </c>
      <c r="C1190" t="s">
        <v>126</v>
      </c>
      <c r="D1190" t="s">
        <v>196</v>
      </c>
      <c r="E1190" t="s">
        <v>197</v>
      </c>
      <c r="F1190" t="s">
        <v>95</v>
      </c>
      <c r="G1190" t="s">
        <v>78</v>
      </c>
      <c r="H1190" t="s">
        <v>139</v>
      </c>
      <c r="I1190" t="s">
        <v>222</v>
      </c>
      <c r="J1190">
        <v>15</v>
      </c>
      <c r="K1190" s="16">
        <v>59850</v>
      </c>
      <c r="L1190" s="16">
        <v>47815.07</v>
      </c>
      <c r="M1190" s="16">
        <v>12034.93</v>
      </c>
      <c r="N1190" t="s">
        <v>125</v>
      </c>
      <c r="O1190" t="s">
        <v>119</v>
      </c>
      <c r="P1190" t="str">
        <f t="shared" si="18"/>
        <v>Dwarka|Webcam</v>
      </c>
    </row>
    <row r="1191" spans="1:16" x14ac:dyDescent="0.3">
      <c r="A1191" s="15">
        <v>46170</v>
      </c>
      <c r="B1191" t="s">
        <v>114</v>
      </c>
      <c r="C1191" t="s">
        <v>126</v>
      </c>
      <c r="D1191" t="s">
        <v>162</v>
      </c>
      <c r="E1191" t="s">
        <v>163</v>
      </c>
      <c r="F1191" t="s">
        <v>97</v>
      </c>
      <c r="G1191" t="s">
        <v>87</v>
      </c>
      <c r="H1191" t="s">
        <v>184</v>
      </c>
      <c r="I1191" t="s">
        <v>363</v>
      </c>
      <c r="J1191">
        <v>9</v>
      </c>
      <c r="K1191" s="16">
        <v>103500</v>
      </c>
      <c r="L1191" s="16">
        <v>83018.210000000006</v>
      </c>
      <c r="M1191" s="16">
        <v>20481.79</v>
      </c>
      <c r="N1191" t="s">
        <v>131</v>
      </c>
      <c r="O1191" t="s">
        <v>113</v>
      </c>
      <c r="P1191" t="str">
        <f t="shared" si="18"/>
        <v>Lucknow|Microwave</v>
      </c>
    </row>
    <row r="1192" spans="1:16" x14ac:dyDescent="0.3">
      <c r="A1192" s="15">
        <v>46191</v>
      </c>
      <c r="B1192" t="s">
        <v>34</v>
      </c>
      <c r="C1192" t="s">
        <v>152</v>
      </c>
      <c r="D1192" t="s">
        <v>153</v>
      </c>
      <c r="E1192" t="s">
        <v>169</v>
      </c>
      <c r="F1192" t="s">
        <v>96</v>
      </c>
      <c r="G1192" t="s">
        <v>80</v>
      </c>
      <c r="H1192" t="s">
        <v>135</v>
      </c>
      <c r="I1192" t="s">
        <v>340</v>
      </c>
      <c r="J1192">
        <v>18</v>
      </c>
      <c r="K1192" s="16">
        <v>225000</v>
      </c>
      <c r="L1192" s="16">
        <v>146693.25</v>
      </c>
      <c r="M1192" s="16">
        <v>78306.75</v>
      </c>
      <c r="N1192" t="s">
        <v>141</v>
      </c>
      <c r="O1192" t="s">
        <v>119</v>
      </c>
      <c r="P1192" t="str">
        <f t="shared" si="18"/>
        <v>Chennai|Office Chair</v>
      </c>
    </row>
    <row r="1193" spans="1:16" x14ac:dyDescent="0.3">
      <c r="A1193" s="15">
        <v>46224</v>
      </c>
      <c r="B1193" t="s">
        <v>120</v>
      </c>
      <c r="C1193" t="s">
        <v>126</v>
      </c>
      <c r="D1193" t="s">
        <v>196</v>
      </c>
      <c r="E1193" t="s">
        <v>197</v>
      </c>
      <c r="F1193" t="s">
        <v>97</v>
      </c>
      <c r="G1193" t="s">
        <v>88</v>
      </c>
      <c r="H1193" t="s">
        <v>173</v>
      </c>
      <c r="I1193" t="s">
        <v>298</v>
      </c>
      <c r="J1193">
        <v>18</v>
      </c>
      <c r="K1193" s="16">
        <v>229680</v>
      </c>
      <c r="L1193" s="16">
        <v>150857.67000000001</v>
      </c>
      <c r="M1193" s="16">
        <v>78822.33</v>
      </c>
      <c r="N1193" t="s">
        <v>141</v>
      </c>
      <c r="O1193" t="s">
        <v>113</v>
      </c>
      <c r="P1193" t="str">
        <f t="shared" si="18"/>
        <v>Dwarka|Vacuum Cleaner</v>
      </c>
    </row>
    <row r="1194" spans="1:16" x14ac:dyDescent="0.3">
      <c r="A1194" s="15">
        <v>46069</v>
      </c>
      <c r="B1194" t="s">
        <v>34</v>
      </c>
      <c r="C1194" t="s">
        <v>121</v>
      </c>
      <c r="D1194" t="s">
        <v>137</v>
      </c>
      <c r="E1194" t="s">
        <v>171</v>
      </c>
      <c r="F1194" t="s">
        <v>94</v>
      </c>
      <c r="G1194" t="s">
        <v>67</v>
      </c>
      <c r="H1194" t="s">
        <v>173</v>
      </c>
      <c r="I1194" t="s">
        <v>299</v>
      </c>
      <c r="J1194">
        <v>11</v>
      </c>
      <c r="K1194" s="16">
        <v>363000</v>
      </c>
      <c r="L1194" s="16">
        <v>254627.35</v>
      </c>
      <c r="M1194" s="16">
        <v>108372.65</v>
      </c>
      <c r="N1194" t="s">
        <v>141</v>
      </c>
      <c r="O1194" t="s">
        <v>113</v>
      </c>
      <c r="P1194" t="str">
        <f t="shared" si="18"/>
        <v>Bhubaneswar|Tablet X</v>
      </c>
    </row>
    <row r="1195" spans="1:16" x14ac:dyDescent="0.3">
      <c r="A1195" s="15">
        <v>46210</v>
      </c>
      <c r="B1195" t="s">
        <v>34</v>
      </c>
      <c r="C1195" t="s">
        <v>107</v>
      </c>
      <c r="D1195" t="s">
        <v>115</v>
      </c>
      <c r="E1195" t="s">
        <v>116</v>
      </c>
      <c r="F1195" t="s">
        <v>96</v>
      </c>
      <c r="G1195" t="s">
        <v>84</v>
      </c>
      <c r="H1195" t="s">
        <v>135</v>
      </c>
      <c r="I1195" t="s">
        <v>378</v>
      </c>
      <c r="J1195">
        <v>18</v>
      </c>
      <c r="K1195" s="16">
        <v>261000</v>
      </c>
      <c r="L1195" s="16">
        <v>175227.03</v>
      </c>
      <c r="M1195" s="16">
        <v>85772.97</v>
      </c>
      <c r="N1195" t="s">
        <v>125</v>
      </c>
      <c r="O1195" t="s">
        <v>142</v>
      </c>
      <c r="P1195" t="str">
        <f t="shared" si="18"/>
        <v>Ahmedabad|Filing Cabinet</v>
      </c>
    </row>
    <row r="1196" spans="1:16" x14ac:dyDescent="0.3">
      <c r="A1196" s="15">
        <v>46232</v>
      </c>
      <c r="B1196" t="s">
        <v>34</v>
      </c>
      <c r="C1196" t="s">
        <v>121</v>
      </c>
      <c r="D1196" t="s">
        <v>137</v>
      </c>
      <c r="E1196" t="s">
        <v>171</v>
      </c>
      <c r="F1196" t="s">
        <v>97</v>
      </c>
      <c r="G1196" t="s">
        <v>85</v>
      </c>
      <c r="H1196" t="s">
        <v>139</v>
      </c>
      <c r="I1196" t="s">
        <v>315</v>
      </c>
      <c r="J1196">
        <v>17</v>
      </c>
      <c r="K1196" s="16">
        <v>290700</v>
      </c>
      <c r="L1196" s="16">
        <v>214918.01</v>
      </c>
      <c r="M1196" s="16">
        <v>75781.990000000005</v>
      </c>
      <c r="N1196" t="s">
        <v>141</v>
      </c>
      <c r="O1196" t="s">
        <v>113</v>
      </c>
      <c r="P1196" t="str">
        <f t="shared" si="18"/>
        <v>Bhubaneswar|Air Purifier</v>
      </c>
    </row>
    <row r="1197" spans="1:16" x14ac:dyDescent="0.3">
      <c r="A1197" s="15">
        <v>46209</v>
      </c>
      <c r="B1197" t="s">
        <v>34</v>
      </c>
      <c r="C1197" t="s">
        <v>152</v>
      </c>
      <c r="D1197" t="s">
        <v>153</v>
      </c>
      <c r="E1197" t="s">
        <v>154</v>
      </c>
      <c r="F1197" t="s">
        <v>96</v>
      </c>
      <c r="G1197" t="s">
        <v>82</v>
      </c>
      <c r="H1197" t="s">
        <v>139</v>
      </c>
      <c r="I1197" t="s">
        <v>358</v>
      </c>
      <c r="J1197">
        <v>2</v>
      </c>
      <c r="K1197" s="16">
        <v>52440</v>
      </c>
      <c r="L1197" s="16">
        <v>35846.33</v>
      </c>
      <c r="M1197" s="16">
        <v>16593.669999999998</v>
      </c>
      <c r="N1197" t="s">
        <v>125</v>
      </c>
      <c r="O1197" t="s">
        <v>113</v>
      </c>
      <c r="P1197" t="str">
        <f t="shared" si="18"/>
        <v>Coimbatore|Standing Desk</v>
      </c>
    </row>
    <row r="1198" spans="1:16" x14ac:dyDescent="0.3">
      <c r="A1198" s="15">
        <v>46102</v>
      </c>
      <c r="B1198" t="s">
        <v>34</v>
      </c>
      <c r="C1198" t="s">
        <v>126</v>
      </c>
      <c r="D1198" t="s">
        <v>196</v>
      </c>
      <c r="E1198" t="s">
        <v>197</v>
      </c>
      <c r="F1198" t="s">
        <v>97</v>
      </c>
      <c r="G1198" t="s">
        <v>86</v>
      </c>
      <c r="H1198" t="s">
        <v>129</v>
      </c>
      <c r="I1198" t="s">
        <v>111</v>
      </c>
      <c r="J1198">
        <v>16</v>
      </c>
      <c r="K1198" s="16">
        <v>104000</v>
      </c>
      <c r="L1198" s="16">
        <v>76953.740000000005</v>
      </c>
      <c r="M1198" s="16">
        <v>27046.26</v>
      </c>
      <c r="N1198" t="s">
        <v>131</v>
      </c>
      <c r="O1198" t="s">
        <v>113</v>
      </c>
      <c r="P1198" t="str">
        <f t="shared" si="18"/>
        <v>Dwarka|Coffee Maker</v>
      </c>
    </row>
    <row r="1199" spans="1:16" x14ac:dyDescent="0.3">
      <c r="A1199" s="15">
        <v>46161</v>
      </c>
      <c r="B1199" t="s">
        <v>34</v>
      </c>
      <c r="C1199" t="s">
        <v>107</v>
      </c>
      <c r="D1199" t="s">
        <v>149</v>
      </c>
      <c r="E1199" t="s">
        <v>159</v>
      </c>
      <c r="F1199" t="s">
        <v>96</v>
      </c>
      <c r="G1199" t="s">
        <v>83</v>
      </c>
      <c r="H1199" t="s">
        <v>184</v>
      </c>
      <c r="I1199" t="s">
        <v>273</v>
      </c>
      <c r="J1199">
        <v>7</v>
      </c>
      <c r="K1199" s="16">
        <v>221760</v>
      </c>
      <c r="L1199" s="16">
        <v>149902.29</v>
      </c>
      <c r="M1199" s="16">
        <v>71857.710000000006</v>
      </c>
      <c r="N1199" t="s">
        <v>112</v>
      </c>
      <c r="O1199" t="s">
        <v>113</v>
      </c>
      <c r="P1199" t="str">
        <f t="shared" si="18"/>
        <v>Pune|Meeting Table</v>
      </c>
    </row>
    <row r="1200" spans="1:16" x14ac:dyDescent="0.3">
      <c r="A1200" s="15">
        <v>46166</v>
      </c>
      <c r="B1200" t="s">
        <v>114</v>
      </c>
      <c r="C1200" t="s">
        <v>121</v>
      </c>
      <c r="D1200" t="s">
        <v>146</v>
      </c>
      <c r="E1200" t="s">
        <v>175</v>
      </c>
      <c r="F1200" t="s">
        <v>97</v>
      </c>
      <c r="G1200" t="s">
        <v>85</v>
      </c>
      <c r="H1200" t="s">
        <v>110</v>
      </c>
      <c r="I1200" t="s">
        <v>227</v>
      </c>
      <c r="J1200">
        <v>6</v>
      </c>
      <c r="K1200" s="16">
        <v>102600</v>
      </c>
      <c r="L1200" s="16">
        <v>79375.31</v>
      </c>
      <c r="M1200" s="16">
        <v>23224.69</v>
      </c>
      <c r="N1200" t="s">
        <v>131</v>
      </c>
      <c r="O1200" t="s">
        <v>142</v>
      </c>
      <c r="P1200" t="str">
        <f t="shared" si="18"/>
        <v>Dibrugarh|Air Purifier</v>
      </c>
    </row>
    <row r="1201" spans="1:16" x14ac:dyDescent="0.3">
      <c r="A1201" s="15">
        <v>46105</v>
      </c>
      <c r="B1201" t="s">
        <v>120</v>
      </c>
      <c r="C1201" t="s">
        <v>152</v>
      </c>
      <c r="D1201" t="s">
        <v>153</v>
      </c>
      <c r="E1201" t="s">
        <v>154</v>
      </c>
      <c r="F1201" t="s">
        <v>97</v>
      </c>
      <c r="G1201" t="s">
        <v>85</v>
      </c>
      <c r="H1201" t="s">
        <v>133</v>
      </c>
      <c r="I1201" t="s">
        <v>338</v>
      </c>
      <c r="J1201">
        <v>2</v>
      </c>
      <c r="K1201" s="16">
        <v>31680</v>
      </c>
      <c r="L1201" s="16">
        <v>22180.63</v>
      </c>
      <c r="M1201" s="16">
        <v>9499.3700000000008</v>
      </c>
      <c r="N1201" t="s">
        <v>141</v>
      </c>
      <c r="O1201" t="s">
        <v>119</v>
      </c>
      <c r="P1201" t="str">
        <f t="shared" si="18"/>
        <v>Coimbatore|Air Purifier</v>
      </c>
    </row>
    <row r="1202" spans="1:16" x14ac:dyDescent="0.3">
      <c r="A1202" s="15">
        <v>46126</v>
      </c>
      <c r="B1202" t="s">
        <v>34</v>
      </c>
      <c r="C1202" t="s">
        <v>121</v>
      </c>
      <c r="D1202" t="s">
        <v>122</v>
      </c>
      <c r="E1202" t="s">
        <v>166</v>
      </c>
      <c r="F1202" t="s">
        <v>97</v>
      </c>
      <c r="G1202" t="s">
        <v>87</v>
      </c>
      <c r="H1202" t="s">
        <v>173</v>
      </c>
      <c r="I1202" t="s">
        <v>327</v>
      </c>
      <c r="J1202">
        <v>20</v>
      </c>
      <c r="K1202" s="16">
        <v>250000</v>
      </c>
      <c r="L1202" s="16">
        <v>196241.89</v>
      </c>
      <c r="M1202" s="16">
        <v>53758.11</v>
      </c>
      <c r="N1202" t="s">
        <v>141</v>
      </c>
      <c r="O1202" t="s">
        <v>142</v>
      </c>
      <c r="P1202" t="str">
        <f t="shared" si="18"/>
        <v>Kolkata|Microwave</v>
      </c>
    </row>
    <row r="1203" spans="1:16" x14ac:dyDescent="0.3">
      <c r="A1203" s="15">
        <v>46170</v>
      </c>
      <c r="B1203" t="s">
        <v>34</v>
      </c>
      <c r="C1203" t="s">
        <v>126</v>
      </c>
      <c r="D1203" t="s">
        <v>127</v>
      </c>
      <c r="E1203" t="s">
        <v>128</v>
      </c>
      <c r="F1203" t="s">
        <v>97</v>
      </c>
      <c r="G1203" t="s">
        <v>87</v>
      </c>
      <c r="H1203" t="s">
        <v>135</v>
      </c>
      <c r="I1203" t="s">
        <v>232</v>
      </c>
      <c r="J1203">
        <v>15</v>
      </c>
      <c r="K1203" s="16">
        <v>187500</v>
      </c>
      <c r="L1203" s="16">
        <v>117340.71</v>
      </c>
      <c r="M1203" s="16">
        <v>70159.289999999994</v>
      </c>
      <c r="N1203" t="s">
        <v>141</v>
      </c>
      <c r="O1203" t="s">
        <v>113</v>
      </c>
      <c r="P1203" t="str">
        <f t="shared" si="18"/>
        <v>Gurugram|Microwave</v>
      </c>
    </row>
    <row r="1204" spans="1:16" x14ac:dyDescent="0.3">
      <c r="A1204" s="15">
        <v>46116</v>
      </c>
      <c r="B1204" t="s">
        <v>34</v>
      </c>
      <c r="C1204" t="s">
        <v>126</v>
      </c>
      <c r="D1204" t="s">
        <v>162</v>
      </c>
      <c r="E1204" t="s">
        <v>163</v>
      </c>
      <c r="F1204" t="s">
        <v>96</v>
      </c>
      <c r="G1204" t="s">
        <v>80</v>
      </c>
      <c r="H1204" t="s">
        <v>135</v>
      </c>
      <c r="I1204" t="s">
        <v>164</v>
      </c>
      <c r="J1204">
        <v>8</v>
      </c>
      <c r="K1204" s="16">
        <v>100000</v>
      </c>
      <c r="L1204" s="16">
        <v>70236.88</v>
      </c>
      <c r="M1204" s="16">
        <v>29763.119999999999</v>
      </c>
      <c r="N1204" t="s">
        <v>112</v>
      </c>
      <c r="O1204" t="s">
        <v>113</v>
      </c>
      <c r="P1204" t="str">
        <f t="shared" si="18"/>
        <v>Lucknow|Office Chair</v>
      </c>
    </row>
    <row r="1205" spans="1:16" x14ac:dyDescent="0.3">
      <c r="A1205" s="15">
        <v>46265</v>
      </c>
      <c r="B1205" t="s">
        <v>114</v>
      </c>
      <c r="C1205" t="s">
        <v>152</v>
      </c>
      <c r="D1205" t="s">
        <v>153</v>
      </c>
      <c r="E1205" t="s">
        <v>169</v>
      </c>
      <c r="F1205" t="s">
        <v>97</v>
      </c>
      <c r="G1205" t="s">
        <v>86</v>
      </c>
      <c r="H1205" t="s">
        <v>173</v>
      </c>
      <c r="I1205" t="s">
        <v>270</v>
      </c>
      <c r="J1205">
        <v>7</v>
      </c>
      <c r="K1205" s="16">
        <v>41860</v>
      </c>
      <c r="L1205" s="16">
        <v>26657.05</v>
      </c>
      <c r="M1205" s="16">
        <v>15202.95</v>
      </c>
      <c r="N1205" t="s">
        <v>125</v>
      </c>
      <c r="O1205" t="s">
        <v>113</v>
      </c>
      <c r="P1205" t="str">
        <f t="shared" si="18"/>
        <v>Chennai|Coffee Maker</v>
      </c>
    </row>
    <row r="1206" spans="1:16" x14ac:dyDescent="0.3">
      <c r="A1206" s="15">
        <v>46182</v>
      </c>
      <c r="B1206" t="s">
        <v>34</v>
      </c>
      <c r="C1206" t="s">
        <v>121</v>
      </c>
      <c r="D1206" t="s">
        <v>122</v>
      </c>
      <c r="E1206" t="s">
        <v>166</v>
      </c>
      <c r="F1206" t="s">
        <v>96</v>
      </c>
      <c r="G1206" t="s">
        <v>82</v>
      </c>
      <c r="H1206" t="s">
        <v>133</v>
      </c>
      <c r="I1206" t="s">
        <v>177</v>
      </c>
      <c r="J1206">
        <v>2</v>
      </c>
      <c r="K1206" s="16">
        <v>50160</v>
      </c>
      <c r="L1206" s="16">
        <v>40475.33</v>
      </c>
      <c r="M1206" s="16">
        <v>9684.67</v>
      </c>
      <c r="N1206" t="s">
        <v>112</v>
      </c>
      <c r="O1206" t="s">
        <v>119</v>
      </c>
      <c r="P1206" t="str">
        <f t="shared" si="18"/>
        <v>Kolkata|Standing Desk</v>
      </c>
    </row>
    <row r="1207" spans="1:16" x14ac:dyDescent="0.3">
      <c r="A1207" s="15">
        <v>46067</v>
      </c>
      <c r="B1207" t="s">
        <v>34</v>
      </c>
      <c r="C1207" t="s">
        <v>107</v>
      </c>
      <c r="D1207" t="s">
        <v>149</v>
      </c>
      <c r="E1207" t="s">
        <v>159</v>
      </c>
      <c r="F1207" t="s">
        <v>96</v>
      </c>
      <c r="G1207" t="s">
        <v>80</v>
      </c>
      <c r="H1207" t="s">
        <v>184</v>
      </c>
      <c r="I1207" t="s">
        <v>343</v>
      </c>
      <c r="J1207">
        <v>18</v>
      </c>
      <c r="K1207" s="16">
        <v>213750</v>
      </c>
      <c r="L1207" s="16">
        <v>157618.87</v>
      </c>
      <c r="M1207" s="16">
        <v>56131.13</v>
      </c>
      <c r="N1207" t="s">
        <v>112</v>
      </c>
      <c r="O1207" t="s">
        <v>119</v>
      </c>
      <c r="P1207" t="str">
        <f t="shared" si="18"/>
        <v>Pune|Office Chair</v>
      </c>
    </row>
    <row r="1208" spans="1:16" x14ac:dyDescent="0.3">
      <c r="A1208" s="15">
        <v>46117</v>
      </c>
      <c r="B1208" t="s">
        <v>34</v>
      </c>
      <c r="C1208" t="s">
        <v>126</v>
      </c>
      <c r="D1208" t="s">
        <v>162</v>
      </c>
      <c r="E1208" t="s">
        <v>204</v>
      </c>
      <c r="F1208" t="s">
        <v>96</v>
      </c>
      <c r="G1208" t="s">
        <v>80</v>
      </c>
      <c r="H1208" t="s">
        <v>135</v>
      </c>
      <c r="I1208" t="s">
        <v>183</v>
      </c>
      <c r="J1208">
        <v>17</v>
      </c>
      <c r="K1208" s="16">
        <v>212500</v>
      </c>
      <c r="L1208" s="16">
        <v>161202.09</v>
      </c>
      <c r="M1208" s="16">
        <v>51297.91</v>
      </c>
      <c r="N1208" t="s">
        <v>125</v>
      </c>
      <c r="O1208" t="s">
        <v>113</v>
      </c>
      <c r="P1208" t="str">
        <f t="shared" si="18"/>
        <v>Noida|Office Chair</v>
      </c>
    </row>
    <row r="1209" spans="1:16" x14ac:dyDescent="0.3">
      <c r="A1209" s="15">
        <v>46045</v>
      </c>
      <c r="B1209" t="s">
        <v>114</v>
      </c>
      <c r="C1209" t="s">
        <v>107</v>
      </c>
      <c r="D1209" t="s">
        <v>108</v>
      </c>
      <c r="E1209" t="s">
        <v>132</v>
      </c>
      <c r="F1209" t="s">
        <v>97</v>
      </c>
      <c r="G1209" t="s">
        <v>88</v>
      </c>
      <c r="H1209" t="s">
        <v>117</v>
      </c>
      <c r="I1209" t="s">
        <v>296</v>
      </c>
      <c r="J1209">
        <v>16</v>
      </c>
      <c r="K1209" s="16">
        <v>232000</v>
      </c>
      <c r="L1209" s="16">
        <v>147993.24</v>
      </c>
      <c r="M1209" s="16">
        <v>84006.76</v>
      </c>
      <c r="N1209" t="s">
        <v>141</v>
      </c>
      <c r="O1209" t="s">
        <v>113</v>
      </c>
      <c r="P1209" t="str">
        <f t="shared" si="18"/>
        <v>Jaipur|Vacuum Cleaner</v>
      </c>
    </row>
    <row r="1210" spans="1:16" x14ac:dyDescent="0.3">
      <c r="A1210" s="15">
        <v>46074</v>
      </c>
      <c r="B1210" t="s">
        <v>34</v>
      </c>
      <c r="C1210" t="s">
        <v>107</v>
      </c>
      <c r="D1210" t="s">
        <v>115</v>
      </c>
      <c r="E1210" t="s">
        <v>191</v>
      </c>
      <c r="F1210" t="s">
        <v>94</v>
      </c>
      <c r="G1210" t="s">
        <v>64</v>
      </c>
      <c r="H1210" t="s">
        <v>173</v>
      </c>
      <c r="I1210" t="s">
        <v>341</v>
      </c>
      <c r="J1210">
        <v>10</v>
      </c>
      <c r="K1210" s="16">
        <v>210000</v>
      </c>
      <c r="L1210" s="16">
        <v>147790.69</v>
      </c>
      <c r="M1210" s="16">
        <v>62209.31</v>
      </c>
      <c r="N1210" t="s">
        <v>112</v>
      </c>
      <c r="O1210" t="s">
        <v>113</v>
      </c>
      <c r="P1210" t="str">
        <f t="shared" si="18"/>
        <v>Surat|Monitor 27</v>
      </c>
    </row>
    <row r="1211" spans="1:16" x14ac:dyDescent="0.3">
      <c r="A1211" s="15">
        <v>46234</v>
      </c>
      <c r="B1211" t="s">
        <v>34</v>
      </c>
      <c r="C1211" t="s">
        <v>126</v>
      </c>
      <c r="D1211" t="s">
        <v>196</v>
      </c>
      <c r="E1211" t="s">
        <v>208</v>
      </c>
      <c r="F1211" t="s">
        <v>94</v>
      </c>
      <c r="G1211" t="s">
        <v>61</v>
      </c>
      <c r="H1211" t="s">
        <v>135</v>
      </c>
      <c r="I1211" t="s">
        <v>374</v>
      </c>
      <c r="J1211">
        <v>9</v>
      </c>
      <c r="K1211" s="16">
        <v>617760</v>
      </c>
      <c r="L1211" s="16">
        <v>466005.14</v>
      </c>
      <c r="M1211" s="16">
        <v>151754.85999999999</v>
      </c>
      <c r="N1211" t="s">
        <v>131</v>
      </c>
      <c r="O1211" t="s">
        <v>142</v>
      </c>
      <c r="P1211" t="str">
        <f t="shared" si="18"/>
        <v>New Delhi|Laptop Pro</v>
      </c>
    </row>
    <row r="1212" spans="1:16" x14ac:dyDescent="0.3">
      <c r="A1212" s="15">
        <v>46116</v>
      </c>
      <c r="B1212" t="s">
        <v>34</v>
      </c>
      <c r="C1212" t="s">
        <v>121</v>
      </c>
      <c r="D1212" t="s">
        <v>146</v>
      </c>
      <c r="E1212" t="s">
        <v>175</v>
      </c>
      <c r="F1212" t="s">
        <v>94</v>
      </c>
      <c r="G1212" t="s">
        <v>70</v>
      </c>
      <c r="H1212" t="s">
        <v>173</v>
      </c>
      <c r="I1212" t="s">
        <v>231</v>
      </c>
      <c r="J1212">
        <v>7</v>
      </c>
      <c r="K1212" s="16">
        <v>99820</v>
      </c>
      <c r="L1212" s="16">
        <v>78491.55</v>
      </c>
      <c r="M1212" s="16">
        <v>21328.45</v>
      </c>
      <c r="N1212" t="s">
        <v>141</v>
      </c>
      <c r="O1212" t="s">
        <v>113</v>
      </c>
      <c r="P1212" t="str">
        <f t="shared" si="18"/>
        <v>Dibrugarh|Printer Pro</v>
      </c>
    </row>
    <row r="1213" spans="1:16" x14ac:dyDescent="0.3">
      <c r="A1213" s="15">
        <v>46053</v>
      </c>
      <c r="B1213" t="s">
        <v>34</v>
      </c>
      <c r="C1213" t="s">
        <v>121</v>
      </c>
      <c r="D1213" t="s">
        <v>137</v>
      </c>
      <c r="E1213" t="s">
        <v>171</v>
      </c>
      <c r="F1213" t="s">
        <v>94</v>
      </c>
      <c r="G1213" t="s">
        <v>67</v>
      </c>
      <c r="H1213" t="s">
        <v>173</v>
      </c>
      <c r="I1213" t="s">
        <v>347</v>
      </c>
      <c r="J1213">
        <v>9</v>
      </c>
      <c r="K1213" s="16">
        <v>282150</v>
      </c>
      <c r="L1213" s="16">
        <v>227804.63</v>
      </c>
      <c r="M1213" s="16">
        <v>54345.37</v>
      </c>
      <c r="N1213" t="s">
        <v>112</v>
      </c>
      <c r="O1213" t="s">
        <v>113</v>
      </c>
      <c r="P1213" t="str">
        <f t="shared" si="18"/>
        <v>Bhubaneswar|Tablet X</v>
      </c>
    </row>
    <row r="1214" spans="1:16" x14ac:dyDescent="0.3">
      <c r="A1214" s="15">
        <v>46203</v>
      </c>
      <c r="B1214" t="s">
        <v>120</v>
      </c>
      <c r="C1214" t="s">
        <v>152</v>
      </c>
      <c r="D1214" t="s">
        <v>153</v>
      </c>
      <c r="E1214" t="s">
        <v>169</v>
      </c>
      <c r="F1214" t="s">
        <v>97</v>
      </c>
      <c r="G1214" t="s">
        <v>88</v>
      </c>
      <c r="H1214" t="s">
        <v>184</v>
      </c>
      <c r="I1214" t="s">
        <v>201</v>
      </c>
      <c r="J1214">
        <v>9</v>
      </c>
      <c r="K1214" s="16">
        <v>114840</v>
      </c>
      <c r="L1214" s="16">
        <v>88572.82</v>
      </c>
      <c r="M1214" s="16">
        <v>26267.18</v>
      </c>
      <c r="N1214" t="s">
        <v>125</v>
      </c>
      <c r="O1214" t="s">
        <v>113</v>
      </c>
      <c r="P1214" t="str">
        <f t="shared" si="18"/>
        <v>Chennai|Vacuum Cleaner</v>
      </c>
    </row>
    <row r="1215" spans="1:16" x14ac:dyDescent="0.3">
      <c r="A1215" s="15">
        <v>46258</v>
      </c>
      <c r="B1215" t="s">
        <v>120</v>
      </c>
      <c r="C1215" t="s">
        <v>152</v>
      </c>
      <c r="D1215" t="s">
        <v>153</v>
      </c>
      <c r="E1215" t="s">
        <v>154</v>
      </c>
      <c r="F1215" t="s">
        <v>97</v>
      </c>
      <c r="G1215" t="s">
        <v>86</v>
      </c>
      <c r="H1215" t="s">
        <v>184</v>
      </c>
      <c r="I1215" t="s">
        <v>283</v>
      </c>
      <c r="J1215">
        <v>19</v>
      </c>
      <c r="K1215" s="16">
        <v>113620</v>
      </c>
      <c r="L1215" s="16">
        <v>90892.08</v>
      </c>
      <c r="M1215" s="16">
        <v>22727.919999999998</v>
      </c>
      <c r="N1215" t="s">
        <v>141</v>
      </c>
      <c r="O1215" t="s">
        <v>113</v>
      </c>
      <c r="P1215" t="str">
        <f t="shared" si="18"/>
        <v>Coimbatore|Coffee Maker</v>
      </c>
    </row>
    <row r="1216" spans="1:16" x14ac:dyDescent="0.3">
      <c r="A1216" s="15">
        <v>46257</v>
      </c>
      <c r="B1216" t="s">
        <v>34</v>
      </c>
      <c r="C1216" t="s">
        <v>126</v>
      </c>
      <c r="D1216" t="s">
        <v>162</v>
      </c>
      <c r="E1216" t="s">
        <v>204</v>
      </c>
      <c r="F1216" t="s">
        <v>96</v>
      </c>
      <c r="G1216" t="s">
        <v>82</v>
      </c>
      <c r="H1216" t="s">
        <v>139</v>
      </c>
      <c r="I1216" t="s">
        <v>155</v>
      </c>
      <c r="J1216">
        <v>13</v>
      </c>
      <c r="K1216" s="16">
        <v>370500</v>
      </c>
      <c r="L1216" s="16">
        <v>271694.26</v>
      </c>
      <c r="M1216" s="16">
        <v>98805.74</v>
      </c>
      <c r="N1216" t="s">
        <v>131</v>
      </c>
      <c r="O1216" t="s">
        <v>113</v>
      </c>
      <c r="P1216" t="str">
        <f t="shared" si="18"/>
        <v>Noida|Standing Desk</v>
      </c>
    </row>
    <row r="1217" spans="1:16" x14ac:dyDescent="0.3">
      <c r="A1217" s="15">
        <v>46048</v>
      </c>
      <c r="B1217" t="s">
        <v>34</v>
      </c>
      <c r="C1217" t="s">
        <v>152</v>
      </c>
      <c r="D1217" t="s">
        <v>187</v>
      </c>
      <c r="E1217" t="s">
        <v>199</v>
      </c>
      <c r="F1217" t="s">
        <v>97</v>
      </c>
      <c r="G1217" t="s">
        <v>85</v>
      </c>
      <c r="H1217" t="s">
        <v>135</v>
      </c>
      <c r="I1217" t="s">
        <v>411</v>
      </c>
      <c r="J1217">
        <v>17</v>
      </c>
      <c r="K1217" s="16">
        <v>306000</v>
      </c>
      <c r="L1217" s="16">
        <v>194771.63</v>
      </c>
      <c r="M1217" s="16">
        <v>111228.37</v>
      </c>
      <c r="N1217" t="s">
        <v>112</v>
      </c>
      <c r="O1217" t="s">
        <v>119</v>
      </c>
      <c r="P1217" t="str">
        <f t="shared" si="18"/>
        <v>Hyderabad|Air Purifier</v>
      </c>
    </row>
    <row r="1218" spans="1:16" x14ac:dyDescent="0.3">
      <c r="A1218" s="15">
        <v>46203</v>
      </c>
      <c r="B1218" t="s">
        <v>120</v>
      </c>
      <c r="C1218" t="s">
        <v>126</v>
      </c>
      <c r="D1218" t="s">
        <v>196</v>
      </c>
      <c r="E1218" t="s">
        <v>208</v>
      </c>
      <c r="F1218" t="s">
        <v>95</v>
      </c>
      <c r="G1218" t="s">
        <v>74</v>
      </c>
      <c r="H1218" t="s">
        <v>139</v>
      </c>
      <c r="I1218" t="s">
        <v>301</v>
      </c>
      <c r="J1218">
        <v>18</v>
      </c>
      <c r="K1218" s="16">
        <v>86400</v>
      </c>
      <c r="L1218" s="16">
        <v>60675.99</v>
      </c>
      <c r="M1218" s="16">
        <v>25724.01</v>
      </c>
      <c r="N1218" t="s">
        <v>112</v>
      </c>
      <c r="O1218" t="s">
        <v>113</v>
      </c>
      <c r="P1218" t="str">
        <f t="shared" si="18"/>
        <v>New Delhi|Headset</v>
      </c>
    </row>
    <row r="1219" spans="1:16" x14ac:dyDescent="0.3">
      <c r="A1219" s="15">
        <v>46187</v>
      </c>
      <c r="B1219" t="s">
        <v>34</v>
      </c>
      <c r="C1219" t="s">
        <v>126</v>
      </c>
      <c r="D1219" t="s">
        <v>127</v>
      </c>
      <c r="E1219" t="s">
        <v>128</v>
      </c>
      <c r="F1219" t="s">
        <v>94</v>
      </c>
      <c r="G1219" t="s">
        <v>61</v>
      </c>
      <c r="H1219" t="s">
        <v>173</v>
      </c>
      <c r="I1219" t="s">
        <v>223</v>
      </c>
      <c r="J1219">
        <v>1</v>
      </c>
      <c r="K1219" s="16">
        <v>75660</v>
      </c>
      <c r="L1219" s="16">
        <v>53407.26</v>
      </c>
      <c r="M1219" s="16">
        <v>22252.74</v>
      </c>
      <c r="N1219" t="s">
        <v>112</v>
      </c>
      <c r="O1219" t="s">
        <v>113</v>
      </c>
      <c r="P1219" t="str">
        <f t="shared" si="18"/>
        <v>Gurugram|Laptop Pro</v>
      </c>
    </row>
    <row r="1220" spans="1:16" x14ac:dyDescent="0.3">
      <c r="A1220" s="15">
        <v>46054</v>
      </c>
      <c r="B1220" t="s">
        <v>120</v>
      </c>
      <c r="C1220" t="s">
        <v>152</v>
      </c>
      <c r="D1220" t="s">
        <v>153</v>
      </c>
      <c r="E1220" t="s">
        <v>154</v>
      </c>
      <c r="F1220" t="s">
        <v>96</v>
      </c>
      <c r="G1220" t="s">
        <v>84</v>
      </c>
      <c r="H1220" t="s">
        <v>117</v>
      </c>
      <c r="I1220" t="s">
        <v>383</v>
      </c>
      <c r="J1220">
        <v>4</v>
      </c>
      <c r="K1220" s="16">
        <v>58000</v>
      </c>
      <c r="L1220" s="16">
        <v>44808.74</v>
      </c>
      <c r="M1220" s="16">
        <v>13191.26</v>
      </c>
      <c r="N1220" t="s">
        <v>141</v>
      </c>
      <c r="O1220" t="s">
        <v>119</v>
      </c>
      <c r="P1220" t="str">
        <f t="shared" si="18"/>
        <v>Coimbatore|Filing Cabinet</v>
      </c>
    </row>
    <row r="1221" spans="1:16" x14ac:dyDescent="0.3">
      <c r="A1221" s="15">
        <v>46103</v>
      </c>
      <c r="B1221" t="s">
        <v>34</v>
      </c>
      <c r="C1221" t="s">
        <v>107</v>
      </c>
      <c r="D1221" t="s">
        <v>115</v>
      </c>
      <c r="E1221" t="s">
        <v>116</v>
      </c>
      <c r="F1221" t="s">
        <v>94</v>
      </c>
      <c r="G1221" t="s">
        <v>67</v>
      </c>
      <c r="H1221" t="s">
        <v>129</v>
      </c>
      <c r="I1221" t="s">
        <v>375</v>
      </c>
      <c r="J1221">
        <v>11</v>
      </c>
      <c r="K1221" s="16">
        <v>352110</v>
      </c>
      <c r="L1221" s="16">
        <v>234506.82</v>
      </c>
      <c r="M1221" s="16">
        <v>117603.18</v>
      </c>
      <c r="N1221" t="s">
        <v>131</v>
      </c>
      <c r="O1221" t="s">
        <v>113</v>
      </c>
      <c r="P1221" t="str">
        <f t="shared" ref="P1221:P1284" si="19">E1221&amp;"|"&amp;G1221</f>
        <v>Ahmedabad|Tablet X</v>
      </c>
    </row>
    <row r="1222" spans="1:16" x14ac:dyDescent="0.3">
      <c r="A1222" s="15">
        <v>46167</v>
      </c>
      <c r="B1222" t="s">
        <v>34</v>
      </c>
      <c r="C1222" t="s">
        <v>126</v>
      </c>
      <c r="D1222" t="s">
        <v>196</v>
      </c>
      <c r="E1222" t="s">
        <v>197</v>
      </c>
      <c r="F1222" t="s">
        <v>97</v>
      </c>
      <c r="G1222" t="s">
        <v>87</v>
      </c>
      <c r="H1222" t="s">
        <v>184</v>
      </c>
      <c r="I1222" t="s">
        <v>372</v>
      </c>
      <c r="J1222">
        <v>18</v>
      </c>
      <c r="K1222" s="16">
        <v>198000</v>
      </c>
      <c r="L1222" s="16">
        <v>143520.21</v>
      </c>
      <c r="M1222" s="16">
        <v>54479.79</v>
      </c>
      <c r="N1222" t="s">
        <v>141</v>
      </c>
      <c r="O1222" t="s">
        <v>113</v>
      </c>
      <c r="P1222" t="str">
        <f t="shared" si="19"/>
        <v>Dwarka|Microwave</v>
      </c>
    </row>
    <row r="1223" spans="1:16" x14ac:dyDescent="0.3">
      <c r="A1223" s="15">
        <v>46239</v>
      </c>
      <c r="B1223" t="s">
        <v>34</v>
      </c>
      <c r="C1223" t="s">
        <v>152</v>
      </c>
      <c r="D1223" t="s">
        <v>153</v>
      </c>
      <c r="E1223" t="s">
        <v>169</v>
      </c>
      <c r="F1223" t="s">
        <v>94</v>
      </c>
      <c r="G1223" t="s">
        <v>70</v>
      </c>
      <c r="H1223" t="s">
        <v>139</v>
      </c>
      <c r="I1223" t="s">
        <v>371</v>
      </c>
      <c r="J1223">
        <v>14</v>
      </c>
      <c r="K1223" s="16">
        <v>210490</v>
      </c>
      <c r="L1223" s="16">
        <v>171423.89</v>
      </c>
      <c r="M1223" s="16">
        <v>39066.11</v>
      </c>
      <c r="N1223" t="s">
        <v>141</v>
      </c>
      <c r="O1223" t="s">
        <v>113</v>
      </c>
      <c r="P1223" t="str">
        <f t="shared" si="19"/>
        <v>Chennai|Printer Pro</v>
      </c>
    </row>
    <row r="1224" spans="1:16" x14ac:dyDescent="0.3">
      <c r="A1224" s="15">
        <v>46073</v>
      </c>
      <c r="B1224" t="s">
        <v>34</v>
      </c>
      <c r="C1224" t="s">
        <v>152</v>
      </c>
      <c r="D1224" t="s">
        <v>187</v>
      </c>
      <c r="E1224" t="s">
        <v>199</v>
      </c>
      <c r="F1224" t="s">
        <v>94</v>
      </c>
      <c r="G1224" t="s">
        <v>70</v>
      </c>
      <c r="H1224" t="s">
        <v>139</v>
      </c>
      <c r="I1224" t="s">
        <v>265</v>
      </c>
      <c r="J1224">
        <v>19</v>
      </c>
      <c r="K1224" s="16">
        <v>279775</v>
      </c>
      <c r="L1224" s="16">
        <v>200432.43</v>
      </c>
      <c r="M1224" s="16">
        <v>79342.570000000007</v>
      </c>
      <c r="N1224" t="s">
        <v>131</v>
      </c>
      <c r="O1224" t="s">
        <v>113</v>
      </c>
      <c r="P1224" t="str">
        <f t="shared" si="19"/>
        <v>Hyderabad|Printer Pro</v>
      </c>
    </row>
    <row r="1225" spans="1:16" x14ac:dyDescent="0.3">
      <c r="A1225" s="15">
        <v>46067</v>
      </c>
      <c r="B1225" t="s">
        <v>120</v>
      </c>
      <c r="C1225" t="s">
        <v>107</v>
      </c>
      <c r="D1225" t="s">
        <v>108</v>
      </c>
      <c r="E1225" t="s">
        <v>132</v>
      </c>
      <c r="F1225" t="s">
        <v>97</v>
      </c>
      <c r="G1225" t="s">
        <v>87</v>
      </c>
      <c r="H1225" t="s">
        <v>133</v>
      </c>
      <c r="I1225" t="s">
        <v>248</v>
      </c>
      <c r="J1225">
        <v>1</v>
      </c>
      <c r="K1225" s="16">
        <v>12500</v>
      </c>
      <c r="L1225" s="16">
        <v>8544.07</v>
      </c>
      <c r="M1225" s="16">
        <v>3955.93</v>
      </c>
      <c r="N1225" t="s">
        <v>112</v>
      </c>
      <c r="O1225" t="s">
        <v>113</v>
      </c>
      <c r="P1225" t="str">
        <f t="shared" si="19"/>
        <v>Jaipur|Microwave</v>
      </c>
    </row>
    <row r="1226" spans="1:16" x14ac:dyDescent="0.3">
      <c r="A1226" s="15">
        <v>46114</v>
      </c>
      <c r="B1226" t="s">
        <v>34</v>
      </c>
      <c r="C1226" t="s">
        <v>121</v>
      </c>
      <c r="D1226" t="s">
        <v>137</v>
      </c>
      <c r="E1226" t="s">
        <v>138</v>
      </c>
      <c r="F1226" t="s">
        <v>96</v>
      </c>
      <c r="G1226" t="s">
        <v>84</v>
      </c>
      <c r="H1226" t="s">
        <v>173</v>
      </c>
      <c r="I1226" t="s">
        <v>235</v>
      </c>
      <c r="J1226">
        <v>14</v>
      </c>
      <c r="K1226" s="16">
        <v>192850</v>
      </c>
      <c r="L1226" s="16">
        <v>140651.73000000001</v>
      </c>
      <c r="M1226" s="16">
        <v>52198.27</v>
      </c>
      <c r="N1226" t="s">
        <v>141</v>
      </c>
      <c r="O1226" t="s">
        <v>119</v>
      </c>
      <c r="P1226" t="str">
        <f t="shared" si="19"/>
        <v>Cuttack|Filing Cabinet</v>
      </c>
    </row>
    <row r="1227" spans="1:16" x14ac:dyDescent="0.3">
      <c r="A1227" s="15">
        <v>46093</v>
      </c>
      <c r="B1227" t="s">
        <v>34</v>
      </c>
      <c r="C1227" t="s">
        <v>121</v>
      </c>
      <c r="D1227" t="s">
        <v>137</v>
      </c>
      <c r="E1227" t="s">
        <v>171</v>
      </c>
      <c r="F1227" t="s">
        <v>95</v>
      </c>
      <c r="G1227" t="s">
        <v>72</v>
      </c>
      <c r="H1227" t="s">
        <v>184</v>
      </c>
      <c r="I1227" t="s">
        <v>301</v>
      </c>
      <c r="J1227">
        <v>8</v>
      </c>
      <c r="K1227" s="16">
        <v>22528</v>
      </c>
      <c r="L1227" s="16">
        <v>14696.81</v>
      </c>
      <c r="M1227" s="16">
        <v>7831.19</v>
      </c>
      <c r="N1227" t="s">
        <v>112</v>
      </c>
      <c r="O1227" t="s">
        <v>113</v>
      </c>
      <c r="P1227" t="str">
        <f t="shared" si="19"/>
        <v>Bhubaneswar|Keyboard</v>
      </c>
    </row>
    <row r="1228" spans="1:16" x14ac:dyDescent="0.3">
      <c r="A1228" s="15">
        <v>46078</v>
      </c>
      <c r="B1228" t="s">
        <v>34</v>
      </c>
      <c r="C1228" t="s">
        <v>107</v>
      </c>
      <c r="D1228" t="s">
        <v>108</v>
      </c>
      <c r="E1228" t="s">
        <v>132</v>
      </c>
      <c r="F1228" t="s">
        <v>97</v>
      </c>
      <c r="G1228" t="s">
        <v>88</v>
      </c>
      <c r="H1228" t="s">
        <v>110</v>
      </c>
      <c r="I1228" t="s">
        <v>295</v>
      </c>
      <c r="J1228">
        <v>3</v>
      </c>
      <c r="K1228" s="16">
        <v>43500</v>
      </c>
      <c r="L1228" s="16">
        <v>32303.68</v>
      </c>
      <c r="M1228" s="16">
        <v>11196.32</v>
      </c>
      <c r="N1228" t="s">
        <v>141</v>
      </c>
      <c r="O1228" t="s">
        <v>119</v>
      </c>
      <c r="P1228" t="str">
        <f t="shared" si="19"/>
        <v>Jaipur|Vacuum Cleaner</v>
      </c>
    </row>
    <row r="1229" spans="1:16" x14ac:dyDescent="0.3">
      <c r="A1229" s="15">
        <v>46188</v>
      </c>
      <c r="B1229" t="s">
        <v>114</v>
      </c>
      <c r="C1229" t="s">
        <v>126</v>
      </c>
      <c r="D1229" t="s">
        <v>162</v>
      </c>
      <c r="E1229" t="s">
        <v>163</v>
      </c>
      <c r="F1229" t="s">
        <v>96</v>
      </c>
      <c r="G1229" t="s">
        <v>84</v>
      </c>
      <c r="H1229" t="s">
        <v>184</v>
      </c>
      <c r="I1229" t="s">
        <v>258</v>
      </c>
      <c r="J1229">
        <v>16</v>
      </c>
      <c r="K1229" s="16">
        <v>213440</v>
      </c>
      <c r="L1229" s="16">
        <v>142448.12</v>
      </c>
      <c r="M1229" s="16">
        <v>70991.88</v>
      </c>
      <c r="N1229" t="s">
        <v>112</v>
      </c>
      <c r="O1229" t="s">
        <v>113</v>
      </c>
      <c r="P1229" t="str">
        <f t="shared" si="19"/>
        <v>Lucknow|Filing Cabinet</v>
      </c>
    </row>
    <row r="1230" spans="1:16" x14ac:dyDescent="0.3">
      <c r="A1230" s="15">
        <v>46218</v>
      </c>
      <c r="B1230" t="s">
        <v>34</v>
      </c>
      <c r="C1230" t="s">
        <v>107</v>
      </c>
      <c r="D1230" t="s">
        <v>115</v>
      </c>
      <c r="E1230" t="s">
        <v>191</v>
      </c>
      <c r="F1230" t="s">
        <v>94</v>
      </c>
      <c r="G1230" t="s">
        <v>67</v>
      </c>
      <c r="H1230" t="s">
        <v>184</v>
      </c>
      <c r="I1230" t="s">
        <v>306</v>
      </c>
      <c r="J1230">
        <v>12</v>
      </c>
      <c r="K1230" s="16">
        <v>364320</v>
      </c>
      <c r="L1230" s="16">
        <v>255462.32</v>
      </c>
      <c r="M1230" s="16">
        <v>108857.68</v>
      </c>
      <c r="N1230" t="s">
        <v>125</v>
      </c>
      <c r="O1230" t="s">
        <v>142</v>
      </c>
      <c r="P1230" t="str">
        <f t="shared" si="19"/>
        <v>Surat|Tablet X</v>
      </c>
    </row>
    <row r="1231" spans="1:16" x14ac:dyDescent="0.3">
      <c r="A1231" s="15">
        <v>46252</v>
      </c>
      <c r="B1231" t="s">
        <v>34</v>
      </c>
      <c r="C1231" t="s">
        <v>126</v>
      </c>
      <c r="D1231" t="s">
        <v>162</v>
      </c>
      <c r="E1231" t="s">
        <v>204</v>
      </c>
      <c r="F1231" t="s">
        <v>95</v>
      </c>
      <c r="G1231" t="s">
        <v>78</v>
      </c>
      <c r="H1231" t="s">
        <v>110</v>
      </c>
      <c r="I1231" t="s">
        <v>262</v>
      </c>
      <c r="J1231">
        <v>15</v>
      </c>
      <c r="K1231" s="16">
        <v>55440</v>
      </c>
      <c r="L1231" s="16">
        <v>40407.449999999997</v>
      </c>
      <c r="M1231" s="16">
        <v>15032.55</v>
      </c>
      <c r="N1231" t="s">
        <v>112</v>
      </c>
      <c r="O1231" t="s">
        <v>113</v>
      </c>
      <c r="P1231" t="str">
        <f t="shared" si="19"/>
        <v>Noida|Webcam</v>
      </c>
    </row>
    <row r="1232" spans="1:16" x14ac:dyDescent="0.3">
      <c r="A1232" s="15">
        <v>46241</v>
      </c>
      <c r="B1232" t="s">
        <v>114</v>
      </c>
      <c r="C1232" t="s">
        <v>121</v>
      </c>
      <c r="D1232" t="s">
        <v>122</v>
      </c>
      <c r="E1232" t="s">
        <v>166</v>
      </c>
      <c r="F1232" t="s">
        <v>94</v>
      </c>
      <c r="G1232" t="s">
        <v>67</v>
      </c>
      <c r="H1232" t="s">
        <v>184</v>
      </c>
      <c r="I1232" t="s">
        <v>325</v>
      </c>
      <c r="J1232">
        <v>20</v>
      </c>
      <c r="K1232" s="16">
        <v>607200</v>
      </c>
      <c r="L1232" s="16">
        <v>397197.67</v>
      </c>
      <c r="M1232" s="16">
        <v>210002.33</v>
      </c>
      <c r="N1232" t="s">
        <v>112</v>
      </c>
      <c r="O1232" t="s">
        <v>113</v>
      </c>
      <c r="P1232" t="str">
        <f t="shared" si="19"/>
        <v>Kolkata|Tablet X</v>
      </c>
    </row>
    <row r="1233" spans="1:16" x14ac:dyDescent="0.3">
      <c r="A1233" s="15">
        <v>46054</v>
      </c>
      <c r="B1233" t="s">
        <v>34</v>
      </c>
      <c r="C1233" t="s">
        <v>121</v>
      </c>
      <c r="D1233" t="s">
        <v>122</v>
      </c>
      <c r="E1233" t="s">
        <v>123</v>
      </c>
      <c r="F1233" t="s">
        <v>97</v>
      </c>
      <c r="G1233" t="s">
        <v>87</v>
      </c>
      <c r="H1233" t="s">
        <v>117</v>
      </c>
      <c r="I1233" t="s">
        <v>318</v>
      </c>
      <c r="J1233">
        <v>19</v>
      </c>
      <c r="K1233" s="16">
        <v>218500</v>
      </c>
      <c r="L1233" s="16">
        <v>152808.1</v>
      </c>
      <c r="M1233" s="16">
        <v>65691.899999999994</v>
      </c>
      <c r="N1233" t="s">
        <v>125</v>
      </c>
      <c r="O1233" t="s">
        <v>113</v>
      </c>
      <c r="P1233" t="str">
        <f t="shared" si="19"/>
        <v>Durgapur|Microwave</v>
      </c>
    </row>
    <row r="1234" spans="1:16" x14ac:dyDescent="0.3">
      <c r="A1234" s="15">
        <v>46246</v>
      </c>
      <c r="B1234" t="s">
        <v>34</v>
      </c>
      <c r="C1234" t="s">
        <v>152</v>
      </c>
      <c r="D1234" t="s">
        <v>153</v>
      </c>
      <c r="E1234" t="s">
        <v>169</v>
      </c>
      <c r="F1234" t="s">
        <v>95</v>
      </c>
      <c r="G1234" t="s">
        <v>78</v>
      </c>
      <c r="H1234" t="s">
        <v>129</v>
      </c>
      <c r="I1234" t="s">
        <v>136</v>
      </c>
      <c r="J1234">
        <v>8</v>
      </c>
      <c r="K1234" s="16">
        <v>33600</v>
      </c>
      <c r="L1234" s="16">
        <v>24237.03</v>
      </c>
      <c r="M1234" s="16">
        <v>9362.9699999999993</v>
      </c>
      <c r="N1234" t="s">
        <v>112</v>
      </c>
      <c r="O1234" t="s">
        <v>113</v>
      </c>
      <c r="P1234" t="str">
        <f t="shared" si="19"/>
        <v>Chennai|Webcam</v>
      </c>
    </row>
    <row r="1235" spans="1:16" x14ac:dyDescent="0.3">
      <c r="A1235" s="15">
        <v>46070</v>
      </c>
      <c r="B1235" t="s">
        <v>34</v>
      </c>
      <c r="C1235" t="s">
        <v>107</v>
      </c>
      <c r="D1235" t="s">
        <v>108</v>
      </c>
      <c r="E1235" t="s">
        <v>109</v>
      </c>
      <c r="F1235" t="s">
        <v>94</v>
      </c>
      <c r="G1235" t="s">
        <v>70</v>
      </c>
      <c r="H1235" t="s">
        <v>129</v>
      </c>
      <c r="I1235" t="s">
        <v>342</v>
      </c>
      <c r="J1235">
        <v>3</v>
      </c>
      <c r="K1235" s="16">
        <v>44175</v>
      </c>
      <c r="L1235" s="16">
        <v>30609.58</v>
      </c>
      <c r="M1235" s="16">
        <v>13565.42</v>
      </c>
      <c r="N1235" t="s">
        <v>141</v>
      </c>
      <c r="O1235" t="s">
        <v>113</v>
      </c>
      <c r="P1235" t="str">
        <f t="shared" si="19"/>
        <v>Udaipur|Printer Pro</v>
      </c>
    </row>
    <row r="1236" spans="1:16" x14ac:dyDescent="0.3">
      <c r="A1236" s="15">
        <v>46211</v>
      </c>
      <c r="B1236" t="s">
        <v>120</v>
      </c>
      <c r="C1236" t="s">
        <v>152</v>
      </c>
      <c r="D1236" t="s">
        <v>187</v>
      </c>
      <c r="E1236" t="s">
        <v>188</v>
      </c>
      <c r="F1236" t="s">
        <v>96</v>
      </c>
      <c r="G1236" t="s">
        <v>84</v>
      </c>
      <c r="H1236" t="s">
        <v>133</v>
      </c>
      <c r="I1236" t="s">
        <v>268</v>
      </c>
      <c r="J1236">
        <v>11</v>
      </c>
      <c r="K1236" s="16">
        <v>159500</v>
      </c>
      <c r="L1236" s="16">
        <v>101415.62</v>
      </c>
      <c r="M1236" s="16">
        <v>58084.38</v>
      </c>
      <c r="N1236" t="s">
        <v>112</v>
      </c>
      <c r="O1236" t="s">
        <v>113</v>
      </c>
      <c r="P1236" t="str">
        <f t="shared" si="19"/>
        <v>Warangal|Filing Cabinet</v>
      </c>
    </row>
    <row r="1237" spans="1:16" x14ac:dyDescent="0.3">
      <c r="A1237" s="15">
        <v>46225</v>
      </c>
      <c r="B1237" t="s">
        <v>34</v>
      </c>
      <c r="C1237" t="s">
        <v>126</v>
      </c>
      <c r="D1237" t="s">
        <v>127</v>
      </c>
      <c r="E1237" t="s">
        <v>128</v>
      </c>
      <c r="F1237" t="s">
        <v>95</v>
      </c>
      <c r="G1237" t="s">
        <v>76</v>
      </c>
      <c r="H1237" t="s">
        <v>173</v>
      </c>
      <c r="I1237" t="s">
        <v>227</v>
      </c>
      <c r="J1237">
        <v>11</v>
      </c>
      <c r="K1237" s="16">
        <v>19800</v>
      </c>
      <c r="L1237" s="16">
        <v>12359.63</v>
      </c>
      <c r="M1237" s="16">
        <v>7440.37</v>
      </c>
      <c r="N1237" t="s">
        <v>141</v>
      </c>
      <c r="O1237" t="s">
        <v>119</v>
      </c>
      <c r="P1237" t="str">
        <f t="shared" si="19"/>
        <v>Gurugram|Mouse</v>
      </c>
    </row>
    <row r="1238" spans="1:16" x14ac:dyDescent="0.3">
      <c r="A1238" s="15">
        <v>46153</v>
      </c>
      <c r="B1238" t="s">
        <v>34</v>
      </c>
      <c r="C1238" t="s">
        <v>107</v>
      </c>
      <c r="D1238" t="s">
        <v>115</v>
      </c>
      <c r="E1238" t="s">
        <v>116</v>
      </c>
      <c r="F1238" t="s">
        <v>95</v>
      </c>
      <c r="G1238" t="s">
        <v>74</v>
      </c>
      <c r="H1238" t="s">
        <v>129</v>
      </c>
      <c r="I1238" t="s">
        <v>261</v>
      </c>
      <c r="J1238">
        <v>3</v>
      </c>
      <c r="K1238" s="16">
        <v>13680</v>
      </c>
      <c r="L1238" s="16">
        <v>11013.82</v>
      </c>
      <c r="M1238" s="16">
        <v>2666.18</v>
      </c>
      <c r="N1238" t="s">
        <v>131</v>
      </c>
      <c r="O1238" t="s">
        <v>113</v>
      </c>
      <c r="P1238" t="str">
        <f t="shared" si="19"/>
        <v>Ahmedabad|Headset</v>
      </c>
    </row>
    <row r="1239" spans="1:16" x14ac:dyDescent="0.3">
      <c r="A1239" s="15">
        <v>46083</v>
      </c>
      <c r="B1239" t="s">
        <v>120</v>
      </c>
      <c r="C1239" t="s">
        <v>107</v>
      </c>
      <c r="D1239" t="s">
        <v>115</v>
      </c>
      <c r="E1239" t="s">
        <v>116</v>
      </c>
      <c r="F1239" t="s">
        <v>97</v>
      </c>
      <c r="G1239" t="s">
        <v>88</v>
      </c>
      <c r="H1239" t="s">
        <v>129</v>
      </c>
      <c r="I1239" t="s">
        <v>390</v>
      </c>
      <c r="J1239">
        <v>11</v>
      </c>
      <c r="K1239" s="16">
        <v>151525</v>
      </c>
      <c r="L1239" s="16">
        <v>109096.72</v>
      </c>
      <c r="M1239" s="16">
        <v>42428.28</v>
      </c>
      <c r="N1239" t="s">
        <v>125</v>
      </c>
      <c r="O1239" t="s">
        <v>119</v>
      </c>
      <c r="P1239" t="str">
        <f t="shared" si="19"/>
        <v>Ahmedabad|Vacuum Cleaner</v>
      </c>
    </row>
    <row r="1240" spans="1:16" x14ac:dyDescent="0.3">
      <c r="A1240" s="15">
        <v>46126</v>
      </c>
      <c r="B1240" t="s">
        <v>34</v>
      </c>
      <c r="C1240" t="s">
        <v>152</v>
      </c>
      <c r="D1240" t="s">
        <v>153</v>
      </c>
      <c r="E1240" t="s">
        <v>169</v>
      </c>
      <c r="F1240" t="s">
        <v>94</v>
      </c>
      <c r="G1240" t="s">
        <v>61</v>
      </c>
      <c r="H1240" t="s">
        <v>117</v>
      </c>
      <c r="I1240" t="s">
        <v>210</v>
      </c>
      <c r="J1240">
        <v>19</v>
      </c>
      <c r="K1240" s="16">
        <v>1407900</v>
      </c>
      <c r="L1240" s="16">
        <v>964240.93</v>
      </c>
      <c r="M1240" s="16">
        <v>443659.07</v>
      </c>
      <c r="N1240" t="s">
        <v>125</v>
      </c>
      <c r="O1240" t="s">
        <v>113</v>
      </c>
      <c r="P1240" t="str">
        <f t="shared" si="19"/>
        <v>Chennai|Laptop Pro</v>
      </c>
    </row>
    <row r="1241" spans="1:16" x14ac:dyDescent="0.3">
      <c r="A1241" s="15">
        <v>46031</v>
      </c>
      <c r="B1241" t="s">
        <v>34</v>
      </c>
      <c r="C1241" t="s">
        <v>107</v>
      </c>
      <c r="D1241" t="s">
        <v>115</v>
      </c>
      <c r="E1241" t="s">
        <v>191</v>
      </c>
      <c r="F1241" t="s">
        <v>94</v>
      </c>
      <c r="G1241" t="s">
        <v>61</v>
      </c>
      <c r="H1241" t="s">
        <v>129</v>
      </c>
      <c r="I1241" t="s">
        <v>319</v>
      </c>
      <c r="J1241">
        <v>13</v>
      </c>
      <c r="K1241" s="16">
        <v>963300</v>
      </c>
      <c r="L1241" s="16">
        <v>732396.66</v>
      </c>
      <c r="M1241" s="16">
        <v>230903.34</v>
      </c>
      <c r="N1241" t="s">
        <v>125</v>
      </c>
      <c r="O1241" t="s">
        <v>119</v>
      </c>
      <c r="P1241" t="str">
        <f t="shared" si="19"/>
        <v>Surat|Laptop Pro</v>
      </c>
    </row>
    <row r="1242" spans="1:16" x14ac:dyDescent="0.3">
      <c r="A1242" s="15">
        <v>46046</v>
      </c>
      <c r="B1242" t="s">
        <v>114</v>
      </c>
      <c r="C1242" t="s">
        <v>126</v>
      </c>
      <c r="D1242" t="s">
        <v>127</v>
      </c>
      <c r="E1242" t="s">
        <v>143</v>
      </c>
      <c r="F1242" t="s">
        <v>96</v>
      </c>
      <c r="G1242" t="s">
        <v>84</v>
      </c>
      <c r="H1242" t="s">
        <v>133</v>
      </c>
      <c r="I1242" t="s">
        <v>390</v>
      </c>
      <c r="J1242">
        <v>13</v>
      </c>
      <c r="K1242" s="16">
        <v>188500</v>
      </c>
      <c r="L1242" s="16">
        <v>124681.79</v>
      </c>
      <c r="M1242" s="16">
        <v>63818.21</v>
      </c>
      <c r="N1242" t="s">
        <v>112</v>
      </c>
      <c r="O1242" t="s">
        <v>119</v>
      </c>
      <c r="P1242" t="str">
        <f t="shared" si="19"/>
        <v>Faridabad|Filing Cabinet</v>
      </c>
    </row>
    <row r="1243" spans="1:16" x14ac:dyDescent="0.3">
      <c r="A1243" s="15">
        <v>46054</v>
      </c>
      <c r="B1243" t="s">
        <v>114</v>
      </c>
      <c r="C1243" t="s">
        <v>126</v>
      </c>
      <c r="D1243" t="s">
        <v>162</v>
      </c>
      <c r="E1243" t="s">
        <v>163</v>
      </c>
      <c r="F1243" t="s">
        <v>96</v>
      </c>
      <c r="G1243" t="s">
        <v>80</v>
      </c>
      <c r="H1243" t="s">
        <v>110</v>
      </c>
      <c r="I1243" t="s">
        <v>398</v>
      </c>
      <c r="J1243">
        <v>3</v>
      </c>
      <c r="K1243" s="16">
        <v>37500</v>
      </c>
      <c r="L1243" s="16">
        <v>30694.92</v>
      </c>
      <c r="M1243" s="16">
        <v>6805.08</v>
      </c>
      <c r="N1243" t="s">
        <v>125</v>
      </c>
      <c r="O1243" t="s">
        <v>119</v>
      </c>
      <c r="P1243" t="str">
        <f t="shared" si="19"/>
        <v>Lucknow|Office Chair</v>
      </c>
    </row>
    <row r="1244" spans="1:16" x14ac:dyDescent="0.3">
      <c r="A1244" s="15">
        <v>46192</v>
      </c>
      <c r="B1244" t="s">
        <v>114</v>
      </c>
      <c r="C1244" t="s">
        <v>152</v>
      </c>
      <c r="D1244" t="s">
        <v>156</v>
      </c>
      <c r="E1244" t="s">
        <v>238</v>
      </c>
      <c r="F1244" t="s">
        <v>97</v>
      </c>
      <c r="G1244" t="s">
        <v>86</v>
      </c>
      <c r="H1244" t="s">
        <v>139</v>
      </c>
      <c r="I1244" t="s">
        <v>395</v>
      </c>
      <c r="J1244">
        <v>4</v>
      </c>
      <c r="K1244" s="16">
        <v>26000</v>
      </c>
      <c r="L1244" s="16">
        <v>17172.099999999999</v>
      </c>
      <c r="M1244" s="16">
        <v>8827.9</v>
      </c>
      <c r="N1244" t="s">
        <v>112</v>
      </c>
      <c r="O1244" t="s">
        <v>113</v>
      </c>
      <c r="P1244" t="str">
        <f t="shared" si="19"/>
        <v>Bengaluru|Coffee Maker</v>
      </c>
    </row>
    <row r="1245" spans="1:16" x14ac:dyDescent="0.3">
      <c r="A1245" s="15">
        <v>46106</v>
      </c>
      <c r="B1245" t="s">
        <v>34</v>
      </c>
      <c r="C1245" t="s">
        <v>152</v>
      </c>
      <c r="D1245" t="s">
        <v>187</v>
      </c>
      <c r="E1245" t="s">
        <v>188</v>
      </c>
      <c r="F1245" t="s">
        <v>94</v>
      </c>
      <c r="G1245" t="s">
        <v>70</v>
      </c>
      <c r="H1245" t="s">
        <v>117</v>
      </c>
      <c r="I1245" t="s">
        <v>252</v>
      </c>
      <c r="J1245">
        <v>14</v>
      </c>
      <c r="K1245" s="16">
        <v>210490</v>
      </c>
      <c r="L1245" s="16">
        <v>165684.38</v>
      </c>
      <c r="M1245" s="16">
        <v>44805.62</v>
      </c>
      <c r="N1245" t="s">
        <v>131</v>
      </c>
      <c r="O1245" t="s">
        <v>113</v>
      </c>
      <c r="P1245" t="str">
        <f t="shared" si="19"/>
        <v>Warangal|Printer Pro</v>
      </c>
    </row>
    <row r="1246" spans="1:16" x14ac:dyDescent="0.3">
      <c r="A1246" s="15">
        <v>46152</v>
      </c>
      <c r="B1246" t="s">
        <v>34</v>
      </c>
      <c r="C1246" t="s">
        <v>152</v>
      </c>
      <c r="D1246" t="s">
        <v>187</v>
      </c>
      <c r="E1246" t="s">
        <v>199</v>
      </c>
      <c r="F1246" t="s">
        <v>97</v>
      </c>
      <c r="G1246" t="s">
        <v>85</v>
      </c>
      <c r="H1246" t="s">
        <v>110</v>
      </c>
      <c r="I1246" t="s">
        <v>317</v>
      </c>
      <c r="J1246">
        <v>3</v>
      </c>
      <c r="K1246" s="16">
        <v>54000</v>
      </c>
      <c r="L1246" s="16">
        <v>42576.5</v>
      </c>
      <c r="M1246" s="16">
        <v>11423.5</v>
      </c>
      <c r="N1246" t="s">
        <v>141</v>
      </c>
      <c r="O1246" t="s">
        <v>113</v>
      </c>
      <c r="P1246" t="str">
        <f t="shared" si="19"/>
        <v>Hyderabad|Air Purifier</v>
      </c>
    </row>
    <row r="1247" spans="1:16" x14ac:dyDescent="0.3">
      <c r="A1247" s="15">
        <v>46247</v>
      </c>
      <c r="B1247" t="s">
        <v>34</v>
      </c>
      <c r="C1247" t="s">
        <v>121</v>
      </c>
      <c r="D1247" t="s">
        <v>146</v>
      </c>
      <c r="E1247" t="s">
        <v>147</v>
      </c>
      <c r="F1247" t="s">
        <v>95</v>
      </c>
      <c r="G1247" t="s">
        <v>78</v>
      </c>
      <c r="H1247" t="s">
        <v>184</v>
      </c>
      <c r="I1247" t="s">
        <v>252</v>
      </c>
      <c r="J1247">
        <v>3</v>
      </c>
      <c r="K1247" s="16">
        <v>11592</v>
      </c>
      <c r="L1247" s="16">
        <v>8787.17</v>
      </c>
      <c r="M1247" s="16">
        <v>2804.83</v>
      </c>
      <c r="N1247" t="s">
        <v>125</v>
      </c>
      <c r="O1247" t="s">
        <v>119</v>
      </c>
      <c r="P1247" t="str">
        <f t="shared" si="19"/>
        <v>Guwahati|Webcam</v>
      </c>
    </row>
    <row r="1248" spans="1:16" x14ac:dyDescent="0.3">
      <c r="A1248" s="15">
        <v>46244</v>
      </c>
      <c r="B1248" t="s">
        <v>34</v>
      </c>
      <c r="C1248" t="s">
        <v>107</v>
      </c>
      <c r="D1248" t="s">
        <v>115</v>
      </c>
      <c r="E1248" t="s">
        <v>191</v>
      </c>
      <c r="F1248" t="s">
        <v>96</v>
      </c>
      <c r="G1248" t="s">
        <v>80</v>
      </c>
      <c r="H1248" t="s">
        <v>173</v>
      </c>
      <c r="I1248" t="s">
        <v>205</v>
      </c>
      <c r="J1248">
        <v>15</v>
      </c>
      <c r="K1248" s="16">
        <v>165000</v>
      </c>
      <c r="L1248" s="16">
        <v>112894.55</v>
      </c>
      <c r="M1248" s="16">
        <v>52105.45</v>
      </c>
      <c r="N1248" t="s">
        <v>141</v>
      </c>
      <c r="O1248" t="s">
        <v>142</v>
      </c>
      <c r="P1248" t="str">
        <f t="shared" si="19"/>
        <v>Surat|Office Chair</v>
      </c>
    </row>
    <row r="1249" spans="1:16" x14ac:dyDescent="0.3">
      <c r="A1249" s="15">
        <v>46191</v>
      </c>
      <c r="B1249" t="s">
        <v>120</v>
      </c>
      <c r="C1249" t="s">
        <v>107</v>
      </c>
      <c r="D1249" t="s">
        <v>108</v>
      </c>
      <c r="E1249" t="s">
        <v>109</v>
      </c>
      <c r="F1249" t="s">
        <v>96</v>
      </c>
      <c r="G1249" t="s">
        <v>82</v>
      </c>
      <c r="H1249" t="s">
        <v>184</v>
      </c>
      <c r="I1249" t="s">
        <v>373</v>
      </c>
      <c r="J1249">
        <v>4</v>
      </c>
      <c r="K1249" s="16">
        <v>114000</v>
      </c>
      <c r="L1249" s="16">
        <v>74257.69</v>
      </c>
      <c r="M1249" s="16">
        <v>39742.31</v>
      </c>
      <c r="N1249" t="s">
        <v>125</v>
      </c>
      <c r="O1249" t="s">
        <v>113</v>
      </c>
      <c r="P1249" t="str">
        <f t="shared" si="19"/>
        <v>Udaipur|Standing Desk</v>
      </c>
    </row>
    <row r="1250" spans="1:16" x14ac:dyDescent="0.3">
      <c r="A1250" s="15">
        <v>46074</v>
      </c>
      <c r="B1250" t="s">
        <v>120</v>
      </c>
      <c r="C1250" t="s">
        <v>126</v>
      </c>
      <c r="D1250" t="s">
        <v>196</v>
      </c>
      <c r="E1250" t="s">
        <v>197</v>
      </c>
      <c r="F1250" t="s">
        <v>95</v>
      </c>
      <c r="G1250" t="s">
        <v>74</v>
      </c>
      <c r="H1250" t="s">
        <v>139</v>
      </c>
      <c r="I1250" t="s">
        <v>231</v>
      </c>
      <c r="J1250">
        <v>11</v>
      </c>
      <c r="K1250" s="16">
        <v>51216</v>
      </c>
      <c r="L1250" s="16">
        <v>38753.410000000003</v>
      </c>
      <c r="M1250" s="16">
        <v>12462.59</v>
      </c>
      <c r="N1250" t="s">
        <v>131</v>
      </c>
      <c r="O1250" t="s">
        <v>119</v>
      </c>
      <c r="P1250" t="str">
        <f t="shared" si="19"/>
        <v>Dwarka|Headset</v>
      </c>
    </row>
    <row r="1251" spans="1:16" x14ac:dyDescent="0.3">
      <c r="A1251" s="15">
        <v>46065</v>
      </c>
      <c r="B1251" t="s">
        <v>34</v>
      </c>
      <c r="C1251" t="s">
        <v>121</v>
      </c>
      <c r="D1251" t="s">
        <v>146</v>
      </c>
      <c r="E1251" t="s">
        <v>147</v>
      </c>
      <c r="F1251" t="s">
        <v>94</v>
      </c>
      <c r="G1251" t="s">
        <v>70</v>
      </c>
      <c r="H1251" t="s">
        <v>117</v>
      </c>
      <c r="I1251" t="s">
        <v>355</v>
      </c>
      <c r="J1251">
        <v>2</v>
      </c>
      <c r="K1251" s="16">
        <v>27280</v>
      </c>
      <c r="L1251" s="16">
        <v>17998.189999999999</v>
      </c>
      <c r="M1251" s="16">
        <v>9281.81</v>
      </c>
      <c r="N1251" t="s">
        <v>112</v>
      </c>
      <c r="O1251" t="s">
        <v>142</v>
      </c>
      <c r="P1251" t="str">
        <f t="shared" si="19"/>
        <v>Guwahati|Printer Pro</v>
      </c>
    </row>
    <row r="1252" spans="1:16" x14ac:dyDescent="0.3">
      <c r="A1252" s="15">
        <v>46264</v>
      </c>
      <c r="B1252" t="s">
        <v>34</v>
      </c>
      <c r="C1252" t="s">
        <v>152</v>
      </c>
      <c r="D1252" t="s">
        <v>156</v>
      </c>
      <c r="E1252" t="s">
        <v>238</v>
      </c>
      <c r="F1252" t="s">
        <v>95</v>
      </c>
      <c r="G1252" t="s">
        <v>74</v>
      </c>
      <c r="H1252" t="s">
        <v>184</v>
      </c>
      <c r="I1252" t="s">
        <v>214</v>
      </c>
      <c r="J1252">
        <v>16</v>
      </c>
      <c r="K1252" s="16">
        <v>70656</v>
      </c>
      <c r="L1252" s="16">
        <v>49119.02</v>
      </c>
      <c r="M1252" s="16">
        <v>21536.98</v>
      </c>
      <c r="N1252" t="s">
        <v>131</v>
      </c>
      <c r="O1252" t="s">
        <v>113</v>
      </c>
      <c r="P1252" t="str">
        <f t="shared" si="19"/>
        <v>Bengaluru|Headset</v>
      </c>
    </row>
    <row r="1253" spans="1:16" x14ac:dyDescent="0.3">
      <c r="A1253" s="15">
        <v>46179</v>
      </c>
      <c r="B1253" t="s">
        <v>114</v>
      </c>
      <c r="C1253" t="s">
        <v>107</v>
      </c>
      <c r="D1253" t="s">
        <v>149</v>
      </c>
      <c r="E1253" t="s">
        <v>159</v>
      </c>
      <c r="F1253" t="s">
        <v>96</v>
      </c>
      <c r="G1253" t="s">
        <v>80</v>
      </c>
      <c r="H1253" t="s">
        <v>117</v>
      </c>
      <c r="I1253" t="s">
        <v>393</v>
      </c>
      <c r="J1253">
        <v>13</v>
      </c>
      <c r="K1253" s="16">
        <v>149500</v>
      </c>
      <c r="L1253" s="16">
        <v>100812.65</v>
      </c>
      <c r="M1253" s="16">
        <v>48687.35</v>
      </c>
      <c r="N1253" t="s">
        <v>131</v>
      </c>
      <c r="O1253" t="s">
        <v>142</v>
      </c>
      <c r="P1253" t="str">
        <f t="shared" si="19"/>
        <v>Pune|Office Chair</v>
      </c>
    </row>
    <row r="1254" spans="1:16" x14ac:dyDescent="0.3">
      <c r="A1254" s="15">
        <v>46188</v>
      </c>
      <c r="B1254" t="s">
        <v>34</v>
      </c>
      <c r="C1254" t="s">
        <v>121</v>
      </c>
      <c r="D1254" t="s">
        <v>137</v>
      </c>
      <c r="E1254" t="s">
        <v>138</v>
      </c>
      <c r="F1254" t="s">
        <v>95</v>
      </c>
      <c r="G1254" t="s">
        <v>74</v>
      </c>
      <c r="H1254" t="s">
        <v>139</v>
      </c>
      <c r="I1254" t="s">
        <v>376</v>
      </c>
      <c r="J1254">
        <v>18</v>
      </c>
      <c r="K1254" s="16">
        <v>86400</v>
      </c>
      <c r="L1254" s="16">
        <v>55452.26</v>
      </c>
      <c r="M1254" s="16">
        <v>30947.74</v>
      </c>
      <c r="N1254" t="s">
        <v>125</v>
      </c>
      <c r="O1254" t="s">
        <v>113</v>
      </c>
      <c r="P1254" t="str">
        <f t="shared" si="19"/>
        <v>Cuttack|Headset</v>
      </c>
    </row>
    <row r="1255" spans="1:16" x14ac:dyDescent="0.3">
      <c r="A1255" s="15">
        <v>46156</v>
      </c>
      <c r="B1255" t="s">
        <v>34</v>
      </c>
      <c r="C1255" t="s">
        <v>126</v>
      </c>
      <c r="D1255" t="s">
        <v>127</v>
      </c>
      <c r="E1255" t="s">
        <v>143</v>
      </c>
      <c r="F1255" t="s">
        <v>94</v>
      </c>
      <c r="G1255" t="s">
        <v>70</v>
      </c>
      <c r="H1255" t="s">
        <v>117</v>
      </c>
      <c r="I1255" t="s">
        <v>155</v>
      </c>
      <c r="J1255">
        <v>7</v>
      </c>
      <c r="K1255" s="16">
        <v>108500</v>
      </c>
      <c r="L1255" s="16">
        <v>78675.38</v>
      </c>
      <c r="M1255" s="16">
        <v>29824.62</v>
      </c>
      <c r="N1255" t="s">
        <v>131</v>
      </c>
      <c r="O1255" t="s">
        <v>113</v>
      </c>
      <c r="P1255" t="str">
        <f t="shared" si="19"/>
        <v>Faridabad|Printer Pro</v>
      </c>
    </row>
    <row r="1256" spans="1:16" x14ac:dyDescent="0.3">
      <c r="A1256" s="15">
        <v>46071</v>
      </c>
      <c r="B1256" t="s">
        <v>114</v>
      </c>
      <c r="C1256" t="s">
        <v>126</v>
      </c>
      <c r="D1256" t="s">
        <v>196</v>
      </c>
      <c r="E1256" t="s">
        <v>197</v>
      </c>
      <c r="F1256" t="s">
        <v>97</v>
      </c>
      <c r="G1256" t="s">
        <v>88</v>
      </c>
      <c r="H1256" t="s">
        <v>110</v>
      </c>
      <c r="I1256" t="s">
        <v>273</v>
      </c>
      <c r="J1256">
        <v>15</v>
      </c>
      <c r="K1256" s="16">
        <v>191400</v>
      </c>
      <c r="L1256" s="16">
        <v>133983.45000000001</v>
      </c>
      <c r="M1256" s="16">
        <v>57416.55</v>
      </c>
      <c r="N1256" t="s">
        <v>131</v>
      </c>
      <c r="O1256" t="s">
        <v>142</v>
      </c>
      <c r="P1256" t="str">
        <f t="shared" si="19"/>
        <v>Dwarka|Vacuum Cleaner</v>
      </c>
    </row>
    <row r="1257" spans="1:16" x14ac:dyDescent="0.3">
      <c r="A1257" s="15">
        <v>46178</v>
      </c>
      <c r="B1257" t="s">
        <v>114</v>
      </c>
      <c r="C1257" t="s">
        <v>126</v>
      </c>
      <c r="D1257" t="s">
        <v>127</v>
      </c>
      <c r="E1257" t="s">
        <v>143</v>
      </c>
      <c r="F1257" t="s">
        <v>96</v>
      </c>
      <c r="G1257" t="s">
        <v>83</v>
      </c>
      <c r="H1257" t="s">
        <v>133</v>
      </c>
      <c r="I1257" t="s">
        <v>185</v>
      </c>
      <c r="J1257">
        <v>10</v>
      </c>
      <c r="K1257" s="16">
        <v>342000</v>
      </c>
      <c r="L1257" s="16">
        <v>221510.25</v>
      </c>
      <c r="M1257" s="16">
        <v>120489.75</v>
      </c>
      <c r="N1257" t="s">
        <v>131</v>
      </c>
      <c r="O1257" t="s">
        <v>113</v>
      </c>
      <c r="P1257" t="str">
        <f t="shared" si="19"/>
        <v>Faridabad|Meeting Table</v>
      </c>
    </row>
    <row r="1258" spans="1:16" x14ac:dyDescent="0.3">
      <c r="A1258" s="15">
        <v>46081</v>
      </c>
      <c r="B1258" t="s">
        <v>34</v>
      </c>
      <c r="C1258" t="s">
        <v>152</v>
      </c>
      <c r="D1258" t="s">
        <v>153</v>
      </c>
      <c r="E1258" t="s">
        <v>154</v>
      </c>
      <c r="F1258" t="s">
        <v>97</v>
      </c>
      <c r="G1258" t="s">
        <v>88</v>
      </c>
      <c r="H1258" t="s">
        <v>129</v>
      </c>
      <c r="I1258" t="s">
        <v>160</v>
      </c>
      <c r="J1258">
        <v>1</v>
      </c>
      <c r="K1258" s="16">
        <v>12760</v>
      </c>
      <c r="L1258" s="16">
        <v>9061.0400000000009</v>
      </c>
      <c r="M1258" s="16">
        <v>3698.96</v>
      </c>
      <c r="N1258" t="s">
        <v>112</v>
      </c>
      <c r="O1258" t="s">
        <v>142</v>
      </c>
      <c r="P1258" t="str">
        <f t="shared" si="19"/>
        <v>Coimbatore|Vacuum Cleaner</v>
      </c>
    </row>
    <row r="1259" spans="1:16" x14ac:dyDescent="0.3">
      <c r="A1259" s="15">
        <v>46186</v>
      </c>
      <c r="B1259" t="s">
        <v>34</v>
      </c>
      <c r="C1259" t="s">
        <v>126</v>
      </c>
      <c r="D1259" t="s">
        <v>162</v>
      </c>
      <c r="E1259" t="s">
        <v>163</v>
      </c>
      <c r="F1259" t="s">
        <v>96</v>
      </c>
      <c r="G1259" t="s">
        <v>83</v>
      </c>
      <c r="H1259" t="s">
        <v>117</v>
      </c>
      <c r="I1259" t="s">
        <v>195</v>
      </c>
      <c r="J1259">
        <v>7</v>
      </c>
      <c r="K1259" s="16">
        <v>221760</v>
      </c>
      <c r="L1259" s="16">
        <v>170847.62</v>
      </c>
      <c r="M1259" s="16">
        <v>50912.38</v>
      </c>
      <c r="N1259" t="s">
        <v>112</v>
      </c>
      <c r="O1259" t="s">
        <v>113</v>
      </c>
      <c r="P1259" t="str">
        <f t="shared" si="19"/>
        <v>Lucknow|Meeting Table</v>
      </c>
    </row>
    <row r="1260" spans="1:16" x14ac:dyDescent="0.3">
      <c r="A1260" s="15">
        <v>46214</v>
      </c>
      <c r="B1260" t="s">
        <v>34</v>
      </c>
      <c r="C1260" t="s">
        <v>126</v>
      </c>
      <c r="D1260" t="s">
        <v>162</v>
      </c>
      <c r="E1260" t="s">
        <v>163</v>
      </c>
      <c r="F1260" t="s">
        <v>96</v>
      </c>
      <c r="G1260" t="s">
        <v>83</v>
      </c>
      <c r="H1260" t="s">
        <v>173</v>
      </c>
      <c r="I1260" t="s">
        <v>216</v>
      </c>
      <c r="J1260">
        <v>5</v>
      </c>
      <c r="K1260" s="16">
        <v>171000</v>
      </c>
      <c r="L1260" s="16">
        <v>118147.7</v>
      </c>
      <c r="M1260" s="16">
        <v>52852.3</v>
      </c>
      <c r="N1260" t="s">
        <v>131</v>
      </c>
      <c r="O1260" t="s">
        <v>113</v>
      </c>
      <c r="P1260" t="str">
        <f t="shared" si="19"/>
        <v>Lucknow|Meeting Table</v>
      </c>
    </row>
    <row r="1261" spans="1:16" x14ac:dyDescent="0.3">
      <c r="A1261" s="15">
        <v>46110</v>
      </c>
      <c r="B1261" t="s">
        <v>114</v>
      </c>
      <c r="C1261" t="s">
        <v>107</v>
      </c>
      <c r="D1261" t="s">
        <v>115</v>
      </c>
      <c r="E1261" t="s">
        <v>116</v>
      </c>
      <c r="F1261" t="s">
        <v>96</v>
      </c>
      <c r="G1261" t="s">
        <v>84</v>
      </c>
      <c r="H1261" t="s">
        <v>173</v>
      </c>
      <c r="I1261" t="s">
        <v>272</v>
      </c>
      <c r="J1261">
        <v>19</v>
      </c>
      <c r="K1261" s="16">
        <v>267235</v>
      </c>
      <c r="L1261" s="16">
        <v>209144.67</v>
      </c>
      <c r="M1261" s="16">
        <v>58090.33</v>
      </c>
      <c r="N1261" t="s">
        <v>141</v>
      </c>
      <c r="O1261" t="s">
        <v>119</v>
      </c>
      <c r="P1261" t="str">
        <f t="shared" si="19"/>
        <v>Ahmedabad|Filing Cabinet</v>
      </c>
    </row>
    <row r="1262" spans="1:16" x14ac:dyDescent="0.3">
      <c r="A1262" s="15">
        <v>46119</v>
      </c>
      <c r="B1262" t="s">
        <v>34</v>
      </c>
      <c r="C1262" t="s">
        <v>126</v>
      </c>
      <c r="D1262" t="s">
        <v>162</v>
      </c>
      <c r="E1262" t="s">
        <v>204</v>
      </c>
      <c r="F1262" t="s">
        <v>96</v>
      </c>
      <c r="G1262" t="s">
        <v>80</v>
      </c>
      <c r="H1262" t="s">
        <v>184</v>
      </c>
      <c r="I1262" t="s">
        <v>338</v>
      </c>
      <c r="J1262">
        <v>10</v>
      </c>
      <c r="K1262" s="16">
        <v>121250</v>
      </c>
      <c r="L1262" s="16">
        <v>80905</v>
      </c>
      <c r="M1262" s="16">
        <v>40345</v>
      </c>
      <c r="N1262" t="s">
        <v>131</v>
      </c>
      <c r="O1262" t="s">
        <v>113</v>
      </c>
      <c r="P1262" t="str">
        <f t="shared" si="19"/>
        <v>Noida|Office Chair</v>
      </c>
    </row>
    <row r="1263" spans="1:16" x14ac:dyDescent="0.3">
      <c r="A1263" s="15">
        <v>46112</v>
      </c>
      <c r="B1263" t="s">
        <v>34</v>
      </c>
      <c r="C1263" t="s">
        <v>126</v>
      </c>
      <c r="D1263" t="s">
        <v>196</v>
      </c>
      <c r="E1263" t="s">
        <v>208</v>
      </c>
      <c r="F1263" t="s">
        <v>96</v>
      </c>
      <c r="G1263" t="s">
        <v>82</v>
      </c>
      <c r="H1263" t="s">
        <v>173</v>
      </c>
      <c r="I1263" t="s">
        <v>351</v>
      </c>
      <c r="J1263">
        <v>14</v>
      </c>
      <c r="K1263" s="16">
        <v>387030</v>
      </c>
      <c r="L1263" s="16">
        <v>284836.75</v>
      </c>
      <c r="M1263" s="16">
        <v>102193.25</v>
      </c>
      <c r="N1263" t="s">
        <v>141</v>
      </c>
      <c r="O1263" t="s">
        <v>119</v>
      </c>
      <c r="P1263" t="str">
        <f t="shared" si="19"/>
        <v>New Delhi|Standing Desk</v>
      </c>
    </row>
    <row r="1264" spans="1:16" x14ac:dyDescent="0.3">
      <c r="A1264" s="15">
        <v>46234</v>
      </c>
      <c r="B1264" t="s">
        <v>34</v>
      </c>
      <c r="C1264" t="s">
        <v>121</v>
      </c>
      <c r="D1264" t="s">
        <v>146</v>
      </c>
      <c r="E1264" t="s">
        <v>175</v>
      </c>
      <c r="F1264" t="s">
        <v>95</v>
      </c>
      <c r="G1264" t="s">
        <v>74</v>
      </c>
      <c r="H1264" t="s">
        <v>173</v>
      </c>
      <c r="I1264" t="s">
        <v>319</v>
      </c>
      <c r="J1264">
        <v>9</v>
      </c>
      <c r="K1264" s="16">
        <v>41904</v>
      </c>
      <c r="L1264" s="16">
        <v>29538.67</v>
      </c>
      <c r="M1264" s="16">
        <v>12365.33</v>
      </c>
      <c r="N1264" t="s">
        <v>112</v>
      </c>
      <c r="O1264" t="s">
        <v>113</v>
      </c>
      <c r="P1264" t="str">
        <f t="shared" si="19"/>
        <v>Dibrugarh|Headset</v>
      </c>
    </row>
    <row r="1265" spans="1:16" x14ac:dyDescent="0.3">
      <c r="A1265" s="15">
        <v>46255</v>
      </c>
      <c r="B1265" t="s">
        <v>34</v>
      </c>
      <c r="C1265" t="s">
        <v>121</v>
      </c>
      <c r="D1265" t="s">
        <v>122</v>
      </c>
      <c r="E1265" t="s">
        <v>123</v>
      </c>
      <c r="F1265" t="s">
        <v>94</v>
      </c>
      <c r="G1265" t="s">
        <v>61</v>
      </c>
      <c r="H1265" t="s">
        <v>129</v>
      </c>
      <c r="I1265" t="s">
        <v>406</v>
      </c>
      <c r="J1265">
        <v>11</v>
      </c>
      <c r="K1265" s="16">
        <v>858000</v>
      </c>
      <c r="L1265" s="16">
        <v>585790.09</v>
      </c>
      <c r="M1265" s="16">
        <v>272209.90999999997</v>
      </c>
      <c r="N1265" t="s">
        <v>141</v>
      </c>
      <c r="O1265" t="s">
        <v>113</v>
      </c>
      <c r="P1265" t="str">
        <f t="shared" si="19"/>
        <v>Durgapur|Laptop Pro</v>
      </c>
    </row>
    <row r="1266" spans="1:16" x14ac:dyDescent="0.3">
      <c r="A1266" s="15">
        <v>46119</v>
      </c>
      <c r="B1266" t="s">
        <v>120</v>
      </c>
      <c r="C1266" t="s">
        <v>121</v>
      </c>
      <c r="D1266" t="s">
        <v>146</v>
      </c>
      <c r="E1266" t="s">
        <v>147</v>
      </c>
      <c r="F1266" t="s">
        <v>96</v>
      </c>
      <c r="G1266" t="s">
        <v>80</v>
      </c>
      <c r="H1266" t="s">
        <v>117</v>
      </c>
      <c r="I1266" t="s">
        <v>380</v>
      </c>
      <c r="J1266">
        <v>1</v>
      </c>
      <c r="K1266" s="16">
        <v>12125</v>
      </c>
      <c r="L1266" s="16">
        <v>7999.39</v>
      </c>
      <c r="M1266" s="16">
        <v>4125.6099999999997</v>
      </c>
      <c r="N1266" t="s">
        <v>131</v>
      </c>
      <c r="O1266" t="s">
        <v>119</v>
      </c>
      <c r="P1266" t="str">
        <f t="shared" si="19"/>
        <v>Guwahati|Office Chair</v>
      </c>
    </row>
    <row r="1267" spans="1:16" x14ac:dyDescent="0.3">
      <c r="A1267" s="15">
        <v>46026</v>
      </c>
      <c r="B1267" t="s">
        <v>34</v>
      </c>
      <c r="C1267" t="s">
        <v>152</v>
      </c>
      <c r="D1267" t="s">
        <v>156</v>
      </c>
      <c r="E1267" t="s">
        <v>157</v>
      </c>
      <c r="F1267" t="s">
        <v>97</v>
      </c>
      <c r="G1267" t="s">
        <v>87</v>
      </c>
      <c r="H1267" t="s">
        <v>133</v>
      </c>
      <c r="I1267" t="s">
        <v>412</v>
      </c>
      <c r="J1267">
        <v>9</v>
      </c>
      <c r="K1267" s="16">
        <v>106875</v>
      </c>
      <c r="L1267" s="16">
        <v>70745.42</v>
      </c>
      <c r="M1267" s="16">
        <v>36129.58</v>
      </c>
      <c r="N1267" t="s">
        <v>112</v>
      </c>
      <c r="O1267" t="s">
        <v>142</v>
      </c>
      <c r="P1267" t="str">
        <f t="shared" si="19"/>
        <v>Mysuru|Microwave</v>
      </c>
    </row>
    <row r="1268" spans="1:16" x14ac:dyDescent="0.3">
      <c r="A1268" s="15">
        <v>46115</v>
      </c>
      <c r="B1268" t="s">
        <v>34</v>
      </c>
      <c r="C1268" t="s">
        <v>107</v>
      </c>
      <c r="D1268" t="s">
        <v>149</v>
      </c>
      <c r="E1268" t="s">
        <v>159</v>
      </c>
      <c r="F1268" t="s">
        <v>94</v>
      </c>
      <c r="G1268" t="s">
        <v>64</v>
      </c>
      <c r="H1268" t="s">
        <v>173</v>
      </c>
      <c r="I1268" t="s">
        <v>377</v>
      </c>
      <c r="J1268">
        <v>7</v>
      </c>
      <c r="K1268" s="16">
        <v>129360</v>
      </c>
      <c r="L1268" s="16">
        <v>99424.53</v>
      </c>
      <c r="M1268" s="16">
        <v>29935.47</v>
      </c>
      <c r="N1268" t="s">
        <v>141</v>
      </c>
      <c r="O1268" t="s">
        <v>142</v>
      </c>
      <c r="P1268" t="str">
        <f t="shared" si="19"/>
        <v>Pune|Monitor 27</v>
      </c>
    </row>
    <row r="1269" spans="1:16" x14ac:dyDescent="0.3">
      <c r="A1269" s="15">
        <v>46026</v>
      </c>
      <c r="B1269" t="s">
        <v>34</v>
      </c>
      <c r="C1269" t="s">
        <v>107</v>
      </c>
      <c r="D1269" t="s">
        <v>108</v>
      </c>
      <c r="E1269" t="s">
        <v>109</v>
      </c>
      <c r="F1269" t="s">
        <v>95</v>
      </c>
      <c r="G1269" t="s">
        <v>74</v>
      </c>
      <c r="H1269" t="s">
        <v>173</v>
      </c>
      <c r="I1269" t="s">
        <v>400</v>
      </c>
      <c r="J1269">
        <v>9</v>
      </c>
      <c r="K1269" s="16">
        <v>41904</v>
      </c>
      <c r="L1269" s="16">
        <v>27462.23</v>
      </c>
      <c r="M1269" s="16">
        <v>14441.77</v>
      </c>
      <c r="N1269" t="s">
        <v>141</v>
      </c>
      <c r="O1269" t="s">
        <v>119</v>
      </c>
      <c r="P1269" t="str">
        <f t="shared" si="19"/>
        <v>Udaipur|Headset</v>
      </c>
    </row>
    <row r="1270" spans="1:16" x14ac:dyDescent="0.3">
      <c r="A1270" s="15">
        <v>46066</v>
      </c>
      <c r="B1270" t="s">
        <v>114</v>
      </c>
      <c r="C1270" t="s">
        <v>107</v>
      </c>
      <c r="D1270" t="s">
        <v>115</v>
      </c>
      <c r="E1270" t="s">
        <v>191</v>
      </c>
      <c r="F1270" t="s">
        <v>95</v>
      </c>
      <c r="G1270" t="s">
        <v>74</v>
      </c>
      <c r="H1270" t="s">
        <v>129</v>
      </c>
      <c r="I1270" t="s">
        <v>309</v>
      </c>
      <c r="J1270">
        <v>11</v>
      </c>
      <c r="K1270" s="16">
        <v>52800</v>
      </c>
      <c r="L1270" s="16">
        <v>43002.32</v>
      </c>
      <c r="M1270" s="16">
        <v>9797.68</v>
      </c>
      <c r="N1270" t="s">
        <v>112</v>
      </c>
      <c r="O1270" t="s">
        <v>113</v>
      </c>
      <c r="P1270" t="str">
        <f t="shared" si="19"/>
        <v>Surat|Headset</v>
      </c>
    </row>
    <row r="1271" spans="1:16" x14ac:dyDescent="0.3">
      <c r="A1271" s="15">
        <v>46034</v>
      </c>
      <c r="B1271" t="s">
        <v>34</v>
      </c>
      <c r="C1271" t="s">
        <v>126</v>
      </c>
      <c r="D1271" t="s">
        <v>127</v>
      </c>
      <c r="E1271" t="s">
        <v>128</v>
      </c>
      <c r="F1271" t="s">
        <v>95</v>
      </c>
      <c r="G1271" t="s">
        <v>78</v>
      </c>
      <c r="H1271" t="s">
        <v>173</v>
      </c>
      <c r="I1271" t="s">
        <v>312</v>
      </c>
      <c r="J1271">
        <v>20</v>
      </c>
      <c r="K1271" s="16">
        <v>84000</v>
      </c>
      <c r="L1271" s="16">
        <v>63185.45</v>
      </c>
      <c r="M1271" s="16">
        <v>20814.55</v>
      </c>
      <c r="N1271" t="s">
        <v>141</v>
      </c>
      <c r="O1271" t="s">
        <v>119</v>
      </c>
      <c r="P1271" t="str">
        <f t="shared" si="19"/>
        <v>Gurugram|Webcam</v>
      </c>
    </row>
    <row r="1272" spans="1:16" x14ac:dyDescent="0.3">
      <c r="A1272" s="15">
        <v>46034</v>
      </c>
      <c r="B1272" t="s">
        <v>34</v>
      </c>
      <c r="C1272" t="s">
        <v>121</v>
      </c>
      <c r="D1272" t="s">
        <v>137</v>
      </c>
      <c r="E1272" t="s">
        <v>138</v>
      </c>
      <c r="F1272" t="s">
        <v>94</v>
      </c>
      <c r="G1272" t="s">
        <v>70</v>
      </c>
      <c r="H1272" t="s">
        <v>110</v>
      </c>
      <c r="I1272" t="s">
        <v>270</v>
      </c>
      <c r="J1272">
        <v>20</v>
      </c>
      <c r="K1272" s="16">
        <v>285200</v>
      </c>
      <c r="L1272" s="16">
        <v>192640.25</v>
      </c>
      <c r="M1272" s="16">
        <v>92559.75</v>
      </c>
      <c r="N1272" t="s">
        <v>112</v>
      </c>
      <c r="O1272" t="s">
        <v>113</v>
      </c>
      <c r="P1272" t="str">
        <f t="shared" si="19"/>
        <v>Cuttack|Printer Pro</v>
      </c>
    </row>
    <row r="1273" spans="1:16" x14ac:dyDescent="0.3">
      <c r="A1273" s="15">
        <v>46042</v>
      </c>
      <c r="B1273" t="s">
        <v>34</v>
      </c>
      <c r="C1273" t="s">
        <v>126</v>
      </c>
      <c r="D1273" t="s">
        <v>127</v>
      </c>
      <c r="E1273" t="s">
        <v>128</v>
      </c>
      <c r="F1273" t="s">
        <v>97</v>
      </c>
      <c r="G1273" t="s">
        <v>86</v>
      </c>
      <c r="H1273" t="s">
        <v>129</v>
      </c>
      <c r="I1273" t="s">
        <v>181</v>
      </c>
      <c r="J1273">
        <v>5</v>
      </c>
      <c r="K1273" s="16">
        <v>28600</v>
      </c>
      <c r="L1273" s="16">
        <v>20894.43</v>
      </c>
      <c r="M1273" s="16">
        <v>7705.57</v>
      </c>
      <c r="N1273" t="s">
        <v>125</v>
      </c>
      <c r="O1273" t="s">
        <v>113</v>
      </c>
      <c r="P1273" t="str">
        <f t="shared" si="19"/>
        <v>Gurugram|Coffee Maker</v>
      </c>
    </row>
    <row r="1274" spans="1:16" x14ac:dyDescent="0.3">
      <c r="A1274" s="15">
        <v>46223</v>
      </c>
      <c r="B1274" t="s">
        <v>34</v>
      </c>
      <c r="C1274" t="s">
        <v>121</v>
      </c>
      <c r="D1274" t="s">
        <v>146</v>
      </c>
      <c r="E1274" t="s">
        <v>147</v>
      </c>
      <c r="F1274" t="s">
        <v>95</v>
      </c>
      <c r="G1274" t="s">
        <v>78</v>
      </c>
      <c r="H1274" t="s">
        <v>139</v>
      </c>
      <c r="I1274" t="s">
        <v>179</v>
      </c>
      <c r="J1274">
        <v>18</v>
      </c>
      <c r="K1274" s="16">
        <v>71820</v>
      </c>
      <c r="L1274" s="16">
        <v>46413.71</v>
      </c>
      <c r="M1274" s="16">
        <v>25406.29</v>
      </c>
      <c r="N1274" t="s">
        <v>141</v>
      </c>
      <c r="O1274" t="s">
        <v>119</v>
      </c>
      <c r="P1274" t="str">
        <f t="shared" si="19"/>
        <v>Guwahati|Webcam</v>
      </c>
    </row>
    <row r="1275" spans="1:16" x14ac:dyDescent="0.3">
      <c r="A1275" s="15">
        <v>46153</v>
      </c>
      <c r="B1275" t="s">
        <v>114</v>
      </c>
      <c r="C1275" t="s">
        <v>107</v>
      </c>
      <c r="D1275" t="s">
        <v>108</v>
      </c>
      <c r="E1275" t="s">
        <v>132</v>
      </c>
      <c r="F1275" t="s">
        <v>97</v>
      </c>
      <c r="G1275" t="s">
        <v>88</v>
      </c>
      <c r="H1275" t="s">
        <v>184</v>
      </c>
      <c r="I1275" t="s">
        <v>389</v>
      </c>
      <c r="J1275">
        <v>2</v>
      </c>
      <c r="K1275" s="16">
        <v>26680</v>
      </c>
      <c r="L1275" s="16">
        <v>20225.72</v>
      </c>
      <c r="M1275" s="16">
        <v>6454.28</v>
      </c>
      <c r="N1275" t="s">
        <v>112</v>
      </c>
      <c r="O1275" t="s">
        <v>113</v>
      </c>
      <c r="P1275" t="str">
        <f t="shared" si="19"/>
        <v>Jaipur|Vacuum Cleaner</v>
      </c>
    </row>
    <row r="1276" spans="1:16" x14ac:dyDescent="0.3">
      <c r="A1276" s="15">
        <v>46039</v>
      </c>
      <c r="B1276" t="s">
        <v>34</v>
      </c>
      <c r="C1276" t="s">
        <v>152</v>
      </c>
      <c r="D1276" t="s">
        <v>153</v>
      </c>
      <c r="E1276" t="s">
        <v>154</v>
      </c>
      <c r="F1276" t="s">
        <v>97</v>
      </c>
      <c r="G1276" t="s">
        <v>86</v>
      </c>
      <c r="H1276" t="s">
        <v>117</v>
      </c>
      <c r="I1276" t="s">
        <v>324</v>
      </c>
      <c r="J1276">
        <v>10</v>
      </c>
      <c r="K1276" s="16">
        <v>57200</v>
      </c>
      <c r="L1276" s="16">
        <v>43777.93</v>
      </c>
      <c r="M1276" s="16">
        <v>13422.07</v>
      </c>
      <c r="N1276" t="s">
        <v>112</v>
      </c>
      <c r="O1276" t="s">
        <v>113</v>
      </c>
      <c r="P1276" t="str">
        <f t="shared" si="19"/>
        <v>Coimbatore|Coffee Maker</v>
      </c>
    </row>
    <row r="1277" spans="1:16" x14ac:dyDescent="0.3">
      <c r="A1277" s="15">
        <v>46242</v>
      </c>
      <c r="B1277" t="s">
        <v>34</v>
      </c>
      <c r="C1277" t="s">
        <v>152</v>
      </c>
      <c r="D1277" t="s">
        <v>187</v>
      </c>
      <c r="E1277" t="s">
        <v>188</v>
      </c>
      <c r="F1277" t="s">
        <v>95</v>
      </c>
      <c r="G1277" t="s">
        <v>74</v>
      </c>
      <c r="H1277" t="s">
        <v>133</v>
      </c>
      <c r="I1277" t="s">
        <v>200</v>
      </c>
      <c r="J1277">
        <v>7</v>
      </c>
      <c r="K1277" s="16">
        <v>31920</v>
      </c>
      <c r="L1277" s="16">
        <v>23912.639999999999</v>
      </c>
      <c r="M1277" s="16">
        <v>8007.36</v>
      </c>
      <c r="N1277" t="s">
        <v>125</v>
      </c>
      <c r="O1277" t="s">
        <v>113</v>
      </c>
      <c r="P1277" t="str">
        <f t="shared" si="19"/>
        <v>Warangal|Headset</v>
      </c>
    </row>
    <row r="1278" spans="1:16" x14ac:dyDescent="0.3">
      <c r="A1278" s="15">
        <v>46150</v>
      </c>
      <c r="B1278" t="s">
        <v>34</v>
      </c>
      <c r="C1278" t="s">
        <v>107</v>
      </c>
      <c r="D1278" t="s">
        <v>115</v>
      </c>
      <c r="E1278" t="s">
        <v>191</v>
      </c>
      <c r="F1278" t="s">
        <v>95</v>
      </c>
      <c r="G1278" t="s">
        <v>72</v>
      </c>
      <c r="H1278" t="s">
        <v>173</v>
      </c>
      <c r="I1278" t="s">
        <v>158</v>
      </c>
      <c r="J1278">
        <v>7</v>
      </c>
      <c r="K1278" s="16">
        <v>22400</v>
      </c>
      <c r="L1278" s="16">
        <v>14099.76</v>
      </c>
      <c r="M1278" s="16">
        <v>8300.24</v>
      </c>
      <c r="N1278" t="s">
        <v>131</v>
      </c>
      <c r="O1278" t="s">
        <v>113</v>
      </c>
      <c r="P1278" t="str">
        <f t="shared" si="19"/>
        <v>Surat|Keyboard</v>
      </c>
    </row>
    <row r="1279" spans="1:16" x14ac:dyDescent="0.3">
      <c r="A1279" s="15">
        <v>46107</v>
      </c>
      <c r="B1279" t="s">
        <v>34</v>
      </c>
      <c r="C1279" t="s">
        <v>121</v>
      </c>
      <c r="D1279" t="s">
        <v>146</v>
      </c>
      <c r="E1279" t="s">
        <v>147</v>
      </c>
      <c r="F1279" t="s">
        <v>97</v>
      </c>
      <c r="G1279" t="s">
        <v>88</v>
      </c>
      <c r="H1279" t="s">
        <v>117</v>
      </c>
      <c r="I1279" t="s">
        <v>263</v>
      </c>
      <c r="J1279">
        <v>16</v>
      </c>
      <c r="K1279" s="16">
        <v>220400</v>
      </c>
      <c r="L1279" s="16">
        <v>161691.48000000001</v>
      </c>
      <c r="M1279" s="16">
        <v>58708.52</v>
      </c>
      <c r="N1279" t="s">
        <v>141</v>
      </c>
      <c r="O1279" t="s">
        <v>113</v>
      </c>
      <c r="P1279" t="str">
        <f t="shared" si="19"/>
        <v>Guwahati|Vacuum Cleaner</v>
      </c>
    </row>
    <row r="1280" spans="1:16" x14ac:dyDescent="0.3">
      <c r="A1280" s="15">
        <v>46260</v>
      </c>
      <c r="B1280" t="s">
        <v>114</v>
      </c>
      <c r="C1280" t="s">
        <v>121</v>
      </c>
      <c r="D1280" t="s">
        <v>146</v>
      </c>
      <c r="E1280" t="s">
        <v>175</v>
      </c>
      <c r="F1280" t="s">
        <v>94</v>
      </c>
      <c r="G1280" t="s">
        <v>64</v>
      </c>
      <c r="H1280" t="s">
        <v>117</v>
      </c>
      <c r="I1280" t="s">
        <v>280</v>
      </c>
      <c r="J1280">
        <v>16</v>
      </c>
      <c r="K1280" s="16">
        <v>319200</v>
      </c>
      <c r="L1280" s="16">
        <v>218145.64</v>
      </c>
      <c r="M1280" s="16">
        <v>101054.36</v>
      </c>
      <c r="N1280" t="s">
        <v>112</v>
      </c>
      <c r="O1280" t="s">
        <v>113</v>
      </c>
      <c r="P1280" t="str">
        <f t="shared" si="19"/>
        <v>Dibrugarh|Monitor 27</v>
      </c>
    </row>
    <row r="1281" spans="1:16" x14ac:dyDescent="0.3">
      <c r="A1281" s="15">
        <v>46260</v>
      </c>
      <c r="B1281" t="s">
        <v>34</v>
      </c>
      <c r="C1281" t="s">
        <v>107</v>
      </c>
      <c r="D1281" t="s">
        <v>108</v>
      </c>
      <c r="E1281" t="s">
        <v>132</v>
      </c>
      <c r="F1281" t="s">
        <v>94</v>
      </c>
      <c r="G1281" t="s">
        <v>67</v>
      </c>
      <c r="H1281" t="s">
        <v>173</v>
      </c>
      <c r="I1281" t="s">
        <v>260</v>
      </c>
      <c r="J1281">
        <v>13</v>
      </c>
      <c r="K1281" s="16">
        <v>429000</v>
      </c>
      <c r="L1281" s="16">
        <v>315767.03000000003</v>
      </c>
      <c r="M1281" s="16">
        <v>113232.97</v>
      </c>
      <c r="N1281" t="s">
        <v>125</v>
      </c>
      <c r="O1281" t="s">
        <v>119</v>
      </c>
      <c r="P1281" t="str">
        <f t="shared" si="19"/>
        <v>Jaipur|Tablet X</v>
      </c>
    </row>
    <row r="1282" spans="1:16" x14ac:dyDescent="0.3">
      <c r="A1282" s="15">
        <v>46181</v>
      </c>
      <c r="B1282" t="s">
        <v>34</v>
      </c>
      <c r="C1282" t="s">
        <v>126</v>
      </c>
      <c r="D1282" t="s">
        <v>127</v>
      </c>
      <c r="E1282" t="s">
        <v>128</v>
      </c>
      <c r="F1282" t="s">
        <v>97</v>
      </c>
      <c r="G1282" t="s">
        <v>87</v>
      </c>
      <c r="H1282" t="s">
        <v>110</v>
      </c>
      <c r="I1282" t="s">
        <v>391</v>
      </c>
      <c r="J1282">
        <v>17</v>
      </c>
      <c r="K1282" s="16">
        <v>206125</v>
      </c>
      <c r="L1282" s="16">
        <v>155605.98000000001</v>
      </c>
      <c r="M1282" s="16">
        <v>50519.02</v>
      </c>
      <c r="N1282" t="s">
        <v>125</v>
      </c>
      <c r="O1282" t="s">
        <v>113</v>
      </c>
      <c r="P1282" t="str">
        <f t="shared" si="19"/>
        <v>Gurugram|Microwave</v>
      </c>
    </row>
    <row r="1283" spans="1:16" x14ac:dyDescent="0.3">
      <c r="A1283" s="15">
        <v>46080</v>
      </c>
      <c r="B1283" t="s">
        <v>34</v>
      </c>
      <c r="C1283" t="s">
        <v>107</v>
      </c>
      <c r="D1283" t="s">
        <v>108</v>
      </c>
      <c r="E1283" t="s">
        <v>132</v>
      </c>
      <c r="F1283" t="s">
        <v>95</v>
      </c>
      <c r="G1283" t="s">
        <v>74</v>
      </c>
      <c r="H1283" t="s">
        <v>184</v>
      </c>
      <c r="I1283" t="s">
        <v>201</v>
      </c>
      <c r="J1283">
        <v>2</v>
      </c>
      <c r="K1283" s="16">
        <v>9312</v>
      </c>
      <c r="L1283" s="16">
        <v>5979.19</v>
      </c>
      <c r="M1283" s="16">
        <v>3332.81</v>
      </c>
      <c r="N1283" t="s">
        <v>112</v>
      </c>
      <c r="O1283" t="s">
        <v>119</v>
      </c>
      <c r="P1283" t="str">
        <f t="shared" si="19"/>
        <v>Jaipur|Headset</v>
      </c>
    </row>
    <row r="1284" spans="1:16" x14ac:dyDescent="0.3">
      <c r="A1284" s="15">
        <v>46257</v>
      </c>
      <c r="B1284" t="s">
        <v>34</v>
      </c>
      <c r="C1284" t="s">
        <v>107</v>
      </c>
      <c r="D1284" t="s">
        <v>115</v>
      </c>
      <c r="E1284" t="s">
        <v>191</v>
      </c>
      <c r="F1284" t="s">
        <v>96</v>
      </c>
      <c r="G1284" t="s">
        <v>83</v>
      </c>
      <c r="H1284" t="s">
        <v>129</v>
      </c>
      <c r="I1284" t="s">
        <v>243</v>
      </c>
      <c r="J1284">
        <v>15</v>
      </c>
      <c r="K1284" s="16">
        <v>523800</v>
      </c>
      <c r="L1284" s="16">
        <v>376442.68</v>
      </c>
      <c r="M1284" s="16">
        <v>147357.32</v>
      </c>
      <c r="N1284" t="s">
        <v>131</v>
      </c>
      <c r="O1284" t="s">
        <v>142</v>
      </c>
      <c r="P1284" t="str">
        <f t="shared" si="19"/>
        <v>Surat|Meeting Table</v>
      </c>
    </row>
    <row r="1285" spans="1:16" x14ac:dyDescent="0.3">
      <c r="A1285" s="15">
        <v>46146</v>
      </c>
      <c r="B1285" t="s">
        <v>34</v>
      </c>
      <c r="C1285" t="s">
        <v>126</v>
      </c>
      <c r="D1285" t="s">
        <v>127</v>
      </c>
      <c r="E1285" t="s">
        <v>143</v>
      </c>
      <c r="F1285" t="s">
        <v>97</v>
      </c>
      <c r="G1285" t="s">
        <v>87</v>
      </c>
      <c r="H1285" t="s">
        <v>117</v>
      </c>
      <c r="I1285" t="s">
        <v>376</v>
      </c>
      <c r="J1285">
        <v>17</v>
      </c>
      <c r="K1285" s="16">
        <v>201875</v>
      </c>
      <c r="L1285" s="16">
        <v>153820.34</v>
      </c>
      <c r="M1285" s="16">
        <v>48054.66</v>
      </c>
      <c r="N1285" t="s">
        <v>125</v>
      </c>
      <c r="O1285" t="s">
        <v>119</v>
      </c>
      <c r="P1285" t="str">
        <f t="shared" ref="P1285:P1348" si="20">E1285&amp;"|"&amp;G1285</f>
        <v>Faridabad|Microwave</v>
      </c>
    </row>
    <row r="1286" spans="1:16" x14ac:dyDescent="0.3">
      <c r="A1286" s="15">
        <v>46181</v>
      </c>
      <c r="B1286" t="s">
        <v>34</v>
      </c>
      <c r="C1286" t="s">
        <v>121</v>
      </c>
      <c r="D1286" t="s">
        <v>122</v>
      </c>
      <c r="E1286" t="s">
        <v>166</v>
      </c>
      <c r="F1286" t="s">
        <v>94</v>
      </c>
      <c r="G1286" t="s">
        <v>67</v>
      </c>
      <c r="H1286" t="s">
        <v>184</v>
      </c>
      <c r="I1286" t="s">
        <v>228</v>
      </c>
      <c r="J1286">
        <v>12</v>
      </c>
      <c r="K1286" s="16">
        <v>376200</v>
      </c>
      <c r="L1286" s="16">
        <v>253368.21</v>
      </c>
      <c r="M1286" s="16">
        <v>122831.79</v>
      </c>
      <c r="N1286" t="s">
        <v>131</v>
      </c>
      <c r="O1286" t="s">
        <v>119</v>
      </c>
      <c r="P1286" t="str">
        <f t="shared" si="20"/>
        <v>Kolkata|Tablet X</v>
      </c>
    </row>
    <row r="1287" spans="1:16" x14ac:dyDescent="0.3">
      <c r="A1287" s="15">
        <v>46120</v>
      </c>
      <c r="B1287" t="s">
        <v>34</v>
      </c>
      <c r="C1287" t="s">
        <v>152</v>
      </c>
      <c r="D1287" t="s">
        <v>187</v>
      </c>
      <c r="E1287" t="s">
        <v>188</v>
      </c>
      <c r="F1287" t="s">
        <v>94</v>
      </c>
      <c r="G1287" t="s">
        <v>67</v>
      </c>
      <c r="H1287" t="s">
        <v>110</v>
      </c>
      <c r="I1287" t="s">
        <v>283</v>
      </c>
      <c r="J1287">
        <v>12</v>
      </c>
      <c r="K1287" s="16">
        <v>384120</v>
      </c>
      <c r="L1287" s="16">
        <v>310050.09000000003</v>
      </c>
      <c r="M1287" s="16">
        <v>74069.91</v>
      </c>
      <c r="N1287" t="s">
        <v>131</v>
      </c>
      <c r="O1287" t="s">
        <v>119</v>
      </c>
      <c r="P1287" t="str">
        <f t="shared" si="20"/>
        <v>Warangal|Tablet X</v>
      </c>
    </row>
    <row r="1288" spans="1:16" x14ac:dyDescent="0.3">
      <c r="A1288" s="15">
        <v>46057</v>
      </c>
      <c r="B1288" t="s">
        <v>120</v>
      </c>
      <c r="C1288" t="s">
        <v>126</v>
      </c>
      <c r="D1288" t="s">
        <v>127</v>
      </c>
      <c r="E1288" t="s">
        <v>143</v>
      </c>
      <c r="F1288" t="s">
        <v>97</v>
      </c>
      <c r="G1288" t="s">
        <v>86</v>
      </c>
      <c r="H1288" t="s">
        <v>139</v>
      </c>
      <c r="I1288" t="s">
        <v>400</v>
      </c>
      <c r="J1288">
        <v>4</v>
      </c>
      <c r="K1288" s="16">
        <v>22880</v>
      </c>
      <c r="L1288" s="16">
        <v>18583.04</v>
      </c>
      <c r="M1288" s="16">
        <v>4296.96</v>
      </c>
      <c r="N1288" t="s">
        <v>131</v>
      </c>
      <c r="O1288" t="s">
        <v>119</v>
      </c>
      <c r="P1288" t="str">
        <f t="shared" si="20"/>
        <v>Faridabad|Coffee Maker</v>
      </c>
    </row>
    <row r="1289" spans="1:16" x14ac:dyDescent="0.3">
      <c r="A1289" s="15">
        <v>46232</v>
      </c>
      <c r="B1289" t="s">
        <v>34</v>
      </c>
      <c r="C1289" t="s">
        <v>121</v>
      </c>
      <c r="D1289" t="s">
        <v>137</v>
      </c>
      <c r="E1289" t="s">
        <v>138</v>
      </c>
      <c r="F1289" t="s">
        <v>97</v>
      </c>
      <c r="G1289" t="s">
        <v>87</v>
      </c>
      <c r="H1289" t="s">
        <v>110</v>
      </c>
      <c r="I1289" t="s">
        <v>229</v>
      </c>
      <c r="J1289">
        <v>14</v>
      </c>
      <c r="K1289" s="16">
        <v>169750</v>
      </c>
      <c r="L1289" s="16">
        <v>107757.97</v>
      </c>
      <c r="M1289" s="16">
        <v>61992.03</v>
      </c>
      <c r="N1289" t="s">
        <v>125</v>
      </c>
      <c r="O1289" t="s">
        <v>113</v>
      </c>
      <c r="P1289" t="str">
        <f t="shared" si="20"/>
        <v>Cuttack|Microwave</v>
      </c>
    </row>
    <row r="1290" spans="1:16" x14ac:dyDescent="0.3">
      <c r="A1290" s="15">
        <v>46092</v>
      </c>
      <c r="B1290" t="s">
        <v>120</v>
      </c>
      <c r="C1290" t="s">
        <v>121</v>
      </c>
      <c r="D1290" t="s">
        <v>137</v>
      </c>
      <c r="E1290" t="s">
        <v>171</v>
      </c>
      <c r="F1290" t="s">
        <v>94</v>
      </c>
      <c r="G1290" t="s">
        <v>70</v>
      </c>
      <c r="H1290" t="s">
        <v>139</v>
      </c>
      <c r="I1290" t="s">
        <v>263</v>
      </c>
      <c r="J1290">
        <v>1</v>
      </c>
      <c r="K1290" s="16">
        <v>13640</v>
      </c>
      <c r="L1290" s="16">
        <v>9853.65</v>
      </c>
      <c r="M1290" s="16">
        <v>3786.35</v>
      </c>
      <c r="N1290" t="s">
        <v>125</v>
      </c>
      <c r="O1290" t="s">
        <v>142</v>
      </c>
      <c r="P1290" t="str">
        <f t="shared" si="20"/>
        <v>Bhubaneswar|Printer Pro</v>
      </c>
    </row>
    <row r="1291" spans="1:16" x14ac:dyDescent="0.3">
      <c r="A1291" s="15">
        <v>46042</v>
      </c>
      <c r="B1291" t="s">
        <v>34</v>
      </c>
      <c r="C1291" t="s">
        <v>126</v>
      </c>
      <c r="D1291" t="s">
        <v>196</v>
      </c>
      <c r="E1291" t="s">
        <v>208</v>
      </c>
      <c r="F1291" t="s">
        <v>95</v>
      </c>
      <c r="G1291" t="s">
        <v>78</v>
      </c>
      <c r="H1291" t="s">
        <v>184</v>
      </c>
      <c r="I1291" t="s">
        <v>393</v>
      </c>
      <c r="J1291">
        <v>12</v>
      </c>
      <c r="K1291" s="16">
        <v>47880</v>
      </c>
      <c r="L1291" s="16">
        <v>34622.58</v>
      </c>
      <c r="M1291" s="16">
        <v>13257.42</v>
      </c>
      <c r="N1291" t="s">
        <v>141</v>
      </c>
      <c r="O1291" t="s">
        <v>119</v>
      </c>
      <c r="P1291" t="str">
        <f t="shared" si="20"/>
        <v>New Delhi|Webcam</v>
      </c>
    </row>
    <row r="1292" spans="1:16" x14ac:dyDescent="0.3">
      <c r="A1292" s="15">
        <v>46060</v>
      </c>
      <c r="B1292" t="s">
        <v>34</v>
      </c>
      <c r="C1292" t="s">
        <v>121</v>
      </c>
      <c r="D1292" t="s">
        <v>146</v>
      </c>
      <c r="E1292" t="s">
        <v>147</v>
      </c>
      <c r="F1292" t="s">
        <v>97</v>
      </c>
      <c r="G1292" t="s">
        <v>87</v>
      </c>
      <c r="H1292" t="s">
        <v>184</v>
      </c>
      <c r="I1292" t="s">
        <v>269</v>
      </c>
      <c r="J1292">
        <v>13</v>
      </c>
      <c r="K1292" s="16">
        <v>154375</v>
      </c>
      <c r="L1292" s="16">
        <v>97753.48</v>
      </c>
      <c r="M1292" s="16">
        <v>56621.52</v>
      </c>
      <c r="N1292" t="s">
        <v>141</v>
      </c>
      <c r="O1292" t="s">
        <v>142</v>
      </c>
      <c r="P1292" t="str">
        <f t="shared" si="20"/>
        <v>Guwahati|Microwave</v>
      </c>
    </row>
    <row r="1293" spans="1:16" x14ac:dyDescent="0.3">
      <c r="A1293" s="15">
        <v>46071</v>
      </c>
      <c r="B1293" t="s">
        <v>34</v>
      </c>
      <c r="C1293" t="s">
        <v>126</v>
      </c>
      <c r="D1293" t="s">
        <v>127</v>
      </c>
      <c r="E1293" t="s">
        <v>143</v>
      </c>
      <c r="F1293" t="s">
        <v>94</v>
      </c>
      <c r="G1293" t="s">
        <v>67</v>
      </c>
      <c r="H1293" t="s">
        <v>139</v>
      </c>
      <c r="I1293" t="s">
        <v>390</v>
      </c>
      <c r="J1293">
        <v>19</v>
      </c>
      <c r="K1293" s="16">
        <v>595650</v>
      </c>
      <c r="L1293" s="16">
        <v>467319.62</v>
      </c>
      <c r="M1293" s="16">
        <v>128330.38</v>
      </c>
      <c r="N1293" t="s">
        <v>131</v>
      </c>
      <c r="O1293" t="s">
        <v>142</v>
      </c>
      <c r="P1293" t="str">
        <f t="shared" si="20"/>
        <v>Faridabad|Tablet X</v>
      </c>
    </row>
    <row r="1294" spans="1:16" x14ac:dyDescent="0.3">
      <c r="A1294" s="15">
        <v>46252</v>
      </c>
      <c r="B1294" t="s">
        <v>34</v>
      </c>
      <c r="C1294" t="s">
        <v>107</v>
      </c>
      <c r="D1294" t="s">
        <v>149</v>
      </c>
      <c r="E1294" t="s">
        <v>159</v>
      </c>
      <c r="F1294" t="s">
        <v>96</v>
      </c>
      <c r="G1294" t="s">
        <v>84</v>
      </c>
      <c r="H1294" t="s">
        <v>139</v>
      </c>
      <c r="I1294" t="s">
        <v>200</v>
      </c>
      <c r="J1294">
        <v>13</v>
      </c>
      <c r="K1294" s="16">
        <v>165880</v>
      </c>
      <c r="L1294" s="16">
        <v>107466.75</v>
      </c>
      <c r="M1294" s="16">
        <v>58413.25</v>
      </c>
      <c r="N1294" t="s">
        <v>112</v>
      </c>
      <c r="O1294" t="s">
        <v>119</v>
      </c>
      <c r="P1294" t="str">
        <f t="shared" si="20"/>
        <v>Pune|Filing Cabinet</v>
      </c>
    </row>
    <row r="1295" spans="1:16" x14ac:dyDescent="0.3">
      <c r="A1295" s="15">
        <v>46119</v>
      </c>
      <c r="B1295" t="s">
        <v>34</v>
      </c>
      <c r="C1295" t="s">
        <v>107</v>
      </c>
      <c r="D1295" t="s">
        <v>149</v>
      </c>
      <c r="E1295" t="s">
        <v>150</v>
      </c>
      <c r="F1295" t="s">
        <v>95</v>
      </c>
      <c r="G1295" t="s">
        <v>76</v>
      </c>
      <c r="H1295" t="s">
        <v>117</v>
      </c>
      <c r="I1295" t="s">
        <v>356</v>
      </c>
      <c r="J1295">
        <v>13</v>
      </c>
      <c r="K1295" s="16">
        <v>23400</v>
      </c>
      <c r="L1295" s="16">
        <v>18874.490000000002</v>
      </c>
      <c r="M1295" s="16">
        <v>4525.51</v>
      </c>
      <c r="N1295" t="s">
        <v>125</v>
      </c>
      <c r="O1295" t="s">
        <v>113</v>
      </c>
      <c r="P1295" t="str">
        <f t="shared" si="20"/>
        <v>Mumbai|Mouse</v>
      </c>
    </row>
    <row r="1296" spans="1:16" x14ac:dyDescent="0.3">
      <c r="A1296" s="15">
        <v>46259</v>
      </c>
      <c r="B1296" t="s">
        <v>34</v>
      </c>
      <c r="C1296" t="s">
        <v>152</v>
      </c>
      <c r="D1296" t="s">
        <v>187</v>
      </c>
      <c r="E1296" t="s">
        <v>199</v>
      </c>
      <c r="F1296" t="s">
        <v>95</v>
      </c>
      <c r="G1296" t="s">
        <v>78</v>
      </c>
      <c r="H1296" t="s">
        <v>117</v>
      </c>
      <c r="I1296" t="s">
        <v>379</v>
      </c>
      <c r="J1296">
        <v>15</v>
      </c>
      <c r="K1296" s="16">
        <v>57960</v>
      </c>
      <c r="L1296" s="16">
        <v>36116.99</v>
      </c>
      <c r="M1296" s="16">
        <v>21843.01</v>
      </c>
      <c r="N1296" t="s">
        <v>131</v>
      </c>
      <c r="O1296" t="s">
        <v>119</v>
      </c>
      <c r="P1296" t="str">
        <f t="shared" si="20"/>
        <v>Hyderabad|Webcam</v>
      </c>
    </row>
    <row r="1297" spans="1:16" x14ac:dyDescent="0.3">
      <c r="A1297" s="15">
        <v>46157</v>
      </c>
      <c r="B1297" t="s">
        <v>34</v>
      </c>
      <c r="C1297" t="s">
        <v>107</v>
      </c>
      <c r="D1297" t="s">
        <v>108</v>
      </c>
      <c r="E1297" t="s">
        <v>109</v>
      </c>
      <c r="F1297" t="s">
        <v>97</v>
      </c>
      <c r="G1297" t="s">
        <v>85</v>
      </c>
      <c r="H1297" t="s">
        <v>173</v>
      </c>
      <c r="I1297" t="s">
        <v>328</v>
      </c>
      <c r="J1297">
        <v>13</v>
      </c>
      <c r="K1297" s="16">
        <v>222300</v>
      </c>
      <c r="L1297" s="16">
        <v>155620.60999999999</v>
      </c>
      <c r="M1297" s="16">
        <v>66679.39</v>
      </c>
      <c r="N1297" t="s">
        <v>131</v>
      </c>
      <c r="O1297" t="s">
        <v>113</v>
      </c>
      <c r="P1297" t="str">
        <f t="shared" si="20"/>
        <v>Udaipur|Air Purifier</v>
      </c>
    </row>
    <row r="1298" spans="1:16" x14ac:dyDescent="0.3">
      <c r="A1298" s="15">
        <v>46044</v>
      </c>
      <c r="B1298" t="s">
        <v>34</v>
      </c>
      <c r="C1298" t="s">
        <v>152</v>
      </c>
      <c r="D1298" t="s">
        <v>156</v>
      </c>
      <c r="E1298" t="s">
        <v>157</v>
      </c>
      <c r="F1298" t="s">
        <v>96</v>
      </c>
      <c r="G1298" t="s">
        <v>83</v>
      </c>
      <c r="H1298" t="s">
        <v>173</v>
      </c>
      <c r="I1298" t="s">
        <v>177</v>
      </c>
      <c r="J1298">
        <v>1</v>
      </c>
      <c r="K1298" s="16">
        <v>36000</v>
      </c>
      <c r="L1298" s="16">
        <v>28901.69</v>
      </c>
      <c r="M1298" s="16">
        <v>7098.31</v>
      </c>
      <c r="N1298" t="s">
        <v>112</v>
      </c>
      <c r="O1298" t="s">
        <v>113</v>
      </c>
      <c r="P1298" t="str">
        <f t="shared" si="20"/>
        <v>Mysuru|Meeting Table</v>
      </c>
    </row>
    <row r="1299" spans="1:16" x14ac:dyDescent="0.3">
      <c r="A1299" s="15">
        <v>46160</v>
      </c>
      <c r="B1299" t="s">
        <v>34</v>
      </c>
      <c r="C1299" t="s">
        <v>126</v>
      </c>
      <c r="D1299" t="s">
        <v>127</v>
      </c>
      <c r="E1299" t="s">
        <v>128</v>
      </c>
      <c r="F1299" t="s">
        <v>97</v>
      </c>
      <c r="G1299" t="s">
        <v>87</v>
      </c>
      <c r="H1299" t="s">
        <v>173</v>
      </c>
      <c r="I1299" t="s">
        <v>325</v>
      </c>
      <c r="J1299">
        <v>20</v>
      </c>
      <c r="K1299" s="16">
        <v>250000</v>
      </c>
      <c r="L1299" s="16">
        <v>176619.94</v>
      </c>
      <c r="M1299" s="16">
        <v>73380.06</v>
      </c>
      <c r="N1299" t="s">
        <v>141</v>
      </c>
      <c r="O1299" t="s">
        <v>113</v>
      </c>
      <c r="P1299" t="str">
        <f t="shared" si="20"/>
        <v>Gurugram|Microwave</v>
      </c>
    </row>
    <row r="1300" spans="1:16" x14ac:dyDescent="0.3">
      <c r="A1300" s="15">
        <v>46080</v>
      </c>
      <c r="B1300" t="s">
        <v>34</v>
      </c>
      <c r="C1300" t="s">
        <v>152</v>
      </c>
      <c r="D1300" t="s">
        <v>156</v>
      </c>
      <c r="E1300" t="s">
        <v>157</v>
      </c>
      <c r="F1300" t="s">
        <v>95</v>
      </c>
      <c r="G1300" t="s">
        <v>78</v>
      </c>
      <c r="H1300" t="s">
        <v>173</v>
      </c>
      <c r="I1300" t="s">
        <v>223</v>
      </c>
      <c r="J1300">
        <v>11</v>
      </c>
      <c r="K1300" s="16">
        <v>46200</v>
      </c>
      <c r="L1300" s="16">
        <v>29275.25</v>
      </c>
      <c r="M1300" s="16">
        <v>16924.75</v>
      </c>
      <c r="N1300" t="s">
        <v>131</v>
      </c>
      <c r="O1300" t="s">
        <v>119</v>
      </c>
      <c r="P1300" t="str">
        <f t="shared" si="20"/>
        <v>Mysuru|Webcam</v>
      </c>
    </row>
    <row r="1301" spans="1:16" x14ac:dyDescent="0.3">
      <c r="A1301" s="15">
        <v>46211</v>
      </c>
      <c r="B1301" t="s">
        <v>34</v>
      </c>
      <c r="C1301" t="s">
        <v>126</v>
      </c>
      <c r="D1301" t="s">
        <v>162</v>
      </c>
      <c r="E1301" t="s">
        <v>204</v>
      </c>
      <c r="F1301" t="s">
        <v>95</v>
      </c>
      <c r="G1301" t="s">
        <v>78</v>
      </c>
      <c r="H1301" t="s">
        <v>117</v>
      </c>
      <c r="I1301" t="s">
        <v>345</v>
      </c>
      <c r="J1301">
        <v>11</v>
      </c>
      <c r="K1301" s="16">
        <v>42504</v>
      </c>
      <c r="L1301" s="16">
        <v>30037.62</v>
      </c>
      <c r="M1301" s="16">
        <v>12466.38</v>
      </c>
      <c r="N1301" t="s">
        <v>131</v>
      </c>
      <c r="O1301" t="s">
        <v>113</v>
      </c>
      <c r="P1301" t="str">
        <f t="shared" si="20"/>
        <v>Noida|Webcam</v>
      </c>
    </row>
    <row r="1302" spans="1:16" x14ac:dyDescent="0.3">
      <c r="A1302" s="15">
        <v>46024</v>
      </c>
      <c r="B1302" t="s">
        <v>34</v>
      </c>
      <c r="C1302" t="s">
        <v>107</v>
      </c>
      <c r="D1302" t="s">
        <v>115</v>
      </c>
      <c r="E1302" t="s">
        <v>191</v>
      </c>
      <c r="F1302" t="s">
        <v>97</v>
      </c>
      <c r="G1302" t="s">
        <v>87</v>
      </c>
      <c r="H1302" t="s">
        <v>184</v>
      </c>
      <c r="I1302" t="s">
        <v>287</v>
      </c>
      <c r="J1302">
        <v>9</v>
      </c>
      <c r="K1302" s="16">
        <v>99000</v>
      </c>
      <c r="L1302" s="16">
        <v>62826.77</v>
      </c>
      <c r="M1302" s="16">
        <v>36173.230000000003</v>
      </c>
      <c r="N1302" t="s">
        <v>125</v>
      </c>
      <c r="O1302" t="s">
        <v>119</v>
      </c>
      <c r="P1302" t="str">
        <f t="shared" si="20"/>
        <v>Surat|Microwave</v>
      </c>
    </row>
    <row r="1303" spans="1:16" x14ac:dyDescent="0.3">
      <c r="A1303" s="15">
        <v>46181</v>
      </c>
      <c r="B1303" t="s">
        <v>34</v>
      </c>
      <c r="C1303" t="s">
        <v>126</v>
      </c>
      <c r="D1303" t="s">
        <v>162</v>
      </c>
      <c r="E1303" t="s">
        <v>204</v>
      </c>
      <c r="F1303" t="s">
        <v>96</v>
      </c>
      <c r="G1303" t="s">
        <v>83</v>
      </c>
      <c r="H1303" t="s">
        <v>139</v>
      </c>
      <c r="I1303" t="s">
        <v>192</v>
      </c>
      <c r="J1303">
        <v>9</v>
      </c>
      <c r="K1303" s="16">
        <v>324000</v>
      </c>
      <c r="L1303" s="16">
        <v>232197.92</v>
      </c>
      <c r="M1303" s="16">
        <v>91802.08</v>
      </c>
      <c r="N1303" t="s">
        <v>112</v>
      </c>
      <c r="O1303" t="s">
        <v>113</v>
      </c>
      <c r="P1303" t="str">
        <f t="shared" si="20"/>
        <v>Noida|Meeting Table</v>
      </c>
    </row>
    <row r="1304" spans="1:16" x14ac:dyDescent="0.3">
      <c r="A1304" s="15">
        <v>46086</v>
      </c>
      <c r="B1304" t="s">
        <v>114</v>
      </c>
      <c r="C1304" t="s">
        <v>121</v>
      </c>
      <c r="D1304" t="s">
        <v>122</v>
      </c>
      <c r="E1304" t="s">
        <v>166</v>
      </c>
      <c r="F1304" t="s">
        <v>97</v>
      </c>
      <c r="G1304" t="s">
        <v>88</v>
      </c>
      <c r="H1304" t="s">
        <v>135</v>
      </c>
      <c r="I1304" t="s">
        <v>218</v>
      </c>
      <c r="J1304">
        <v>2</v>
      </c>
      <c r="K1304" s="16">
        <v>26680</v>
      </c>
      <c r="L1304" s="16">
        <v>21686.03</v>
      </c>
      <c r="M1304" s="16">
        <v>4993.97</v>
      </c>
      <c r="N1304" t="s">
        <v>131</v>
      </c>
      <c r="O1304" t="s">
        <v>113</v>
      </c>
      <c r="P1304" t="str">
        <f t="shared" si="20"/>
        <v>Kolkata|Vacuum Cleaner</v>
      </c>
    </row>
    <row r="1305" spans="1:16" x14ac:dyDescent="0.3">
      <c r="A1305" s="15">
        <v>46239</v>
      </c>
      <c r="B1305" t="s">
        <v>34</v>
      </c>
      <c r="C1305" t="s">
        <v>121</v>
      </c>
      <c r="D1305" t="s">
        <v>146</v>
      </c>
      <c r="E1305" t="s">
        <v>175</v>
      </c>
      <c r="F1305" t="s">
        <v>95</v>
      </c>
      <c r="G1305" t="s">
        <v>76</v>
      </c>
      <c r="H1305" t="s">
        <v>135</v>
      </c>
      <c r="I1305" t="s">
        <v>327</v>
      </c>
      <c r="J1305">
        <v>15</v>
      </c>
      <c r="K1305" s="16">
        <v>25650</v>
      </c>
      <c r="L1305" s="16">
        <v>16090.73</v>
      </c>
      <c r="M1305" s="16">
        <v>9559.27</v>
      </c>
      <c r="N1305" t="s">
        <v>112</v>
      </c>
      <c r="O1305" t="s">
        <v>113</v>
      </c>
      <c r="P1305" t="str">
        <f t="shared" si="20"/>
        <v>Dibrugarh|Mouse</v>
      </c>
    </row>
    <row r="1306" spans="1:16" x14ac:dyDescent="0.3">
      <c r="A1306" s="15">
        <v>46028</v>
      </c>
      <c r="B1306" t="s">
        <v>34</v>
      </c>
      <c r="C1306" t="s">
        <v>152</v>
      </c>
      <c r="D1306" t="s">
        <v>153</v>
      </c>
      <c r="E1306" t="s">
        <v>169</v>
      </c>
      <c r="F1306" t="s">
        <v>96</v>
      </c>
      <c r="G1306" t="s">
        <v>80</v>
      </c>
      <c r="H1306" t="s">
        <v>139</v>
      </c>
      <c r="I1306" t="s">
        <v>160</v>
      </c>
      <c r="J1306">
        <v>14</v>
      </c>
      <c r="K1306" s="16">
        <v>166250</v>
      </c>
      <c r="L1306" s="16">
        <v>132340.92000000001</v>
      </c>
      <c r="M1306" s="16">
        <v>33909.08</v>
      </c>
      <c r="N1306" t="s">
        <v>131</v>
      </c>
      <c r="O1306" t="s">
        <v>113</v>
      </c>
      <c r="P1306" t="str">
        <f t="shared" si="20"/>
        <v>Chennai|Office Chair</v>
      </c>
    </row>
    <row r="1307" spans="1:16" x14ac:dyDescent="0.3">
      <c r="A1307" s="15">
        <v>46153</v>
      </c>
      <c r="B1307" t="s">
        <v>34</v>
      </c>
      <c r="C1307" t="s">
        <v>121</v>
      </c>
      <c r="D1307" t="s">
        <v>122</v>
      </c>
      <c r="E1307" t="s">
        <v>166</v>
      </c>
      <c r="F1307" t="s">
        <v>94</v>
      </c>
      <c r="G1307" t="s">
        <v>61</v>
      </c>
      <c r="H1307" t="s">
        <v>139</v>
      </c>
      <c r="I1307" t="s">
        <v>410</v>
      </c>
      <c r="J1307">
        <v>5</v>
      </c>
      <c r="K1307" s="16">
        <v>378300</v>
      </c>
      <c r="L1307" s="16">
        <v>309044.76</v>
      </c>
      <c r="M1307" s="16">
        <v>69255.240000000005</v>
      </c>
      <c r="N1307" t="s">
        <v>131</v>
      </c>
      <c r="O1307" t="s">
        <v>113</v>
      </c>
      <c r="P1307" t="str">
        <f t="shared" si="20"/>
        <v>Kolkata|Laptop Pro</v>
      </c>
    </row>
    <row r="1308" spans="1:16" x14ac:dyDescent="0.3">
      <c r="A1308" s="15">
        <v>46195</v>
      </c>
      <c r="B1308" t="s">
        <v>34</v>
      </c>
      <c r="C1308" t="s">
        <v>126</v>
      </c>
      <c r="D1308" t="s">
        <v>127</v>
      </c>
      <c r="E1308" t="s">
        <v>128</v>
      </c>
      <c r="F1308" t="s">
        <v>96</v>
      </c>
      <c r="G1308" t="s">
        <v>83</v>
      </c>
      <c r="H1308" t="s">
        <v>129</v>
      </c>
      <c r="I1308" t="s">
        <v>252</v>
      </c>
      <c r="J1308">
        <v>10</v>
      </c>
      <c r="K1308" s="16">
        <v>342000</v>
      </c>
      <c r="L1308" s="16">
        <v>240411.64</v>
      </c>
      <c r="M1308" s="16">
        <v>101588.36</v>
      </c>
      <c r="N1308" t="s">
        <v>112</v>
      </c>
      <c r="O1308" t="s">
        <v>119</v>
      </c>
      <c r="P1308" t="str">
        <f t="shared" si="20"/>
        <v>Gurugram|Meeting Table</v>
      </c>
    </row>
    <row r="1309" spans="1:16" x14ac:dyDescent="0.3">
      <c r="A1309" s="15">
        <v>46061</v>
      </c>
      <c r="B1309" t="s">
        <v>34</v>
      </c>
      <c r="C1309" t="s">
        <v>152</v>
      </c>
      <c r="D1309" t="s">
        <v>156</v>
      </c>
      <c r="E1309" t="s">
        <v>157</v>
      </c>
      <c r="F1309" t="s">
        <v>95</v>
      </c>
      <c r="G1309" t="s">
        <v>72</v>
      </c>
      <c r="H1309" t="s">
        <v>139</v>
      </c>
      <c r="I1309" t="s">
        <v>356</v>
      </c>
      <c r="J1309">
        <v>14</v>
      </c>
      <c r="K1309" s="16">
        <v>44800</v>
      </c>
      <c r="L1309" s="16">
        <v>31269.89</v>
      </c>
      <c r="M1309" s="16">
        <v>13530.11</v>
      </c>
      <c r="N1309" t="s">
        <v>125</v>
      </c>
      <c r="O1309" t="s">
        <v>113</v>
      </c>
      <c r="P1309" t="str">
        <f t="shared" si="20"/>
        <v>Mysuru|Keyboard</v>
      </c>
    </row>
    <row r="1310" spans="1:16" x14ac:dyDescent="0.3">
      <c r="A1310" s="15">
        <v>46057</v>
      </c>
      <c r="B1310" t="s">
        <v>34</v>
      </c>
      <c r="C1310" t="s">
        <v>107</v>
      </c>
      <c r="D1310" t="s">
        <v>108</v>
      </c>
      <c r="E1310" t="s">
        <v>132</v>
      </c>
      <c r="F1310" t="s">
        <v>96</v>
      </c>
      <c r="G1310" t="s">
        <v>80</v>
      </c>
      <c r="H1310" t="s">
        <v>133</v>
      </c>
      <c r="I1310" t="s">
        <v>254</v>
      </c>
      <c r="J1310">
        <v>14</v>
      </c>
      <c r="K1310" s="16">
        <v>169750</v>
      </c>
      <c r="L1310" s="16">
        <v>134909.71</v>
      </c>
      <c r="M1310" s="16">
        <v>34840.29</v>
      </c>
      <c r="N1310" t="s">
        <v>125</v>
      </c>
      <c r="O1310" t="s">
        <v>142</v>
      </c>
      <c r="P1310" t="str">
        <f t="shared" si="20"/>
        <v>Jaipur|Office Chair</v>
      </c>
    </row>
    <row r="1311" spans="1:16" x14ac:dyDescent="0.3">
      <c r="A1311" s="15">
        <v>46131</v>
      </c>
      <c r="B1311" t="s">
        <v>120</v>
      </c>
      <c r="C1311" t="s">
        <v>107</v>
      </c>
      <c r="D1311" t="s">
        <v>108</v>
      </c>
      <c r="E1311" t="s">
        <v>109</v>
      </c>
      <c r="F1311" t="s">
        <v>95</v>
      </c>
      <c r="G1311" t="s">
        <v>72</v>
      </c>
      <c r="H1311" t="s">
        <v>129</v>
      </c>
      <c r="I1311" t="s">
        <v>347</v>
      </c>
      <c r="J1311">
        <v>16</v>
      </c>
      <c r="K1311" s="16">
        <v>49664</v>
      </c>
      <c r="L1311" s="16">
        <v>37558.78</v>
      </c>
      <c r="M1311" s="16">
        <v>12105.22</v>
      </c>
      <c r="N1311" t="s">
        <v>125</v>
      </c>
      <c r="O1311" t="s">
        <v>142</v>
      </c>
      <c r="P1311" t="str">
        <f t="shared" si="20"/>
        <v>Udaipur|Keyboard</v>
      </c>
    </row>
    <row r="1312" spans="1:16" x14ac:dyDescent="0.3">
      <c r="A1312" s="15">
        <v>46042</v>
      </c>
      <c r="B1312" t="s">
        <v>34</v>
      </c>
      <c r="C1312" t="s">
        <v>152</v>
      </c>
      <c r="D1312" t="s">
        <v>153</v>
      </c>
      <c r="E1312" t="s">
        <v>154</v>
      </c>
      <c r="F1312" t="s">
        <v>97</v>
      </c>
      <c r="G1312" t="s">
        <v>87</v>
      </c>
      <c r="H1312" t="s">
        <v>133</v>
      </c>
      <c r="I1312" t="s">
        <v>391</v>
      </c>
      <c r="J1312">
        <v>7</v>
      </c>
      <c r="K1312" s="16">
        <v>87500</v>
      </c>
      <c r="L1312" s="16">
        <v>55336.38</v>
      </c>
      <c r="M1312" s="16">
        <v>32163.62</v>
      </c>
      <c r="N1312" t="s">
        <v>112</v>
      </c>
      <c r="O1312" t="s">
        <v>119</v>
      </c>
      <c r="P1312" t="str">
        <f t="shared" si="20"/>
        <v>Coimbatore|Microwave</v>
      </c>
    </row>
    <row r="1313" spans="1:16" x14ac:dyDescent="0.3">
      <c r="A1313" s="15">
        <v>46147</v>
      </c>
      <c r="B1313" t="s">
        <v>34</v>
      </c>
      <c r="C1313" t="s">
        <v>107</v>
      </c>
      <c r="D1313" t="s">
        <v>149</v>
      </c>
      <c r="E1313" t="s">
        <v>159</v>
      </c>
      <c r="F1313" t="s">
        <v>97</v>
      </c>
      <c r="G1313" t="s">
        <v>85</v>
      </c>
      <c r="H1313" t="s">
        <v>133</v>
      </c>
      <c r="I1313" t="s">
        <v>403</v>
      </c>
      <c r="J1313">
        <v>6</v>
      </c>
      <c r="K1313" s="16">
        <v>104760</v>
      </c>
      <c r="L1313" s="16">
        <v>71943.509999999995</v>
      </c>
      <c r="M1313" s="16">
        <v>32816.49</v>
      </c>
      <c r="N1313" t="s">
        <v>141</v>
      </c>
      <c r="O1313" t="s">
        <v>113</v>
      </c>
      <c r="P1313" t="str">
        <f t="shared" si="20"/>
        <v>Pune|Air Purifier</v>
      </c>
    </row>
    <row r="1314" spans="1:16" x14ac:dyDescent="0.3">
      <c r="A1314" s="15">
        <v>46092</v>
      </c>
      <c r="B1314" t="s">
        <v>120</v>
      </c>
      <c r="C1314" t="s">
        <v>126</v>
      </c>
      <c r="D1314" t="s">
        <v>127</v>
      </c>
      <c r="E1314" t="s">
        <v>143</v>
      </c>
      <c r="F1314" t="s">
        <v>96</v>
      </c>
      <c r="G1314" t="s">
        <v>84</v>
      </c>
      <c r="H1314" t="s">
        <v>135</v>
      </c>
      <c r="I1314" t="s">
        <v>124</v>
      </c>
      <c r="J1314">
        <v>11</v>
      </c>
      <c r="K1314" s="16">
        <v>146740</v>
      </c>
      <c r="L1314" s="16">
        <v>102165.01</v>
      </c>
      <c r="M1314" s="16">
        <v>44574.99</v>
      </c>
      <c r="N1314" t="s">
        <v>112</v>
      </c>
      <c r="O1314" t="s">
        <v>113</v>
      </c>
      <c r="P1314" t="str">
        <f t="shared" si="20"/>
        <v>Faridabad|Filing Cabinet</v>
      </c>
    </row>
    <row r="1315" spans="1:16" x14ac:dyDescent="0.3">
      <c r="A1315" s="15">
        <v>46080</v>
      </c>
      <c r="B1315" t="s">
        <v>34</v>
      </c>
      <c r="C1315" t="s">
        <v>121</v>
      </c>
      <c r="D1315" t="s">
        <v>122</v>
      </c>
      <c r="E1315" t="s">
        <v>123</v>
      </c>
      <c r="F1315" t="s">
        <v>95</v>
      </c>
      <c r="G1315" t="s">
        <v>72</v>
      </c>
      <c r="H1315" t="s">
        <v>133</v>
      </c>
      <c r="I1315" t="s">
        <v>386</v>
      </c>
      <c r="J1315">
        <v>20</v>
      </c>
      <c r="K1315" s="16">
        <v>64000</v>
      </c>
      <c r="L1315" s="16">
        <v>41894.730000000003</v>
      </c>
      <c r="M1315" s="16">
        <v>22105.27</v>
      </c>
      <c r="N1315" t="s">
        <v>131</v>
      </c>
      <c r="O1315" t="s">
        <v>142</v>
      </c>
      <c r="P1315" t="str">
        <f t="shared" si="20"/>
        <v>Durgapur|Keyboard</v>
      </c>
    </row>
    <row r="1316" spans="1:16" x14ac:dyDescent="0.3">
      <c r="A1316" s="15">
        <v>46173</v>
      </c>
      <c r="B1316" t="s">
        <v>34</v>
      </c>
      <c r="C1316" t="s">
        <v>152</v>
      </c>
      <c r="D1316" t="s">
        <v>187</v>
      </c>
      <c r="E1316" t="s">
        <v>188</v>
      </c>
      <c r="F1316" t="s">
        <v>96</v>
      </c>
      <c r="G1316" t="s">
        <v>80</v>
      </c>
      <c r="H1316" t="s">
        <v>117</v>
      </c>
      <c r="I1316" t="s">
        <v>407</v>
      </c>
      <c r="J1316">
        <v>20</v>
      </c>
      <c r="K1316" s="16">
        <v>237500</v>
      </c>
      <c r="L1316" s="16">
        <v>168402.72</v>
      </c>
      <c r="M1316" s="16">
        <v>69097.279999999999</v>
      </c>
      <c r="N1316" t="s">
        <v>131</v>
      </c>
      <c r="O1316" t="s">
        <v>113</v>
      </c>
      <c r="P1316" t="str">
        <f t="shared" si="20"/>
        <v>Warangal|Office Chair</v>
      </c>
    </row>
    <row r="1317" spans="1:16" x14ac:dyDescent="0.3">
      <c r="A1317" s="15">
        <v>46223</v>
      </c>
      <c r="B1317" t="s">
        <v>120</v>
      </c>
      <c r="C1317" t="s">
        <v>152</v>
      </c>
      <c r="D1317" t="s">
        <v>156</v>
      </c>
      <c r="E1317" t="s">
        <v>157</v>
      </c>
      <c r="F1317" t="s">
        <v>94</v>
      </c>
      <c r="G1317" t="s">
        <v>67</v>
      </c>
      <c r="H1317" t="s">
        <v>110</v>
      </c>
      <c r="I1317" t="s">
        <v>393</v>
      </c>
      <c r="J1317">
        <v>7</v>
      </c>
      <c r="K1317" s="16">
        <v>231000</v>
      </c>
      <c r="L1317" s="16">
        <v>148397.82</v>
      </c>
      <c r="M1317" s="16">
        <v>82602.179999999993</v>
      </c>
      <c r="N1317" t="s">
        <v>141</v>
      </c>
      <c r="O1317" t="s">
        <v>119</v>
      </c>
      <c r="P1317" t="str">
        <f t="shared" si="20"/>
        <v>Mysuru|Tablet X</v>
      </c>
    </row>
    <row r="1318" spans="1:16" x14ac:dyDescent="0.3">
      <c r="A1318" s="15">
        <v>46086</v>
      </c>
      <c r="B1318" t="s">
        <v>34</v>
      </c>
      <c r="C1318" t="s">
        <v>126</v>
      </c>
      <c r="D1318" t="s">
        <v>196</v>
      </c>
      <c r="E1318" t="s">
        <v>208</v>
      </c>
      <c r="F1318" t="s">
        <v>95</v>
      </c>
      <c r="G1318" t="s">
        <v>78</v>
      </c>
      <c r="H1318" t="s">
        <v>135</v>
      </c>
      <c r="I1318" t="s">
        <v>393</v>
      </c>
      <c r="J1318">
        <v>9</v>
      </c>
      <c r="K1318" s="16">
        <v>33264</v>
      </c>
      <c r="L1318" s="16">
        <v>25471.1</v>
      </c>
      <c r="M1318" s="16">
        <v>7792.9</v>
      </c>
      <c r="N1318" t="s">
        <v>131</v>
      </c>
      <c r="O1318" t="s">
        <v>113</v>
      </c>
      <c r="P1318" t="str">
        <f t="shared" si="20"/>
        <v>New Delhi|Webcam</v>
      </c>
    </row>
    <row r="1319" spans="1:16" x14ac:dyDescent="0.3">
      <c r="A1319" s="15">
        <v>46206</v>
      </c>
      <c r="B1319" t="s">
        <v>34</v>
      </c>
      <c r="C1319" t="s">
        <v>152</v>
      </c>
      <c r="D1319" t="s">
        <v>187</v>
      </c>
      <c r="E1319" t="s">
        <v>199</v>
      </c>
      <c r="F1319" t="s">
        <v>96</v>
      </c>
      <c r="G1319" t="s">
        <v>82</v>
      </c>
      <c r="H1319" t="s">
        <v>173</v>
      </c>
      <c r="I1319" t="s">
        <v>337</v>
      </c>
      <c r="J1319">
        <v>2</v>
      </c>
      <c r="K1319" s="16">
        <v>55290</v>
      </c>
      <c r="L1319" s="16">
        <v>39269.46</v>
      </c>
      <c r="M1319" s="16">
        <v>16020.54</v>
      </c>
      <c r="N1319" t="s">
        <v>125</v>
      </c>
      <c r="O1319" t="s">
        <v>113</v>
      </c>
      <c r="P1319" t="str">
        <f t="shared" si="20"/>
        <v>Hyderabad|Standing Desk</v>
      </c>
    </row>
    <row r="1320" spans="1:16" x14ac:dyDescent="0.3">
      <c r="A1320" s="15">
        <v>46260</v>
      </c>
      <c r="B1320" t="s">
        <v>34</v>
      </c>
      <c r="C1320" t="s">
        <v>126</v>
      </c>
      <c r="D1320" t="s">
        <v>196</v>
      </c>
      <c r="E1320" t="s">
        <v>208</v>
      </c>
      <c r="F1320" t="s">
        <v>96</v>
      </c>
      <c r="G1320" t="s">
        <v>84</v>
      </c>
      <c r="H1320" t="s">
        <v>173</v>
      </c>
      <c r="I1320" t="s">
        <v>328</v>
      </c>
      <c r="J1320">
        <v>5</v>
      </c>
      <c r="K1320" s="16">
        <v>72500</v>
      </c>
      <c r="L1320" s="16">
        <v>57843.040000000001</v>
      </c>
      <c r="M1320" s="16">
        <v>14656.96</v>
      </c>
      <c r="N1320" t="s">
        <v>131</v>
      </c>
      <c r="O1320" t="s">
        <v>142</v>
      </c>
      <c r="P1320" t="str">
        <f t="shared" si="20"/>
        <v>New Delhi|Filing Cabinet</v>
      </c>
    </row>
    <row r="1321" spans="1:16" x14ac:dyDescent="0.3">
      <c r="A1321" s="15">
        <v>46139</v>
      </c>
      <c r="B1321" t="s">
        <v>114</v>
      </c>
      <c r="C1321" t="s">
        <v>126</v>
      </c>
      <c r="D1321" t="s">
        <v>127</v>
      </c>
      <c r="E1321" t="s">
        <v>143</v>
      </c>
      <c r="F1321" t="s">
        <v>95</v>
      </c>
      <c r="G1321" t="s">
        <v>74</v>
      </c>
      <c r="H1321" t="s">
        <v>117</v>
      </c>
      <c r="I1321" t="s">
        <v>182</v>
      </c>
      <c r="J1321">
        <v>7</v>
      </c>
      <c r="K1321" s="16">
        <v>32592</v>
      </c>
      <c r="L1321" s="16">
        <v>25000.560000000001</v>
      </c>
      <c r="M1321" s="16">
        <v>7591.44</v>
      </c>
      <c r="N1321" t="s">
        <v>125</v>
      </c>
      <c r="O1321" t="s">
        <v>119</v>
      </c>
      <c r="P1321" t="str">
        <f t="shared" si="20"/>
        <v>Faridabad|Headset</v>
      </c>
    </row>
    <row r="1322" spans="1:16" x14ac:dyDescent="0.3">
      <c r="A1322" s="15">
        <v>46174</v>
      </c>
      <c r="B1322" t="s">
        <v>34</v>
      </c>
      <c r="C1322" t="s">
        <v>152</v>
      </c>
      <c r="D1322" t="s">
        <v>153</v>
      </c>
      <c r="E1322" t="s">
        <v>169</v>
      </c>
      <c r="F1322" t="s">
        <v>96</v>
      </c>
      <c r="G1322" t="s">
        <v>83</v>
      </c>
      <c r="H1322" t="s">
        <v>133</v>
      </c>
      <c r="I1322" t="s">
        <v>144</v>
      </c>
      <c r="J1322">
        <v>5</v>
      </c>
      <c r="K1322" s="16">
        <v>165600</v>
      </c>
      <c r="L1322" s="16">
        <v>126044.53</v>
      </c>
      <c r="M1322" s="16">
        <v>39555.47</v>
      </c>
      <c r="N1322" t="s">
        <v>141</v>
      </c>
      <c r="O1322" t="s">
        <v>113</v>
      </c>
      <c r="P1322" t="str">
        <f t="shared" si="20"/>
        <v>Chennai|Meeting Table</v>
      </c>
    </row>
    <row r="1323" spans="1:16" x14ac:dyDescent="0.3">
      <c r="A1323" s="15">
        <v>46252</v>
      </c>
      <c r="B1323" t="s">
        <v>34</v>
      </c>
      <c r="C1323" t="s">
        <v>121</v>
      </c>
      <c r="D1323" t="s">
        <v>146</v>
      </c>
      <c r="E1323" t="s">
        <v>175</v>
      </c>
      <c r="F1323" t="s">
        <v>94</v>
      </c>
      <c r="G1323" t="s">
        <v>67</v>
      </c>
      <c r="H1323" t="s">
        <v>133</v>
      </c>
      <c r="I1323" t="s">
        <v>333</v>
      </c>
      <c r="J1323">
        <v>5</v>
      </c>
      <c r="K1323" s="16">
        <v>145200</v>
      </c>
      <c r="L1323" s="16">
        <v>109661.16</v>
      </c>
      <c r="M1323" s="16">
        <v>35538.839999999997</v>
      </c>
      <c r="N1323" t="s">
        <v>141</v>
      </c>
      <c r="O1323" t="s">
        <v>113</v>
      </c>
      <c r="P1323" t="str">
        <f t="shared" si="20"/>
        <v>Dibrugarh|Tablet X</v>
      </c>
    </row>
    <row r="1324" spans="1:16" x14ac:dyDescent="0.3">
      <c r="A1324" s="15">
        <v>46211</v>
      </c>
      <c r="B1324" t="s">
        <v>34</v>
      </c>
      <c r="C1324" t="s">
        <v>152</v>
      </c>
      <c r="D1324" t="s">
        <v>187</v>
      </c>
      <c r="E1324" t="s">
        <v>199</v>
      </c>
      <c r="F1324" t="s">
        <v>96</v>
      </c>
      <c r="G1324" t="s">
        <v>84</v>
      </c>
      <c r="H1324" t="s">
        <v>110</v>
      </c>
      <c r="I1324" t="s">
        <v>338</v>
      </c>
      <c r="J1324">
        <v>15</v>
      </c>
      <c r="K1324" s="16">
        <v>217500</v>
      </c>
      <c r="L1324" s="16">
        <v>135556.57</v>
      </c>
      <c r="M1324" s="16">
        <v>81943.429999999993</v>
      </c>
      <c r="N1324" t="s">
        <v>131</v>
      </c>
      <c r="O1324" t="s">
        <v>113</v>
      </c>
      <c r="P1324" t="str">
        <f t="shared" si="20"/>
        <v>Hyderabad|Filing Cabinet</v>
      </c>
    </row>
    <row r="1325" spans="1:16" x14ac:dyDescent="0.3">
      <c r="A1325" s="15">
        <v>46024</v>
      </c>
      <c r="B1325" t="s">
        <v>114</v>
      </c>
      <c r="C1325" t="s">
        <v>152</v>
      </c>
      <c r="D1325" t="s">
        <v>156</v>
      </c>
      <c r="E1325" t="s">
        <v>238</v>
      </c>
      <c r="F1325" t="s">
        <v>95</v>
      </c>
      <c r="G1325" t="s">
        <v>72</v>
      </c>
      <c r="H1325" t="s">
        <v>129</v>
      </c>
      <c r="I1325" t="s">
        <v>368</v>
      </c>
      <c r="J1325">
        <v>7</v>
      </c>
      <c r="K1325" s="16">
        <v>22400</v>
      </c>
      <c r="L1325" s="16">
        <v>17656.32</v>
      </c>
      <c r="M1325" s="16">
        <v>4743.68</v>
      </c>
      <c r="N1325" t="s">
        <v>141</v>
      </c>
      <c r="O1325" t="s">
        <v>113</v>
      </c>
      <c r="P1325" t="str">
        <f t="shared" si="20"/>
        <v>Bengaluru|Keyboard</v>
      </c>
    </row>
    <row r="1326" spans="1:16" x14ac:dyDescent="0.3">
      <c r="A1326" s="15">
        <v>46085</v>
      </c>
      <c r="B1326" t="s">
        <v>34</v>
      </c>
      <c r="C1326" t="s">
        <v>126</v>
      </c>
      <c r="D1326" t="s">
        <v>127</v>
      </c>
      <c r="E1326" t="s">
        <v>143</v>
      </c>
      <c r="F1326" t="s">
        <v>94</v>
      </c>
      <c r="G1326" t="s">
        <v>67</v>
      </c>
      <c r="H1326" t="s">
        <v>129</v>
      </c>
      <c r="I1326" t="s">
        <v>222</v>
      </c>
      <c r="J1326">
        <v>18</v>
      </c>
      <c r="K1326" s="16">
        <v>522720</v>
      </c>
      <c r="L1326" s="16">
        <v>347878.16</v>
      </c>
      <c r="M1326" s="16">
        <v>174841.84</v>
      </c>
      <c r="N1326" t="s">
        <v>125</v>
      </c>
      <c r="O1326" t="s">
        <v>113</v>
      </c>
      <c r="P1326" t="str">
        <f t="shared" si="20"/>
        <v>Faridabad|Tablet X</v>
      </c>
    </row>
    <row r="1327" spans="1:16" x14ac:dyDescent="0.3">
      <c r="A1327" s="15">
        <v>46202</v>
      </c>
      <c r="B1327" t="s">
        <v>34</v>
      </c>
      <c r="C1327" t="s">
        <v>121</v>
      </c>
      <c r="D1327" t="s">
        <v>137</v>
      </c>
      <c r="E1327" t="s">
        <v>138</v>
      </c>
      <c r="F1327" t="s">
        <v>95</v>
      </c>
      <c r="G1327" t="s">
        <v>74</v>
      </c>
      <c r="H1327" t="s">
        <v>110</v>
      </c>
      <c r="I1327" t="s">
        <v>182</v>
      </c>
      <c r="J1327">
        <v>12</v>
      </c>
      <c r="K1327" s="16">
        <v>54720</v>
      </c>
      <c r="L1327" s="16">
        <v>41857.279999999999</v>
      </c>
      <c r="M1327" s="16">
        <v>12862.72</v>
      </c>
      <c r="N1327" t="s">
        <v>112</v>
      </c>
      <c r="O1327" t="s">
        <v>113</v>
      </c>
      <c r="P1327" t="str">
        <f t="shared" si="20"/>
        <v>Cuttack|Headset</v>
      </c>
    </row>
    <row r="1328" spans="1:16" x14ac:dyDescent="0.3">
      <c r="A1328" s="15">
        <v>46128</v>
      </c>
      <c r="B1328" t="s">
        <v>34</v>
      </c>
      <c r="C1328" t="s">
        <v>152</v>
      </c>
      <c r="D1328" t="s">
        <v>153</v>
      </c>
      <c r="E1328" t="s">
        <v>154</v>
      </c>
      <c r="F1328" t="s">
        <v>97</v>
      </c>
      <c r="G1328" t="s">
        <v>85</v>
      </c>
      <c r="H1328" t="s">
        <v>117</v>
      </c>
      <c r="I1328" t="s">
        <v>158</v>
      </c>
      <c r="J1328">
        <v>17</v>
      </c>
      <c r="K1328" s="16">
        <v>306000</v>
      </c>
      <c r="L1328" s="16">
        <v>214948.74</v>
      </c>
      <c r="M1328" s="16">
        <v>91051.26</v>
      </c>
      <c r="N1328" t="s">
        <v>125</v>
      </c>
      <c r="O1328" t="s">
        <v>113</v>
      </c>
      <c r="P1328" t="str">
        <f t="shared" si="20"/>
        <v>Coimbatore|Air Purifier</v>
      </c>
    </row>
    <row r="1329" spans="1:16" x14ac:dyDescent="0.3">
      <c r="A1329" s="15">
        <v>46093</v>
      </c>
      <c r="B1329" t="s">
        <v>114</v>
      </c>
      <c r="C1329" t="s">
        <v>121</v>
      </c>
      <c r="D1329" t="s">
        <v>146</v>
      </c>
      <c r="E1329" t="s">
        <v>175</v>
      </c>
      <c r="F1329" t="s">
        <v>95</v>
      </c>
      <c r="G1329" t="s">
        <v>78</v>
      </c>
      <c r="H1329" t="s">
        <v>173</v>
      </c>
      <c r="I1329" t="s">
        <v>306</v>
      </c>
      <c r="J1329">
        <v>20</v>
      </c>
      <c r="K1329" s="16">
        <v>84000</v>
      </c>
      <c r="L1329" s="16">
        <v>65842.12</v>
      </c>
      <c r="M1329" s="16">
        <v>18157.88</v>
      </c>
      <c r="N1329" t="s">
        <v>141</v>
      </c>
      <c r="O1329" t="s">
        <v>113</v>
      </c>
      <c r="P1329" t="str">
        <f t="shared" si="20"/>
        <v>Dibrugarh|Webcam</v>
      </c>
    </row>
    <row r="1330" spans="1:16" x14ac:dyDescent="0.3">
      <c r="A1330" s="15">
        <v>46197</v>
      </c>
      <c r="B1330" t="s">
        <v>34</v>
      </c>
      <c r="C1330" t="s">
        <v>126</v>
      </c>
      <c r="D1330" t="s">
        <v>162</v>
      </c>
      <c r="E1330" t="s">
        <v>204</v>
      </c>
      <c r="F1330" t="s">
        <v>95</v>
      </c>
      <c r="G1330" t="s">
        <v>76</v>
      </c>
      <c r="H1330" t="s">
        <v>173</v>
      </c>
      <c r="I1330" t="s">
        <v>276</v>
      </c>
      <c r="J1330">
        <v>1</v>
      </c>
      <c r="K1330" s="16">
        <v>1656</v>
      </c>
      <c r="L1330" s="16">
        <v>1179.0999999999999</v>
      </c>
      <c r="M1330" s="16">
        <v>476.9</v>
      </c>
      <c r="N1330" t="s">
        <v>141</v>
      </c>
      <c r="O1330" t="s">
        <v>113</v>
      </c>
      <c r="P1330" t="str">
        <f t="shared" si="20"/>
        <v>Noida|Mouse</v>
      </c>
    </row>
    <row r="1331" spans="1:16" x14ac:dyDescent="0.3">
      <c r="A1331" s="15">
        <v>46213</v>
      </c>
      <c r="B1331" t="s">
        <v>114</v>
      </c>
      <c r="C1331" t="s">
        <v>121</v>
      </c>
      <c r="D1331" t="s">
        <v>122</v>
      </c>
      <c r="E1331" t="s">
        <v>166</v>
      </c>
      <c r="F1331" t="s">
        <v>97</v>
      </c>
      <c r="G1331" t="s">
        <v>88</v>
      </c>
      <c r="H1331" t="s">
        <v>135</v>
      </c>
      <c r="I1331" t="s">
        <v>369</v>
      </c>
      <c r="J1331">
        <v>3</v>
      </c>
      <c r="K1331" s="16">
        <v>40020</v>
      </c>
      <c r="L1331" s="16">
        <v>26556.93</v>
      </c>
      <c r="M1331" s="16">
        <v>13463.07</v>
      </c>
      <c r="N1331" t="s">
        <v>141</v>
      </c>
      <c r="O1331" t="s">
        <v>119</v>
      </c>
      <c r="P1331" t="str">
        <f t="shared" si="20"/>
        <v>Kolkata|Vacuum Cleaner</v>
      </c>
    </row>
    <row r="1332" spans="1:16" x14ac:dyDescent="0.3">
      <c r="A1332" s="15">
        <v>46023</v>
      </c>
      <c r="B1332" t="s">
        <v>34</v>
      </c>
      <c r="C1332" t="s">
        <v>152</v>
      </c>
      <c r="D1332" t="s">
        <v>156</v>
      </c>
      <c r="E1332" t="s">
        <v>238</v>
      </c>
      <c r="F1332" t="s">
        <v>95</v>
      </c>
      <c r="G1332" t="s">
        <v>72</v>
      </c>
      <c r="H1332" t="s">
        <v>133</v>
      </c>
      <c r="I1332" t="s">
        <v>364</v>
      </c>
      <c r="J1332">
        <v>19</v>
      </c>
      <c r="K1332" s="16">
        <v>60800</v>
      </c>
      <c r="L1332" s="16">
        <v>44360.4</v>
      </c>
      <c r="M1332" s="16">
        <v>16439.599999999999</v>
      </c>
      <c r="N1332" t="s">
        <v>112</v>
      </c>
      <c r="O1332" t="s">
        <v>119</v>
      </c>
      <c r="P1332" t="str">
        <f t="shared" si="20"/>
        <v>Bengaluru|Keyboard</v>
      </c>
    </row>
    <row r="1333" spans="1:16" x14ac:dyDescent="0.3">
      <c r="A1333" s="15">
        <v>46158</v>
      </c>
      <c r="B1333" t="s">
        <v>120</v>
      </c>
      <c r="C1333" t="s">
        <v>121</v>
      </c>
      <c r="D1333" t="s">
        <v>137</v>
      </c>
      <c r="E1333" t="s">
        <v>138</v>
      </c>
      <c r="F1333" t="s">
        <v>97</v>
      </c>
      <c r="G1333" t="s">
        <v>85</v>
      </c>
      <c r="H1333" t="s">
        <v>129</v>
      </c>
      <c r="I1333" t="s">
        <v>269</v>
      </c>
      <c r="J1333">
        <v>3</v>
      </c>
      <c r="K1333" s="16">
        <v>52380</v>
      </c>
      <c r="L1333" s="16">
        <v>37488.379999999997</v>
      </c>
      <c r="M1333" s="16">
        <v>14891.62</v>
      </c>
      <c r="N1333" t="s">
        <v>112</v>
      </c>
      <c r="O1333" t="s">
        <v>113</v>
      </c>
      <c r="P1333" t="str">
        <f t="shared" si="20"/>
        <v>Cuttack|Air Purifier</v>
      </c>
    </row>
    <row r="1334" spans="1:16" x14ac:dyDescent="0.3">
      <c r="A1334" s="15">
        <v>46132</v>
      </c>
      <c r="B1334" t="s">
        <v>34</v>
      </c>
      <c r="C1334" t="s">
        <v>126</v>
      </c>
      <c r="D1334" t="s">
        <v>162</v>
      </c>
      <c r="E1334" t="s">
        <v>163</v>
      </c>
      <c r="F1334" t="s">
        <v>94</v>
      </c>
      <c r="G1334" t="s">
        <v>64</v>
      </c>
      <c r="H1334" t="s">
        <v>135</v>
      </c>
      <c r="I1334" t="s">
        <v>242</v>
      </c>
      <c r="J1334">
        <v>20</v>
      </c>
      <c r="K1334" s="16">
        <v>420000</v>
      </c>
      <c r="L1334" s="16">
        <v>304925.12</v>
      </c>
      <c r="M1334" s="16">
        <v>115074.88</v>
      </c>
      <c r="N1334" t="s">
        <v>112</v>
      </c>
      <c r="O1334" t="s">
        <v>113</v>
      </c>
      <c r="P1334" t="str">
        <f t="shared" si="20"/>
        <v>Lucknow|Monitor 27</v>
      </c>
    </row>
    <row r="1335" spans="1:16" x14ac:dyDescent="0.3">
      <c r="A1335" s="15">
        <v>46177</v>
      </c>
      <c r="B1335" t="s">
        <v>34</v>
      </c>
      <c r="C1335" t="s">
        <v>152</v>
      </c>
      <c r="D1335" t="s">
        <v>156</v>
      </c>
      <c r="E1335" t="s">
        <v>157</v>
      </c>
      <c r="F1335" t="s">
        <v>97</v>
      </c>
      <c r="G1335" t="s">
        <v>87</v>
      </c>
      <c r="H1335" t="s">
        <v>184</v>
      </c>
      <c r="I1335" t="s">
        <v>277</v>
      </c>
      <c r="J1335">
        <v>6</v>
      </c>
      <c r="K1335" s="16">
        <v>66000</v>
      </c>
      <c r="L1335" s="16">
        <v>52936.32</v>
      </c>
      <c r="M1335" s="16">
        <v>13063.68</v>
      </c>
      <c r="N1335" t="s">
        <v>125</v>
      </c>
      <c r="O1335" t="s">
        <v>113</v>
      </c>
      <c r="P1335" t="str">
        <f t="shared" si="20"/>
        <v>Mysuru|Microwave</v>
      </c>
    </row>
    <row r="1336" spans="1:16" x14ac:dyDescent="0.3">
      <c r="A1336" s="15">
        <v>46193</v>
      </c>
      <c r="B1336" t="s">
        <v>34</v>
      </c>
      <c r="C1336" t="s">
        <v>107</v>
      </c>
      <c r="D1336" t="s">
        <v>108</v>
      </c>
      <c r="E1336" t="s">
        <v>109</v>
      </c>
      <c r="F1336" t="s">
        <v>94</v>
      </c>
      <c r="G1336" t="s">
        <v>64</v>
      </c>
      <c r="H1336" t="s">
        <v>173</v>
      </c>
      <c r="I1336" t="s">
        <v>210</v>
      </c>
      <c r="J1336">
        <v>15</v>
      </c>
      <c r="K1336" s="16">
        <v>305550</v>
      </c>
      <c r="L1336" s="16">
        <v>212253.44</v>
      </c>
      <c r="M1336" s="16">
        <v>93296.56</v>
      </c>
      <c r="N1336" t="s">
        <v>131</v>
      </c>
      <c r="O1336" t="s">
        <v>142</v>
      </c>
      <c r="P1336" t="str">
        <f t="shared" si="20"/>
        <v>Udaipur|Monitor 27</v>
      </c>
    </row>
    <row r="1337" spans="1:16" x14ac:dyDescent="0.3">
      <c r="A1337" s="15">
        <v>46135</v>
      </c>
      <c r="B1337" t="s">
        <v>34</v>
      </c>
      <c r="C1337" t="s">
        <v>152</v>
      </c>
      <c r="D1337" t="s">
        <v>156</v>
      </c>
      <c r="E1337" t="s">
        <v>157</v>
      </c>
      <c r="F1337" t="s">
        <v>97</v>
      </c>
      <c r="G1337" t="s">
        <v>86</v>
      </c>
      <c r="H1337" t="s">
        <v>135</v>
      </c>
      <c r="I1337" t="s">
        <v>250</v>
      </c>
      <c r="J1337">
        <v>11</v>
      </c>
      <c r="K1337" s="16">
        <v>62920</v>
      </c>
      <c r="L1337" s="16">
        <v>48281.37</v>
      </c>
      <c r="M1337" s="16">
        <v>14638.63</v>
      </c>
      <c r="N1337" t="s">
        <v>141</v>
      </c>
      <c r="O1337" t="s">
        <v>113</v>
      </c>
      <c r="P1337" t="str">
        <f t="shared" si="20"/>
        <v>Mysuru|Coffee Maker</v>
      </c>
    </row>
    <row r="1338" spans="1:16" x14ac:dyDescent="0.3">
      <c r="A1338" s="15">
        <v>46053</v>
      </c>
      <c r="B1338" t="s">
        <v>114</v>
      </c>
      <c r="C1338" t="s">
        <v>152</v>
      </c>
      <c r="D1338" t="s">
        <v>187</v>
      </c>
      <c r="E1338" t="s">
        <v>199</v>
      </c>
      <c r="F1338" t="s">
        <v>95</v>
      </c>
      <c r="G1338" t="s">
        <v>72</v>
      </c>
      <c r="H1338" t="s">
        <v>173</v>
      </c>
      <c r="I1338" t="s">
        <v>248</v>
      </c>
      <c r="J1338">
        <v>1</v>
      </c>
      <c r="K1338" s="16">
        <v>2944</v>
      </c>
      <c r="L1338" s="16">
        <v>2254.4499999999998</v>
      </c>
      <c r="M1338" s="16">
        <v>689.55</v>
      </c>
      <c r="N1338" t="s">
        <v>131</v>
      </c>
      <c r="O1338" t="s">
        <v>142</v>
      </c>
      <c r="P1338" t="str">
        <f t="shared" si="20"/>
        <v>Hyderabad|Keyboard</v>
      </c>
    </row>
    <row r="1339" spans="1:16" x14ac:dyDescent="0.3">
      <c r="A1339" s="15">
        <v>46192</v>
      </c>
      <c r="B1339" t="s">
        <v>114</v>
      </c>
      <c r="C1339" t="s">
        <v>126</v>
      </c>
      <c r="D1339" t="s">
        <v>127</v>
      </c>
      <c r="E1339" t="s">
        <v>128</v>
      </c>
      <c r="F1339" t="s">
        <v>95</v>
      </c>
      <c r="G1339" t="s">
        <v>74</v>
      </c>
      <c r="H1339" t="s">
        <v>117</v>
      </c>
      <c r="I1339" t="s">
        <v>355</v>
      </c>
      <c r="J1339">
        <v>8</v>
      </c>
      <c r="K1339" s="16">
        <v>33792</v>
      </c>
      <c r="L1339" s="16">
        <v>23056.85</v>
      </c>
      <c r="M1339" s="16">
        <v>10735.15</v>
      </c>
      <c r="N1339" t="s">
        <v>131</v>
      </c>
      <c r="O1339" t="s">
        <v>113</v>
      </c>
      <c r="P1339" t="str">
        <f t="shared" si="20"/>
        <v>Gurugram|Headset</v>
      </c>
    </row>
    <row r="1340" spans="1:16" x14ac:dyDescent="0.3">
      <c r="A1340" s="15">
        <v>46157</v>
      </c>
      <c r="B1340" t="s">
        <v>34</v>
      </c>
      <c r="C1340" t="s">
        <v>126</v>
      </c>
      <c r="D1340" t="s">
        <v>196</v>
      </c>
      <c r="E1340" t="s">
        <v>197</v>
      </c>
      <c r="F1340" t="s">
        <v>95</v>
      </c>
      <c r="G1340" t="s">
        <v>74</v>
      </c>
      <c r="H1340" t="s">
        <v>139</v>
      </c>
      <c r="I1340" t="s">
        <v>275</v>
      </c>
      <c r="J1340">
        <v>1</v>
      </c>
      <c r="K1340" s="16">
        <v>4416</v>
      </c>
      <c r="L1340" s="16">
        <v>3327.47</v>
      </c>
      <c r="M1340" s="16">
        <v>1088.53</v>
      </c>
      <c r="N1340" t="s">
        <v>131</v>
      </c>
      <c r="O1340" t="s">
        <v>119</v>
      </c>
      <c r="P1340" t="str">
        <f t="shared" si="20"/>
        <v>Dwarka|Headset</v>
      </c>
    </row>
    <row r="1341" spans="1:16" x14ac:dyDescent="0.3">
      <c r="A1341" s="15">
        <v>46182</v>
      </c>
      <c r="B1341" t="s">
        <v>34</v>
      </c>
      <c r="C1341" t="s">
        <v>126</v>
      </c>
      <c r="D1341" t="s">
        <v>127</v>
      </c>
      <c r="E1341" t="s">
        <v>143</v>
      </c>
      <c r="F1341" t="s">
        <v>94</v>
      </c>
      <c r="G1341" t="s">
        <v>64</v>
      </c>
      <c r="H1341" t="s">
        <v>135</v>
      </c>
      <c r="I1341" t="s">
        <v>180</v>
      </c>
      <c r="J1341">
        <v>4</v>
      </c>
      <c r="K1341" s="16">
        <v>84000</v>
      </c>
      <c r="L1341" s="16">
        <v>56280.98</v>
      </c>
      <c r="M1341" s="16">
        <v>27719.02</v>
      </c>
      <c r="N1341" t="s">
        <v>112</v>
      </c>
      <c r="O1341" t="s">
        <v>113</v>
      </c>
      <c r="P1341" t="str">
        <f t="shared" si="20"/>
        <v>Faridabad|Monitor 27</v>
      </c>
    </row>
    <row r="1342" spans="1:16" x14ac:dyDescent="0.3">
      <c r="A1342" s="15">
        <v>46097</v>
      </c>
      <c r="B1342" t="s">
        <v>34</v>
      </c>
      <c r="C1342" t="s">
        <v>152</v>
      </c>
      <c r="D1342" t="s">
        <v>187</v>
      </c>
      <c r="E1342" t="s">
        <v>188</v>
      </c>
      <c r="F1342" t="s">
        <v>96</v>
      </c>
      <c r="G1342" t="s">
        <v>80</v>
      </c>
      <c r="H1342" t="s">
        <v>129</v>
      </c>
      <c r="I1342" t="s">
        <v>254</v>
      </c>
      <c r="J1342">
        <v>2</v>
      </c>
      <c r="K1342" s="16">
        <v>23000</v>
      </c>
      <c r="L1342" s="16">
        <v>14472.81</v>
      </c>
      <c r="M1342" s="16">
        <v>8527.19</v>
      </c>
      <c r="N1342" t="s">
        <v>125</v>
      </c>
      <c r="O1342" t="s">
        <v>113</v>
      </c>
      <c r="P1342" t="str">
        <f t="shared" si="20"/>
        <v>Warangal|Office Chair</v>
      </c>
    </row>
    <row r="1343" spans="1:16" x14ac:dyDescent="0.3">
      <c r="A1343" s="15">
        <v>46076</v>
      </c>
      <c r="B1343" t="s">
        <v>34</v>
      </c>
      <c r="C1343" t="s">
        <v>107</v>
      </c>
      <c r="D1343" t="s">
        <v>115</v>
      </c>
      <c r="E1343" t="s">
        <v>116</v>
      </c>
      <c r="F1343" t="s">
        <v>94</v>
      </c>
      <c r="G1343" t="s">
        <v>70</v>
      </c>
      <c r="H1343" t="s">
        <v>133</v>
      </c>
      <c r="I1343" t="s">
        <v>164</v>
      </c>
      <c r="J1343">
        <v>20</v>
      </c>
      <c r="K1343" s="16">
        <v>300700</v>
      </c>
      <c r="L1343" s="16">
        <v>225202.42</v>
      </c>
      <c r="M1343" s="16">
        <v>75497.58</v>
      </c>
      <c r="N1343" t="s">
        <v>131</v>
      </c>
      <c r="O1343" t="s">
        <v>113</v>
      </c>
      <c r="P1343" t="str">
        <f t="shared" si="20"/>
        <v>Ahmedabad|Printer Pro</v>
      </c>
    </row>
    <row r="1344" spans="1:16" x14ac:dyDescent="0.3">
      <c r="A1344" s="15">
        <v>46170</v>
      </c>
      <c r="B1344" t="s">
        <v>120</v>
      </c>
      <c r="C1344" t="s">
        <v>121</v>
      </c>
      <c r="D1344" t="s">
        <v>137</v>
      </c>
      <c r="E1344" t="s">
        <v>138</v>
      </c>
      <c r="F1344" t="s">
        <v>97</v>
      </c>
      <c r="G1344" t="s">
        <v>88</v>
      </c>
      <c r="H1344" t="s">
        <v>184</v>
      </c>
      <c r="I1344" t="s">
        <v>294</v>
      </c>
      <c r="J1344">
        <v>7</v>
      </c>
      <c r="K1344" s="16">
        <v>101500</v>
      </c>
      <c r="L1344" s="16">
        <v>65285.38</v>
      </c>
      <c r="M1344" s="16">
        <v>36214.620000000003</v>
      </c>
      <c r="N1344" t="s">
        <v>125</v>
      </c>
      <c r="O1344" t="s">
        <v>119</v>
      </c>
      <c r="P1344" t="str">
        <f t="shared" si="20"/>
        <v>Cuttack|Vacuum Cleaner</v>
      </c>
    </row>
    <row r="1345" spans="1:16" x14ac:dyDescent="0.3">
      <c r="A1345" s="15">
        <v>46049</v>
      </c>
      <c r="B1345" t="s">
        <v>34</v>
      </c>
      <c r="C1345" t="s">
        <v>152</v>
      </c>
      <c r="D1345" t="s">
        <v>156</v>
      </c>
      <c r="E1345" t="s">
        <v>238</v>
      </c>
      <c r="F1345" t="s">
        <v>94</v>
      </c>
      <c r="G1345" t="s">
        <v>67</v>
      </c>
      <c r="H1345" t="s">
        <v>133</v>
      </c>
      <c r="I1345" t="s">
        <v>385</v>
      </c>
      <c r="J1345">
        <v>3</v>
      </c>
      <c r="K1345" s="16">
        <v>99000</v>
      </c>
      <c r="L1345" s="16">
        <v>69449.98</v>
      </c>
      <c r="M1345" s="16">
        <v>29550.02</v>
      </c>
      <c r="N1345" t="s">
        <v>141</v>
      </c>
      <c r="O1345" t="s">
        <v>113</v>
      </c>
      <c r="P1345" t="str">
        <f t="shared" si="20"/>
        <v>Bengaluru|Tablet X</v>
      </c>
    </row>
    <row r="1346" spans="1:16" x14ac:dyDescent="0.3">
      <c r="A1346" s="15">
        <v>46182</v>
      </c>
      <c r="B1346" t="s">
        <v>120</v>
      </c>
      <c r="C1346" t="s">
        <v>121</v>
      </c>
      <c r="D1346" t="s">
        <v>146</v>
      </c>
      <c r="E1346" t="s">
        <v>175</v>
      </c>
      <c r="F1346" t="s">
        <v>94</v>
      </c>
      <c r="G1346" t="s">
        <v>67</v>
      </c>
      <c r="H1346" t="s">
        <v>184</v>
      </c>
      <c r="I1346" t="s">
        <v>331</v>
      </c>
      <c r="J1346">
        <v>4</v>
      </c>
      <c r="K1346" s="16">
        <v>132000</v>
      </c>
      <c r="L1346" s="16">
        <v>98662.87</v>
      </c>
      <c r="M1346" s="16">
        <v>33337.129999999997</v>
      </c>
      <c r="N1346" t="s">
        <v>141</v>
      </c>
      <c r="O1346" t="s">
        <v>113</v>
      </c>
      <c r="P1346" t="str">
        <f t="shared" si="20"/>
        <v>Dibrugarh|Tablet X</v>
      </c>
    </row>
    <row r="1347" spans="1:16" x14ac:dyDescent="0.3">
      <c r="A1347" s="15">
        <v>46203</v>
      </c>
      <c r="B1347" t="s">
        <v>34</v>
      </c>
      <c r="C1347" t="s">
        <v>121</v>
      </c>
      <c r="D1347" t="s">
        <v>137</v>
      </c>
      <c r="E1347" t="s">
        <v>138</v>
      </c>
      <c r="F1347" t="s">
        <v>95</v>
      </c>
      <c r="G1347" t="s">
        <v>74</v>
      </c>
      <c r="H1347" t="s">
        <v>139</v>
      </c>
      <c r="I1347" t="s">
        <v>338</v>
      </c>
      <c r="J1347">
        <v>7</v>
      </c>
      <c r="K1347" s="16">
        <v>30912</v>
      </c>
      <c r="L1347" s="16">
        <v>20793.39</v>
      </c>
      <c r="M1347" s="16">
        <v>10118.61</v>
      </c>
      <c r="N1347" t="s">
        <v>131</v>
      </c>
      <c r="O1347" t="s">
        <v>119</v>
      </c>
      <c r="P1347" t="str">
        <f t="shared" si="20"/>
        <v>Cuttack|Headset</v>
      </c>
    </row>
    <row r="1348" spans="1:16" x14ac:dyDescent="0.3">
      <c r="A1348" s="15">
        <v>46179</v>
      </c>
      <c r="B1348" t="s">
        <v>34</v>
      </c>
      <c r="C1348" t="s">
        <v>121</v>
      </c>
      <c r="D1348" t="s">
        <v>137</v>
      </c>
      <c r="E1348" t="s">
        <v>171</v>
      </c>
      <c r="F1348" t="s">
        <v>95</v>
      </c>
      <c r="G1348" t="s">
        <v>74</v>
      </c>
      <c r="H1348" t="s">
        <v>133</v>
      </c>
      <c r="I1348" t="s">
        <v>155</v>
      </c>
      <c r="J1348">
        <v>12</v>
      </c>
      <c r="K1348" s="16">
        <v>52992</v>
      </c>
      <c r="L1348" s="16">
        <v>32965.18</v>
      </c>
      <c r="M1348" s="16">
        <v>20026.82</v>
      </c>
      <c r="N1348" t="s">
        <v>131</v>
      </c>
      <c r="O1348" t="s">
        <v>142</v>
      </c>
      <c r="P1348" t="str">
        <f t="shared" si="20"/>
        <v>Bhubaneswar|Headset</v>
      </c>
    </row>
    <row r="1349" spans="1:16" x14ac:dyDescent="0.3">
      <c r="A1349" s="15">
        <v>46236</v>
      </c>
      <c r="B1349" t="s">
        <v>114</v>
      </c>
      <c r="C1349" t="s">
        <v>121</v>
      </c>
      <c r="D1349" t="s">
        <v>137</v>
      </c>
      <c r="E1349" t="s">
        <v>138</v>
      </c>
      <c r="F1349" t="s">
        <v>94</v>
      </c>
      <c r="G1349" t="s">
        <v>70</v>
      </c>
      <c r="H1349" t="s">
        <v>117</v>
      </c>
      <c r="I1349" t="s">
        <v>288</v>
      </c>
      <c r="J1349">
        <v>14</v>
      </c>
      <c r="K1349" s="16">
        <v>206150</v>
      </c>
      <c r="L1349" s="16">
        <v>153233.75</v>
      </c>
      <c r="M1349" s="16">
        <v>52916.25</v>
      </c>
      <c r="N1349" t="s">
        <v>141</v>
      </c>
      <c r="O1349" t="s">
        <v>113</v>
      </c>
      <c r="P1349" t="str">
        <f t="shared" ref="P1349:P1412" si="21">E1349&amp;"|"&amp;G1349</f>
        <v>Cuttack|Printer Pro</v>
      </c>
    </row>
    <row r="1350" spans="1:16" x14ac:dyDescent="0.3">
      <c r="A1350" s="15">
        <v>46258</v>
      </c>
      <c r="B1350" t="s">
        <v>114</v>
      </c>
      <c r="C1350" t="s">
        <v>121</v>
      </c>
      <c r="D1350" t="s">
        <v>146</v>
      </c>
      <c r="E1350" t="s">
        <v>175</v>
      </c>
      <c r="F1350" t="s">
        <v>96</v>
      </c>
      <c r="G1350" t="s">
        <v>84</v>
      </c>
      <c r="H1350" t="s">
        <v>135</v>
      </c>
      <c r="I1350" t="s">
        <v>394</v>
      </c>
      <c r="J1350">
        <v>12</v>
      </c>
      <c r="K1350" s="16">
        <v>174000</v>
      </c>
      <c r="L1350" s="16">
        <v>114644.05</v>
      </c>
      <c r="M1350" s="16">
        <v>59355.95</v>
      </c>
      <c r="N1350" t="s">
        <v>125</v>
      </c>
      <c r="O1350" t="s">
        <v>113</v>
      </c>
      <c r="P1350" t="str">
        <f t="shared" si="21"/>
        <v>Dibrugarh|Filing Cabinet</v>
      </c>
    </row>
    <row r="1351" spans="1:16" x14ac:dyDescent="0.3">
      <c r="A1351" s="15">
        <v>46228</v>
      </c>
      <c r="B1351" t="s">
        <v>114</v>
      </c>
      <c r="C1351" t="s">
        <v>126</v>
      </c>
      <c r="D1351" t="s">
        <v>162</v>
      </c>
      <c r="E1351" t="s">
        <v>204</v>
      </c>
      <c r="F1351" t="s">
        <v>94</v>
      </c>
      <c r="G1351" t="s">
        <v>61</v>
      </c>
      <c r="H1351" t="s">
        <v>133</v>
      </c>
      <c r="I1351" t="s">
        <v>324</v>
      </c>
      <c r="J1351">
        <v>18</v>
      </c>
      <c r="K1351" s="16">
        <v>1404000</v>
      </c>
      <c r="L1351" s="16">
        <v>1062756.22</v>
      </c>
      <c r="M1351" s="16">
        <v>341243.78</v>
      </c>
      <c r="N1351" t="s">
        <v>112</v>
      </c>
      <c r="O1351" t="s">
        <v>113</v>
      </c>
      <c r="P1351" t="str">
        <f t="shared" si="21"/>
        <v>Noida|Laptop Pro</v>
      </c>
    </row>
    <row r="1352" spans="1:16" x14ac:dyDescent="0.3">
      <c r="A1352" s="15">
        <v>46186</v>
      </c>
      <c r="B1352" t="s">
        <v>34</v>
      </c>
      <c r="C1352" t="s">
        <v>152</v>
      </c>
      <c r="D1352" t="s">
        <v>156</v>
      </c>
      <c r="E1352" t="s">
        <v>238</v>
      </c>
      <c r="F1352" t="s">
        <v>97</v>
      </c>
      <c r="G1352" t="s">
        <v>85</v>
      </c>
      <c r="H1352" t="s">
        <v>184</v>
      </c>
      <c r="I1352" t="s">
        <v>376</v>
      </c>
      <c r="J1352">
        <v>8</v>
      </c>
      <c r="K1352" s="16">
        <v>132480</v>
      </c>
      <c r="L1352" s="16">
        <v>84837.09</v>
      </c>
      <c r="M1352" s="16">
        <v>47642.91</v>
      </c>
      <c r="N1352" t="s">
        <v>141</v>
      </c>
      <c r="O1352" t="s">
        <v>113</v>
      </c>
      <c r="P1352" t="str">
        <f t="shared" si="21"/>
        <v>Bengaluru|Air Purifier</v>
      </c>
    </row>
    <row r="1353" spans="1:16" x14ac:dyDescent="0.3">
      <c r="A1353" s="15">
        <v>46185</v>
      </c>
      <c r="B1353" t="s">
        <v>114</v>
      </c>
      <c r="C1353" t="s">
        <v>107</v>
      </c>
      <c r="D1353" t="s">
        <v>149</v>
      </c>
      <c r="E1353" t="s">
        <v>150</v>
      </c>
      <c r="F1353" t="s">
        <v>94</v>
      </c>
      <c r="G1353" t="s">
        <v>61</v>
      </c>
      <c r="H1353" t="s">
        <v>135</v>
      </c>
      <c r="I1353" t="s">
        <v>280</v>
      </c>
      <c r="J1353">
        <v>14</v>
      </c>
      <c r="K1353" s="16">
        <v>1059240</v>
      </c>
      <c r="L1353" s="16">
        <v>828501.18</v>
      </c>
      <c r="M1353" s="16">
        <v>230738.82</v>
      </c>
      <c r="N1353" t="s">
        <v>131</v>
      </c>
      <c r="O1353" t="s">
        <v>113</v>
      </c>
      <c r="P1353" t="str">
        <f t="shared" si="21"/>
        <v>Mumbai|Laptop Pro</v>
      </c>
    </row>
    <row r="1354" spans="1:16" x14ac:dyDescent="0.3">
      <c r="A1354" s="15">
        <v>46051</v>
      </c>
      <c r="B1354" t="s">
        <v>34</v>
      </c>
      <c r="C1354" t="s">
        <v>126</v>
      </c>
      <c r="D1354" t="s">
        <v>162</v>
      </c>
      <c r="E1354" t="s">
        <v>163</v>
      </c>
      <c r="F1354" t="s">
        <v>96</v>
      </c>
      <c r="G1354" t="s">
        <v>82</v>
      </c>
      <c r="H1354" t="s">
        <v>117</v>
      </c>
      <c r="I1354" t="s">
        <v>288</v>
      </c>
      <c r="J1354">
        <v>8</v>
      </c>
      <c r="K1354" s="16">
        <v>221160</v>
      </c>
      <c r="L1354" s="16">
        <v>150022.74</v>
      </c>
      <c r="M1354" s="16">
        <v>71137.259999999995</v>
      </c>
      <c r="N1354" t="s">
        <v>112</v>
      </c>
      <c r="O1354" t="s">
        <v>142</v>
      </c>
      <c r="P1354" t="str">
        <f t="shared" si="21"/>
        <v>Lucknow|Standing Desk</v>
      </c>
    </row>
    <row r="1355" spans="1:16" x14ac:dyDescent="0.3">
      <c r="A1355" s="15">
        <v>46239</v>
      </c>
      <c r="B1355" t="s">
        <v>34</v>
      </c>
      <c r="C1355" t="s">
        <v>126</v>
      </c>
      <c r="D1355" t="s">
        <v>196</v>
      </c>
      <c r="E1355" t="s">
        <v>197</v>
      </c>
      <c r="F1355" t="s">
        <v>97</v>
      </c>
      <c r="G1355" t="s">
        <v>88</v>
      </c>
      <c r="H1355" t="s">
        <v>173</v>
      </c>
      <c r="I1355" t="s">
        <v>179</v>
      </c>
      <c r="J1355">
        <v>17</v>
      </c>
      <c r="K1355" s="16">
        <v>239105</v>
      </c>
      <c r="L1355" s="16">
        <v>189939.86</v>
      </c>
      <c r="M1355" s="16">
        <v>49165.14</v>
      </c>
      <c r="N1355" t="s">
        <v>141</v>
      </c>
      <c r="O1355" t="s">
        <v>113</v>
      </c>
      <c r="P1355" t="str">
        <f t="shared" si="21"/>
        <v>Dwarka|Vacuum Cleaner</v>
      </c>
    </row>
    <row r="1356" spans="1:16" x14ac:dyDescent="0.3">
      <c r="A1356" s="15">
        <v>46208</v>
      </c>
      <c r="B1356" t="s">
        <v>34</v>
      </c>
      <c r="C1356" t="s">
        <v>152</v>
      </c>
      <c r="D1356" t="s">
        <v>187</v>
      </c>
      <c r="E1356" t="s">
        <v>199</v>
      </c>
      <c r="F1356" t="s">
        <v>97</v>
      </c>
      <c r="G1356" t="s">
        <v>86</v>
      </c>
      <c r="H1356" t="s">
        <v>133</v>
      </c>
      <c r="I1356" t="s">
        <v>392</v>
      </c>
      <c r="J1356">
        <v>12</v>
      </c>
      <c r="K1356" s="16">
        <v>71760</v>
      </c>
      <c r="L1356" s="16">
        <v>45916.14</v>
      </c>
      <c r="M1356" s="16">
        <v>25843.86</v>
      </c>
      <c r="N1356" t="s">
        <v>141</v>
      </c>
      <c r="O1356" t="s">
        <v>113</v>
      </c>
      <c r="P1356" t="str">
        <f t="shared" si="21"/>
        <v>Hyderabad|Coffee Maker</v>
      </c>
    </row>
    <row r="1357" spans="1:16" x14ac:dyDescent="0.3">
      <c r="A1357" s="15">
        <v>46123</v>
      </c>
      <c r="B1357" t="s">
        <v>34</v>
      </c>
      <c r="C1357" t="s">
        <v>152</v>
      </c>
      <c r="D1357" t="s">
        <v>153</v>
      </c>
      <c r="E1357" t="s">
        <v>169</v>
      </c>
      <c r="F1357" t="s">
        <v>96</v>
      </c>
      <c r="G1357" t="s">
        <v>84</v>
      </c>
      <c r="H1357" t="s">
        <v>184</v>
      </c>
      <c r="I1357" t="s">
        <v>284</v>
      </c>
      <c r="J1357">
        <v>16</v>
      </c>
      <c r="K1357" s="16">
        <v>204160</v>
      </c>
      <c r="L1357" s="16">
        <v>154687.35999999999</v>
      </c>
      <c r="M1357" s="16">
        <v>49472.639999999999</v>
      </c>
      <c r="N1357" t="s">
        <v>141</v>
      </c>
      <c r="O1357" t="s">
        <v>142</v>
      </c>
      <c r="P1357" t="str">
        <f t="shared" si="21"/>
        <v>Chennai|Filing Cabinet</v>
      </c>
    </row>
    <row r="1358" spans="1:16" x14ac:dyDescent="0.3">
      <c r="A1358" s="15">
        <v>46080</v>
      </c>
      <c r="B1358" t="s">
        <v>34</v>
      </c>
      <c r="C1358" t="s">
        <v>152</v>
      </c>
      <c r="D1358" t="s">
        <v>153</v>
      </c>
      <c r="E1358" t="s">
        <v>154</v>
      </c>
      <c r="F1358" t="s">
        <v>95</v>
      </c>
      <c r="G1358" t="s">
        <v>78</v>
      </c>
      <c r="H1358" t="s">
        <v>135</v>
      </c>
      <c r="I1358" t="s">
        <v>381</v>
      </c>
      <c r="J1358">
        <v>12</v>
      </c>
      <c r="K1358" s="16">
        <v>46368</v>
      </c>
      <c r="L1358" s="16">
        <v>32077.119999999999</v>
      </c>
      <c r="M1358" s="16">
        <v>14290.88</v>
      </c>
      <c r="N1358" t="s">
        <v>131</v>
      </c>
      <c r="O1358" t="s">
        <v>113</v>
      </c>
      <c r="P1358" t="str">
        <f t="shared" si="21"/>
        <v>Coimbatore|Webcam</v>
      </c>
    </row>
    <row r="1359" spans="1:16" x14ac:dyDescent="0.3">
      <c r="A1359" s="15">
        <v>46092</v>
      </c>
      <c r="B1359" t="s">
        <v>34</v>
      </c>
      <c r="C1359" t="s">
        <v>121</v>
      </c>
      <c r="D1359" t="s">
        <v>137</v>
      </c>
      <c r="E1359" t="s">
        <v>171</v>
      </c>
      <c r="F1359" t="s">
        <v>94</v>
      </c>
      <c r="G1359" t="s">
        <v>64</v>
      </c>
      <c r="H1359" t="s">
        <v>133</v>
      </c>
      <c r="I1359" t="s">
        <v>300</v>
      </c>
      <c r="J1359">
        <v>17</v>
      </c>
      <c r="K1359" s="16">
        <v>339150</v>
      </c>
      <c r="L1359" s="16">
        <v>242176.35</v>
      </c>
      <c r="M1359" s="16">
        <v>96973.65</v>
      </c>
      <c r="N1359" t="s">
        <v>112</v>
      </c>
      <c r="O1359" t="s">
        <v>142</v>
      </c>
      <c r="P1359" t="str">
        <f t="shared" si="21"/>
        <v>Bhubaneswar|Monitor 27</v>
      </c>
    </row>
    <row r="1360" spans="1:16" x14ac:dyDescent="0.3">
      <c r="A1360" s="15">
        <v>46052</v>
      </c>
      <c r="B1360" t="s">
        <v>34</v>
      </c>
      <c r="C1360" t="s">
        <v>107</v>
      </c>
      <c r="D1360" t="s">
        <v>108</v>
      </c>
      <c r="E1360" t="s">
        <v>132</v>
      </c>
      <c r="F1360" t="s">
        <v>97</v>
      </c>
      <c r="G1360" t="s">
        <v>88</v>
      </c>
      <c r="H1360" t="s">
        <v>117</v>
      </c>
      <c r="I1360" t="s">
        <v>167</v>
      </c>
      <c r="J1360">
        <v>7</v>
      </c>
      <c r="K1360" s="16">
        <v>93380</v>
      </c>
      <c r="L1360" s="16">
        <v>69153.710000000006</v>
      </c>
      <c r="M1360" s="16">
        <v>24226.29</v>
      </c>
      <c r="N1360" t="s">
        <v>131</v>
      </c>
      <c r="O1360" t="s">
        <v>113</v>
      </c>
      <c r="P1360" t="str">
        <f t="shared" si="21"/>
        <v>Jaipur|Vacuum Cleaner</v>
      </c>
    </row>
    <row r="1361" spans="1:16" x14ac:dyDescent="0.3">
      <c r="A1361" s="15">
        <v>46028</v>
      </c>
      <c r="B1361" t="s">
        <v>34</v>
      </c>
      <c r="C1361" t="s">
        <v>121</v>
      </c>
      <c r="D1361" t="s">
        <v>137</v>
      </c>
      <c r="E1361" t="s">
        <v>138</v>
      </c>
      <c r="F1361" t="s">
        <v>95</v>
      </c>
      <c r="G1361" t="s">
        <v>72</v>
      </c>
      <c r="H1361" t="s">
        <v>133</v>
      </c>
      <c r="I1361" t="s">
        <v>313</v>
      </c>
      <c r="J1361">
        <v>11</v>
      </c>
      <c r="K1361" s="16">
        <v>34144</v>
      </c>
      <c r="L1361" s="16">
        <v>23522.19</v>
      </c>
      <c r="M1361" s="16">
        <v>10621.81</v>
      </c>
      <c r="N1361" t="s">
        <v>131</v>
      </c>
      <c r="O1361" t="s">
        <v>113</v>
      </c>
      <c r="P1361" t="str">
        <f t="shared" si="21"/>
        <v>Cuttack|Keyboard</v>
      </c>
    </row>
    <row r="1362" spans="1:16" x14ac:dyDescent="0.3">
      <c r="A1362" s="15">
        <v>46184</v>
      </c>
      <c r="B1362" t="s">
        <v>34</v>
      </c>
      <c r="C1362" t="s">
        <v>107</v>
      </c>
      <c r="D1362" t="s">
        <v>115</v>
      </c>
      <c r="E1362" t="s">
        <v>191</v>
      </c>
      <c r="F1362" t="s">
        <v>97</v>
      </c>
      <c r="G1362" t="s">
        <v>88</v>
      </c>
      <c r="H1362" t="s">
        <v>139</v>
      </c>
      <c r="I1362" t="s">
        <v>317</v>
      </c>
      <c r="J1362">
        <v>7</v>
      </c>
      <c r="K1362" s="16">
        <v>96425</v>
      </c>
      <c r="L1362" s="16">
        <v>64818.73</v>
      </c>
      <c r="M1362" s="16">
        <v>31606.27</v>
      </c>
      <c r="N1362" t="s">
        <v>141</v>
      </c>
      <c r="O1362" t="s">
        <v>119</v>
      </c>
      <c r="P1362" t="str">
        <f t="shared" si="21"/>
        <v>Surat|Vacuum Cleaner</v>
      </c>
    </row>
    <row r="1363" spans="1:16" x14ac:dyDescent="0.3">
      <c r="A1363" s="15">
        <v>46097</v>
      </c>
      <c r="B1363" t="s">
        <v>34</v>
      </c>
      <c r="C1363" t="s">
        <v>152</v>
      </c>
      <c r="D1363" t="s">
        <v>153</v>
      </c>
      <c r="E1363" t="s">
        <v>154</v>
      </c>
      <c r="F1363" t="s">
        <v>95</v>
      </c>
      <c r="G1363" t="s">
        <v>78</v>
      </c>
      <c r="H1363" t="s">
        <v>133</v>
      </c>
      <c r="I1363" t="s">
        <v>272</v>
      </c>
      <c r="J1363">
        <v>19</v>
      </c>
      <c r="K1363" s="16">
        <v>75810</v>
      </c>
      <c r="L1363" s="16">
        <v>61756.81</v>
      </c>
      <c r="M1363" s="16">
        <v>14053.19</v>
      </c>
      <c r="N1363" t="s">
        <v>125</v>
      </c>
      <c r="O1363" t="s">
        <v>113</v>
      </c>
      <c r="P1363" t="str">
        <f t="shared" si="21"/>
        <v>Coimbatore|Webcam</v>
      </c>
    </row>
    <row r="1364" spans="1:16" x14ac:dyDescent="0.3">
      <c r="A1364" s="15">
        <v>46133</v>
      </c>
      <c r="B1364" t="s">
        <v>34</v>
      </c>
      <c r="C1364" t="s">
        <v>126</v>
      </c>
      <c r="D1364" t="s">
        <v>162</v>
      </c>
      <c r="E1364" t="s">
        <v>163</v>
      </c>
      <c r="F1364" t="s">
        <v>94</v>
      </c>
      <c r="G1364" t="s">
        <v>67</v>
      </c>
      <c r="H1364" t="s">
        <v>139</v>
      </c>
      <c r="I1364" t="s">
        <v>379</v>
      </c>
      <c r="J1364">
        <v>17</v>
      </c>
      <c r="K1364" s="16">
        <v>532950</v>
      </c>
      <c r="L1364" s="16">
        <v>353523.17</v>
      </c>
      <c r="M1364" s="16">
        <v>179426.83</v>
      </c>
      <c r="N1364" t="s">
        <v>131</v>
      </c>
      <c r="O1364" t="s">
        <v>113</v>
      </c>
      <c r="P1364" t="str">
        <f t="shared" si="21"/>
        <v>Lucknow|Tablet X</v>
      </c>
    </row>
    <row r="1365" spans="1:16" x14ac:dyDescent="0.3">
      <c r="A1365" s="15">
        <v>46041</v>
      </c>
      <c r="B1365" t="s">
        <v>114</v>
      </c>
      <c r="C1365" t="s">
        <v>121</v>
      </c>
      <c r="D1365" t="s">
        <v>137</v>
      </c>
      <c r="E1365" t="s">
        <v>171</v>
      </c>
      <c r="F1365" t="s">
        <v>95</v>
      </c>
      <c r="G1365" t="s">
        <v>78</v>
      </c>
      <c r="H1365" t="s">
        <v>184</v>
      </c>
      <c r="I1365" t="s">
        <v>278</v>
      </c>
      <c r="J1365">
        <v>3</v>
      </c>
      <c r="K1365" s="16">
        <v>11970</v>
      </c>
      <c r="L1365" s="16">
        <v>8153.49</v>
      </c>
      <c r="M1365" s="16">
        <v>3816.51</v>
      </c>
      <c r="N1365" t="s">
        <v>141</v>
      </c>
      <c r="O1365" t="s">
        <v>119</v>
      </c>
      <c r="P1365" t="str">
        <f t="shared" si="21"/>
        <v>Bhubaneswar|Webcam</v>
      </c>
    </row>
    <row r="1366" spans="1:16" x14ac:dyDescent="0.3">
      <c r="A1366" s="15">
        <v>46090</v>
      </c>
      <c r="B1366" t="s">
        <v>114</v>
      </c>
      <c r="C1366" t="s">
        <v>107</v>
      </c>
      <c r="D1366" t="s">
        <v>149</v>
      </c>
      <c r="E1366" t="s">
        <v>150</v>
      </c>
      <c r="F1366" t="s">
        <v>94</v>
      </c>
      <c r="G1366" t="s">
        <v>70</v>
      </c>
      <c r="H1366" t="s">
        <v>110</v>
      </c>
      <c r="I1366" t="s">
        <v>359</v>
      </c>
      <c r="J1366">
        <v>3</v>
      </c>
      <c r="K1366" s="16">
        <v>46500</v>
      </c>
      <c r="L1366" s="16">
        <v>31263.62</v>
      </c>
      <c r="M1366" s="16">
        <v>15236.38</v>
      </c>
      <c r="N1366" t="s">
        <v>125</v>
      </c>
      <c r="O1366" t="s">
        <v>142</v>
      </c>
      <c r="P1366" t="str">
        <f t="shared" si="21"/>
        <v>Mumbai|Printer Pro</v>
      </c>
    </row>
    <row r="1367" spans="1:16" x14ac:dyDescent="0.3">
      <c r="A1367" s="15">
        <v>46136</v>
      </c>
      <c r="B1367" t="s">
        <v>34</v>
      </c>
      <c r="C1367" t="s">
        <v>152</v>
      </c>
      <c r="D1367" t="s">
        <v>156</v>
      </c>
      <c r="E1367" t="s">
        <v>238</v>
      </c>
      <c r="F1367" t="s">
        <v>95</v>
      </c>
      <c r="G1367" t="s">
        <v>74</v>
      </c>
      <c r="H1367" t="s">
        <v>110</v>
      </c>
      <c r="I1367" t="s">
        <v>177</v>
      </c>
      <c r="J1367">
        <v>11</v>
      </c>
      <c r="K1367" s="16">
        <v>50160</v>
      </c>
      <c r="L1367" s="16">
        <v>37183.019999999997</v>
      </c>
      <c r="M1367" s="16">
        <v>12976.98</v>
      </c>
      <c r="N1367" t="s">
        <v>141</v>
      </c>
      <c r="O1367" t="s">
        <v>119</v>
      </c>
      <c r="P1367" t="str">
        <f t="shared" si="21"/>
        <v>Bengaluru|Headset</v>
      </c>
    </row>
    <row r="1368" spans="1:16" x14ac:dyDescent="0.3">
      <c r="A1368" s="15">
        <v>46236</v>
      </c>
      <c r="B1368" t="s">
        <v>34</v>
      </c>
      <c r="C1368" t="s">
        <v>121</v>
      </c>
      <c r="D1368" t="s">
        <v>146</v>
      </c>
      <c r="E1368" t="s">
        <v>147</v>
      </c>
      <c r="F1368" t="s">
        <v>97</v>
      </c>
      <c r="G1368" t="s">
        <v>87</v>
      </c>
      <c r="H1368" t="s">
        <v>129</v>
      </c>
      <c r="I1368" t="s">
        <v>355</v>
      </c>
      <c r="J1368">
        <v>1</v>
      </c>
      <c r="K1368" s="16">
        <v>11000</v>
      </c>
      <c r="L1368" s="16">
        <v>8213.44</v>
      </c>
      <c r="M1368" s="16">
        <v>2786.56</v>
      </c>
      <c r="N1368" t="s">
        <v>112</v>
      </c>
      <c r="O1368" t="s">
        <v>113</v>
      </c>
      <c r="P1368" t="str">
        <f t="shared" si="21"/>
        <v>Guwahati|Microwave</v>
      </c>
    </row>
    <row r="1369" spans="1:16" x14ac:dyDescent="0.3">
      <c r="A1369" s="15">
        <v>46089</v>
      </c>
      <c r="B1369" t="s">
        <v>34</v>
      </c>
      <c r="C1369" t="s">
        <v>107</v>
      </c>
      <c r="D1369" t="s">
        <v>108</v>
      </c>
      <c r="E1369" t="s">
        <v>109</v>
      </c>
      <c r="F1369" t="s">
        <v>97</v>
      </c>
      <c r="G1369" t="s">
        <v>86</v>
      </c>
      <c r="H1369" t="s">
        <v>117</v>
      </c>
      <c r="I1369" t="s">
        <v>319</v>
      </c>
      <c r="J1369">
        <v>1</v>
      </c>
      <c r="K1369" s="16">
        <v>6500</v>
      </c>
      <c r="L1369" s="16">
        <v>4865.87</v>
      </c>
      <c r="M1369" s="16">
        <v>1634.13</v>
      </c>
      <c r="N1369" t="s">
        <v>112</v>
      </c>
      <c r="O1369" t="s">
        <v>119</v>
      </c>
      <c r="P1369" t="str">
        <f t="shared" si="21"/>
        <v>Udaipur|Coffee Maker</v>
      </c>
    </row>
    <row r="1370" spans="1:16" x14ac:dyDescent="0.3">
      <c r="A1370" s="15">
        <v>46144</v>
      </c>
      <c r="B1370" t="s">
        <v>34</v>
      </c>
      <c r="C1370" t="s">
        <v>121</v>
      </c>
      <c r="D1370" t="s">
        <v>146</v>
      </c>
      <c r="E1370" t="s">
        <v>175</v>
      </c>
      <c r="F1370" t="s">
        <v>95</v>
      </c>
      <c r="G1370" t="s">
        <v>78</v>
      </c>
      <c r="H1370" t="s">
        <v>133</v>
      </c>
      <c r="I1370" t="s">
        <v>276</v>
      </c>
      <c r="J1370">
        <v>8</v>
      </c>
      <c r="K1370" s="16">
        <v>33600</v>
      </c>
      <c r="L1370" s="16">
        <v>26924.799999999999</v>
      </c>
      <c r="M1370" s="16">
        <v>6675.2</v>
      </c>
      <c r="N1370" t="s">
        <v>141</v>
      </c>
      <c r="O1370" t="s">
        <v>113</v>
      </c>
      <c r="P1370" t="str">
        <f t="shared" si="21"/>
        <v>Dibrugarh|Webcam</v>
      </c>
    </row>
    <row r="1371" spans="1:16" x14ac:dyDescent="0.3">
      <c r="A1371" s="15">
        <v>46174</v>
      </c>
      <c r="B1371" t="s">
        <v>34</v>
      </c>
      <c r="C1371" t="s">
        <v>107</v>
      </c>
      <c r="D1371" t="s">
        <v>115</v>
      </c>
      <c r="E1371" t="s">
        <v>191</v>
      </c>
      <c r="F1371" t="s">
        <v>95</v>
      </c>
      <c r="G1371" t="s">
        <v>72</v>
      </c>
      <c r="H1371" t="s">
        <v>184</v>
      </c>
      <c r="I1371" t="s">
        <v>200</v>
      </c>
      <c r="J1371">
        <v>3</v>
      </c>
      <c r="K1371" s="16">
        <v>9312</v>
      </c>
      <c r="L1371" s="16">
        <v>6368.41</v>
      </c>
      <c r="M1371" s="16">
        <v>2943.59</v>
      </c>
      <c r="N1371" t="s">
        <v>131</v>
      </c>
      <c r="O1371" t="s">
        <v>113</v>
      </c>
      <c r="P1371" t="str">
        <f t="shared" si="21"/>
        <v>Surat|Keyboard</v>
      </c>
    </row>
    <row r="1372" spans="1:16" x14ac:dyDescent="0.3">
      <c r="A1372" s="15">
        <v>46186</v>
      </c>
      <c r="B1372" t="s">
        <v>114</v>
      </c>
      <c r="C1372" t="s">
        <v>121</v>
      </c>
      <c r="D1372" t="s">
        <v>146</v>
      </c>
      <c r="E1372" t="s">
        <v>175</v>
      </c>
      <c r="F1372" t="s">
        <v>95</v>
      </c>
      <c r="G1372" t="s">
        <v>76</v>
      </c>
      <c r="H1372" t="s">
        <v>133</v>
      </c>
      <c r="I1372" t="s">
        <v>310</v>
      </c>
      <c r="J1372">
        <v>19</v>
      </c>
      <c r="K1372" s="16">
        <v>31464</v>
      </c>
      <c r="L1372" s="16">
        <v>23701.27</v>
      </c>
      <c r="M1372" s="16">
        <v>7762.73</v>
      </c>
      <c r="N1372" t="s">
        <v>131</v>
      </c>
      <c r="O1372" t="s">
        <v>113</v>
      </c>
      <c r="P1372" t="str">
        <f t="shared" si="21"/>
        <v>Dibrugarh|Mouse</v>
      </c>
    </row>
    <row r="1373" spans="1:16" x14ac:dyDescent="0.3">
      <c r="A1373" s="15">
        <v>46092</v>
      </c>
      <c r="B1373" t="s">
        <v>34</v>
      </c>
      <c r="C1373" t="s">
        <v>107</v>
      </c>
      <c r="D1373" t="s">
        <v>108</v>
      </c>
      <c r="E1373" t="s">
        <v>109</v>
      </c>
      <c r="F1373" t="s">
        <v>95</v>
      </c>
      <c r="G1373" t="s">
        <v>74</v>
      </c>
      <c r="H1373" t="s">
        <v>135</v>
      </c>
      <c r="I1373" t="s">
        <v>389</v>
      </c>
      <c r="J1373">
        <v>16</v>
      </c>
      <c r="K1373" s="16">
        <v>67584</v>
      </c>
      <c r="L1373" s="16">
        <v>50470.02</v>
      </c>
      <c r="M1373" s="16">
        <v>17113.98</v>
      </c>
      <c r="N1373" t="s">
        <v>125</v>
      </c>
      <c r="O1373" t="s">
        <v>113</v>
      </c>
      <c r="P1373" t="str">
        <f t="shared" si="21"/>
        <v>Udaipur|Headset</v>
      </c>
    </row>
    <row r="1374" spans="1:16" x14ac:dyDescent="0.3">
      <c r="A1374" s="15">
        <v>46083</v>
      </c>
      <c r="B1374" t="s">
        <v>114</v>
      </c>
      <c r="C1374" t="s">
        <v>126</v>
      </c>
      <c r="D1374" t="s">
        <v>196</v>
      </c>
      <c r="E1374" t="s">
        <v>208</v>
      </c>
      <c r="F1374" t="s">
        <v>95</v>
      </c>
      <c r="G1374" t="s">
        <v>74</v>
      </c>
      <c r="H1374" t="s">
        <v>184</v>
      </c>
      <c r="I1374" t="s">
        <v>287</v>
      </c>
      <c r="J1374">
        <v>4</v>
      </c>
      <c r="K1374" s="16">
        <v>16896</v>
      </c>
      <c r="L1374" s="16">
        <v>13723.17</v>
      </c>
      <c r="M1374" s="16">
        <v>3172.83</v>
      </c>
      <c r="N1374" t="s">
        <v>125</v>
      </c>
      <c r="O1374" t="s">
        <v>113</v>
      </c>
      <c r="P1374" t="str">
        <f t="shared" si="21"/>
        <v>New Delhi|Headset</v>
      </c>
    </row>
    <row r="1375" spans="1:16" x14ac:dyDescent="0.3">
      <c r="A1375" s="15">
        <v>46227</v>
      </c>
      <c r="B1375" t="s">
        <v>34</v>
      </c>
      <c r="C1375" t="s">
        <v>107</v>
      </c>
      <c r="D1375" t="s">
        <v>108</v>
      </c>
      <c r="E1375" t="s">
        <v>109</v>
      </c>
      <c r="F1375" t="s">
        <v>97</v>
      </c>
      <c r="G1375" t="s">
        <v>86</v>
      </c>
      <c r="H1375" t="s">
        <v>133</v>
      </c>
      <c r="I1375" t="s">
        <v>213</v>
      </c>
      <c r="J1375">
        <v>9</v>
      </c>
      <c r="K1375" s="16">
        <v>58500</v>
      </c>
      <c r="L1375" s="16">
        <v>38872.660000000003</v>
      </c>
      <c r="M1375" s="16">
        <v>19627.34</v>
      </c>
      <c r="N1375" t="s">
        <v>131</v>
      </c>
      <c r="O1375" t="s">
        <v>113</v>
      </c>
      <c r="P1375" t="str">
        <f t="shared" si="21"/>
        <v>Udaipur|Coffee Maker</v>
      </c>
    </row>
    <row r="1376" spans="1:16" x14ac:dyDescent="0.3">
      <c r="A1376" s="15">
        <v>46096</v>
      </c>
      <c r="B1376" t="s">
        <v>114</v>
      </c>
      <c r="C1376" t="s">
        <v>126</v>
      </c>
      <c r="D1376" t="s">
        <v>127</v>
      </c>
      <c r="E1376" t="s">
        <v>143</v>
      </c>
      <c r="F1376" t="s">
        <v>94</v>
      </c>
      <c r="G1376" t="s">
        <v>64</v>
      </c>
      <c r="H1376" t="s">
        <v>117</v>
      </c>
      <c r="I1376" t="s">
        <v>358</v>
      </c>
      <c r="J1376">
        <v>20</v>
      </c>
      <c r="K1376" s="16">
        <v>386400</v>
      </c>
      <c r="L1376" s="16">
        <v>301144.06</v>
      </c>
      <c r="M1376" s="16">
        <v>85255.94</v>
      </c>
      <c r="N1376" t="s">
        <v>141</v>
      </c>
      <c r="O1376" t="s">
        <v>113</v>
      </c>
      <c r="P1376" t="str">
        <f t="shared" si="21"/>
        <v>Faridabad|Monitor 27</v>
      </c>
    </row>
    <row r="1377" spans="1:16" x14ac:dyDescent="0.3">
      <c r="A1377" s="15">
        <v>46063</v>
      </c>
      <c r="B1377" t="s">
        <v>120</v>
      </c>
      <c r="C1377" t="s">
        <v>126</v>
      </c>
      <c r="D1377" t="s">
        <v>127</v>
      </c>
      <c r="E1377" t="s">
        <v>143</v>
      </c>
      <c r="F1377" t="s">
        <v>95</v>
      </c>
      <c r="G1377" t="s">
        <v>76</v>
      </c>
      <c r="H1377" t="s">
        <v>129</v>
      </c>
      <c r="I1377" t="s">
        <v>273</v>
      </c>
      <c r="J1377">
        <v>20</v>
      </c>
      <c r="K1377" s="16">
        <v>34200</v>
      </c>
      <c r="L1377" s="16">
        <v>22678.73</v>
      </c>
      <c r="M1377" s="16">
        <v>11521.27</v>
      </c>
      <c r="N1377" t="s">
        <v>125</v>
      </c>
      <c r="O1377" t="s">
        <v>119</v>
      </c>
      <c r="P1377" t="str">
        <f t="shared" si="21"/>
        <v>Faridabad|Mouse</v>
      </c>
    </row>
    <row r="1378" spans="1:16" x14ac:dyDescent="0.3">
      <c r="A1378" s="15">
        <v>46147</v>
      </c>
      <c r="B1378" t="s">
        <v>114</v>
      </c>
      <c r="C1378" t="s">
        <v>126</v>
      </c>
      <c r="D1378" t="s">
        <v>127</v>
      </c>
      <c r="E1378" t="s">
        <v>143</v>
      </c>
      <c r="F1378" t="s">
        <v>94</v>
      </c>
      <c r="G1378" t="s">
        <v>61</v>
      </c>
      <c r="H1378" t="s">
        <v>139</v>
      </c>
      <c r="I1378" t="s">
        <v>371</v>
      </c>
      <c r="J1378">
        <v>14</v>
      </c>
      <c r="K1378" s="16">
        <v>1092000</v>
      </c>
      <c r="L1378" s="16">
        <v>772082.84</v>
      </c>
      <c r="M1378" s="16">
        <v>319917.15999999997</v>
      </c>
      <c r="N1378" t="s">
        <v>125</v>
      </c>
      <c r="O1378" t="s">
        <v>113</v>
      </c>
      <c r="P1378" t="str">
        <f t="shared" si="21"/>
        <v>Faridabad|Laptop Pro</v>
      </c>
    </row>
    <row r="1379" spans="1:16" x14ac:dyDescent="0.3">
      <c r="A1379" s="15">
        <v>46023</v>
      </c>
      <c r="B1379" t="s">
        <v>34</v>
      </c>
      <c r="C1379" t="s">
        <v>126</v>
      </c>
      <c r="D1379" t="s">
        <v>162</v>
      </c>
      <c r="E1379" t="s">
        <v>204</v>
      </c>
      <c r="F1379" t="s">
        <v>94</v>
      </c>
      <c r="G1379" t="s">
        <v>64</v>
      </c>
      <c r="H1379" t="s">
        <v>133</v>
      </c>
      <c r="I1379" t="s">
        <v>172</v>
      </c>
      <c r="J1379">
        <v>20</v>
      </c>
      <c r="K1379" s="16">
        <v>420000</v>
      </c>
      <c r="L1379" s="16">
        <v>303103.21000000002</v>
      </c>
      <c r="M1379" s="16">
        <v>116896.79</v>
      </c>
      <c r="N1379" t="s">
        <v>131</v>
      </c>
      <c r="O1379" t="s">
        <v>142</v>
      </c>
      <c r="P1379" t="str">
        <f t="shared" si="21"/>
        <v>Noida|Monitor 27</v>
      </c>
    </row>
    <row r="1380" spans="1:16" x14ac:dyDescent="0.3">
      <c r="A1380" s="15">
        <v>46130</v>
      </c>
      <c r="B1380" t="s">
        <v>120</v>
      </c>
      <c r="C1380" t="s">
        <v>126</v>
      </c>
      <c r="D1380" t="s">
        <v>196</v>
      </c>
      <c r="E1380" t="s">
        <v>197</v>
      </c>
      <c r="F1380" t="s">
        <v>96</v>
      </c>
      <c r="G1380" t="s">
        <v>84</v>
      </c>
      <c r="H1380" t="s">
        <v>184</v>
      </c>
      <c r="I1380" t="s">
        <v>331</v>
      </c>
      <c r="J1380">
        <v>8</v>
      </c>
      <c r="K1380" s="16">
        <v>116000</v>
      </c>
      <c r="L1380" s="16">
        <v>80772.09</v>
      </c>
      <c r="M1380" s="16">
        <v>35227.910000000003</v>
      </c>
      <c r="N1380" t="s">
        <v>131</v>
      </c>
      <c r="O1380" t="s">
        <v>113</v>
      </c>
      <c r="P1380" t="str">
        <f t="shared" si="21"/>
        <v>Dwarka|Filing Cabinet</v>
      </c>
    </row>
    <row r="1381" spans="1:16" x14ac:dyDescent="0.3">
      <c r="A1381" s="15">
        <v>46222</v>
      </c>
      <c r="B1381" t="s">
        <v>34</v>
      </c>
      <c r="C1381" t="s">
        <v>121</v>
      </c>
      <c r="D1381" t="s">
        <v>137</v>
      </c>
      <c r="E1381" t="s">
        <v>138</v>
      </c>
      <c r="F1381" t="s">
        <v>95</v>
      </c>
      <c r="G1381" t="s">
        <v>78</v>
      </c>
      <c r="H1381" t="s">
        <v>133</v>
      </c>
      <c r="I1381" t="s">
        <v>207</v>
      </c>
      <c r="J1381">
        <v>3</v>
      </c>
      <c r="K1381" s="16">
        <v>11970</v>
      </c>
      <c r="L1381" s="16">
        <v>7937.94</v>
      </c>
      <c r="M1381" s="16">
        <v>4032.06</v>
      </c>
      <c r="N1381" t="s">
        <v>131</v>
      </c>
      <c r="O1381" t="s">
        <v>119</v>
      </c>
      <c r="P1381" t="str">
        <f t="shared" si="21"/>
        <v>Cuttack|Webcam</v>
      </c>
    </row>
    <row r="1382" spans="1:16" x14ac:dyDescent="0.3">
      <c r="A1382" s="15">
        <v>46166</v>
      </c>
      <c r="B1382" t="s">
        <v>120</v>
      </c>
      <c r="C1382" t="s">
        <v>126</v>
      </c>
      <c r="D1382" t="s">
        <v>196</v>
      </c>
      <c r="E1382" t="s">
        <v>208</v>
      </c>
      <c r="F1382" t="s">
        <v>97</v>
      </c>
      <c r="G1382" t="s">
        <v>86</v>
      </c>
      <c r="H1382" t="s">
        <v>129</v>
      </c>
      <c r="I1382" t="s">
        <v>413</v>
      </c>
      <c r="J1382">
        <v>13</v>
      </c>
      <c r="K1382" s="16">
        <v>81965</v>
      </c>
      <c r="L1382" s="16">
        <v>55995.1</v>
      </c>
      <c r="M1382" s="16">
        <v>25969.9</v>
      </c>
      <c r="N1382" t="s">
        <v>125</v>
      </c>
      <c r="O1382" t="s">
        <v>113</v>
      </c>
      <c r="P1382" t="str">
        <f t="shared" si="21"/>
        <v>New Delhi|Coffee Maker</v>
      </c>
    </row>
    <row r="1383" spans="1:16" x14ac:dyDescent="0.3">
      <c r="A1383" s="15">
        <v>46217</v>
      </c>
      <c r="B1383" t="s">
        <v>34</v>
      </c>
      <c r="C1383" t="s">
        <v>107</v>
      </c>
      <c r="D1383" t="s">
        <v>149</v>
      </c>
      <c r="E1383" t="s">
        <v>159</v>
      </c>
      <c r="F1383" t="s">
        <v>97</v>
      </c>
      <c r="G1383" t="s">
        <v>86</v>
      </c>
      <c r="H1383" t="s">
        <v>129</v>
      </c>
      <c r="I1383" t="s">
        <v>333</v>
      </c>
      <c r="J1383">
        <v>8</v>
      </c>
      <c r="K1383" s="16">
        <v>45760</v>
      </c>
      <c r="L1383" s="16">
        <v>35812.379999999997</v>
      </c>
      <c r="M1383" s="16">
        <v>9947.6200000000008</v>
      </c>
      <c r="N1383" t="s">
        <v>141</v>
      </c>
      <c r="O1383" t="s">
        <v>113</v>
      </c>
      <c r="P1383" t="str">
        <f t="shared" si="21"/>
        <v>Pune|Coffee Maker</v>
      </c>
    </row>
    <row r="1384" spans="1:16" x14ac:dyDescent="0.3">
      <c r="A1384" s="15">
        <v>46097</v>
      </c>
      <c r="B1384" t="s">
        <v>34</v>
      </c>
      <c r="C1384" t="s">
        <v>126</v>
      </c>
      <c r="D1384" t="s">
        <v>196</v>
      </c>
      <c r="E1384" t="s">
        <v>208</v>
      </c>
      <c r="F1384" t="s">
        <v>94</v>
      </c>
      <c r="G1384" t="s">
        <v>70</v>
      </c>
      <c r="H1384" t="s">
        <v>173</v>
      </c>
      <c r="I1384" t="s">
        <v>308</v>
      </c>
      <c r="J1384">
        <v>6</v>
      </c>
      <c r="K1384" s="16">
        <v>93000</v>
      </c>
      <c r="L1384" s="16">
        <v>73877.149999999994</v>
      </c>
      <c r="M1384" s="16">
        <v>19122.849999999999</v>
      </c>
      <c r="N1384" t="s">
        <v>125</v>
      </c>
      <c r="O1384" t="s">
        <v>119</v>
      </c>
      <c r="P1384" t="str">
        <f t="shared" si="21"/>
        <v>New Delhi|Printer Pro</v>
      </c>
    </row>
    <row r="1385" spans="1:16" x14ac:dyDescent="0.3">
      <c r="A1385" s="15">
        <v>46233</v>
      </c>
      <c r="B1385" t="s">
        <v>34</v>
      </c>
      <c r="C1385" t="s">
        <v>152</v>
      </c>
      <c r="D1385" t="s">
        <v>156</v>
      </c>
      <c r="E1385" t="s">
        <v>157</v>
      </c>
      <c r="F1385" t="s">
        <v>95</v>
      </c>
      <c r="G1385" t="s">
        <v>78</v>
      </c>
      <c r="H1385" t="s">
        <v>110</v>
      </c>
      <c r="I1385" t="s">
        <v>239</v>
      </c>
      <c r="J1385">
        <v>3</v>
      </c>
      <c r="K1385" s="16">
        <v>12222</v>
      </c>
      <c r="L1385" s="16">
        <v>9945.09</v>
      </c>
      <c r="M1385" s="16">
        <v>2276.91</v>
      </c>
      <c r="N1385" t="s">
        <v>131</v>
      </c>
      <c r="O1385" t="s">
        <v>119</v>
      </c>
      <c r="P1385" t="str">
        <f t="shared" si="21"/>
        <v>Mysuru|Webcam</v>
      </c>
    </row>
    <row r="1386" spans="1:16" x14ac:dyDescent="0.3">
      <c r="A1386" s="15">
        <v>46119</v>
      </c>
      <c r="B1386" t="s">
        <v>34</v>
      </c>
      <c r="C1386" t="s">
        <v>126</v>
      </c>
      <c r="D1386" t="s">
        <v>127</v>
      </c>
      <c r="E1386" t="s">
        <v>143</v>
      </c>
      <c r="F1386" t="s">
        <v>95</v>
      </c>
      <c r="G1386" t="s">
        <v>76</v>
      </c>
      <c r="H1386" t="s">
        <v>117</v>
      </c>
      <c r="I1386" t="s">
        <v>391</v>
      </c>
      <c r="J1386">
        <v>9</v>
      </c>
      <c r="K1386" s="16">
        <v>15714</v>
      </c>
      <c r="L1386" s="16">
        <v>12449.59</v>
      </c>
      <c r="M1386" s="16">
        <v>3264.41</v>
      </c>
      <c r="N1386" t="s">
        <v>125</v>
      </c>
      <c r="O1386" t="s">
        <v>113</v>
      </c>
      <c r="P1386" t="str">
        <f t="shared" si="21"/>
        <v>Faridabad|Mouse</v>
      </c>
    </row>
    <row r="1387" spans="1:16" x14ac:dyDescent="0.3">
      <c r="A1387" s="15">
        <v>46246</v>
      </c>
      <c r="B1387" t="s">
        <v>34</v>
      </c>
      <c r="C1387" t="s">
        <v>152</v>
      </c>
      <c r="D1387" t="s">
        <v>187</v>
      </c>
      <c r="E1387" t="s">
        <v>188</v>
      </c>
      <c r="F1387" t="s">
        <v>94</v>
      </c>
      <c r="G1387" t="s">
        <v>70</v>
      </c>
      <c r="H1387" t="s">
        <v>173</v>
      </c>
      <c r="I1387" t="s">
        <v>299</v>
      </c>
      <c r="J1387">
        <v>4</v>
      </c>
      <c r="K1387" s="16">
        <v>58900</v>
      </c>
      <c r="L1387" s="16">
        <v>45467.28</v>
      </c>
      <c r="M1387" s="16">
        <v>13432.72</v>
      </c>
      <c r="N1387" t="s">
        <v>141</v>
      </c>
      <c r="O1387" t="s">
        <v>142</v>
      </c>
      <c r="P1387" t="str">
        <f t="shared" si="21"/>
        <v>Warangal|Printer Pro</v>
      </c>
    </row>
    <row r="1388" spans="1:16" x14ac:dyDescent="0.3">
      <c r="A1388" s="15">
        <v>46201</v>
      </c>
      <c r="B1388" t="s">
        <v>114</v>
      </c>
      <c r="C1388" t="s">
        <v>107</v>
      </c>
      <c r="D1388" t="s">
        <v>149</v>
      </c>
      <c r="E1388" t="s">
        <v>150</v>
      </c>
      <c r="F1388" t="s">
        <v>97</v>
      </c>
      <c r="G1388" t="s">
        <v>88</v>
      </c>
      <c r="H1388" t="s">
        <v>117</v>
      </c>
      <c r="I1388" t="s">
        <v>313</v>
      </c>
      <c r="J1388">
        <v>2</v>
      </c>
      <c r="K1388" s="16">
        <v>28130</v>
      </c>
      <c r="L1388" s="16">
        <v>19555.939999999999</v>
      </c>
      <c r="M1388" s="16">
        <v>8574.06</v>
      </c>
      <c r="N1388" t="s">
        <v>112</v>
      </c>
      <c r="O1388" t="s">
        <v>113</v>
      </c>
      <c r="P1388" t="str">
        <f t="shared" si="21"/>
        <v>Mumbai|Vacuum Cleaner</v>
      </c>
    </row>
    <row r="1389" spans="1:16" x14ac:dyDescent="0.3">
      <c r="A1389" s="15">
        <v>46253</v>
      </c>
      <c r="B1389" t="s">
        <v>34</v>
      </c>
      <c r="C1389" t="s">
        <v>152</v>
      </c>
      <c r="D1389" t="s">
        <v>187</v>
      </c>
      <c r="E1389" t="s">
        <v>199</v>
      </c>
      <c r="F1389" t="s">
        <v>95</v>
      </c>
      <c r="G1389" t="s">
        <v>74</v>
      </c>
      <c r="H1389" t="s">
        <v>135</v>
      </c>
      <c r="I1389" t="s">
        <v>194</v>
      </c>
      <c r="J1389">
        <v>5</v>
      </c>
      <c r="K1389" s="16">
        <v>24000</v>
      </c>
      <c r="L1389" s="16">
        <v>18578.25</v>
      </c>
      <c r="M1389" s="16">
        <v>5421.75</v>
      </c>
      <c r="N1389" t="s">
        <v>131</v>
      </c>
      <c r="O1389" t="s">
        <v>142</v>
      </c>
      <c r="P1389" t="str">
        <f t="shared" si="21"/>
        <v>Hyderabad|Headset</v>
      </c>
    </row>
    <row r="1390" spans="1:16" x14ac:dyDescent="0.3">
      <c r="A1390" s="15">
        <v>46059</v>
      </c>
      <c r="B1390" t="s">
        <v>34</v>
      </c>
      <c r="C1390" t="s">
        <v>126</v>
      </c>
      <c r="D1390" t="s">
        <v>162</v>
      </c>
      <c r="E1390" t="s">
        <v>204</v>
      </c>
      <c r="F1390" t="s">
        <v>94</v>
      </c>
      <c r="G1390" t="s">
        <v>67</v>
      </c>
      <c r="H1390" t="s">
        <v>139</v>
      </c>
      <c r="I1390" t="s">
        <v>264</v>
      </c>
      <c r="J1390">
        <v>19</v>
      </c>
      <c r="K1390" s="16">
        <v>551760</v>
      </c>
      <c r="L1390" s="16">
        <v>358259.74</v>
      </c>
      <c r="M1390" s="16">
        <v>193500.26</v>
      </c>
      <c r="N1390" t="s">
        <v>112</v>
      </c>
      <c r="O1390" t="s">
        <v>113</v>
      </c>
      <c r="P1390" t="str">
        <f t="shared" si="21"/>
        <v>Noida|Tablet X</v>
      </c>
    </row>
    <row r="1391" spans="1:16" x14ac:dyDescent="0.3">
      <c r="A1391" s="15">
        <v>46209</v>
      </c>
      <c r="B1391" t="s">
        <v>34</v>
      </c>
      <c r="C1391" t="s">
        <v>152</v>
      </c>
      <c r="D1391" t="s">
        <v>156</v>
      </c>
      <c r="E1391" t="s">
        <v>157</v>
      </c>
      <c r="F1391" t="s">
        <v>96</v>
      </c>
      <c r="G1391" t="s">
        <v>80</v>
      </c>
      <c r="H1391" t="s">
        <v>129</v>
      </c>
      <c r="I1391" t="s">
        <v>118</v>
      </c>
      <c r="J1391">
        <v>9</v>
      </c>
      <c r="K1391" s="16">
        <v>112500</v>
      </c>
      <c r="L1391" s="16">
        <v>88869.13</v>
      </c>
      <c r="M1391" s="16">
        <v>23630.87</v>
      </c>
      <c r="N1391" t="s">
        <v>125</v>
      </c>
      <c r="O1391" t="s">
        <v>113</v>
      </c>
      <c r="P1391" t="str">
        <f t="shared" si="21"/>
        <v>Mysuru|Office Chair</v>
      </c>
    </row>
    <row r="1392" spans="1:16" x14ac:dyDescent="0.3">
      <c r="A1392" s="15">
        <v>46195</v>
      </c>
      <c r="B1392" t="s">
        <v>34</v>
      </c>
      <c r="C1392" t="s">
        <v>152</v>
      </c>
      <c r="D1392" t="s">
        <v>153</v>
      </c>
      <c r="E1392" t="s">
        <v>154</v>
      </c>
      <c r="F1392" t="s">
        <v>94</v>
      </c>
      <c r="G1392" t="s">
        <v>70</v>
      </c>
      <c r="H1392" t="s">
        <v>133</v>
      </c>
      <c r="I1392" t="s">
        <v>222</v>
      </c>
      <c r="J1392">
        <v>1</v>
      </c>
      <c r="K1392" s="16">
        <v>14725</v>
      </c>
      <c r="L1392" s="16">
        <v>10292.35</v>
      </c>
      <c r="M1392" s="16">
        <v>4432.6499999999996</v>
      </c>
      <c r="N1392" t="s">
        <v>141</v>
      </c>
      <c r="O1392" t="s">
        <v>113</v>
      </c>
      <c r="P1392" t="str">
        <f t="shared" si="21"/>
        <v>Coimbatore|Printer Pro</v>
      </c>
    </row>
    <row r="1393" spans="1:16" x14ac:dyDescent="0.3">
      <c r="A1393" s="15">
        <v>46240</v>
      </c>
      <c r="B1393" t="s">
        <v>34</v>
      </c>
      <c r="C1393" t="s">
        <v>121</v>
      </c>
      <c r="D1393" t="s">
        <v>137</v>
      </c>
      <c r="E1393" t="s">
        <v>138</v>
      </c>
      <c r="F1393" t="s">
        <v>97</v>
      </c>
      <c r="G1393" t="s">
        <v>86</v>
      </c>
      <c r="H1393" t="s">
        <v>139</v>
      </c>
      <c r="I1393" t="s">
        <v>380</v>
      </c>
      <c r="J1393">
        <v>13</v>
      </c>
      <c r="K1393" s="16">
        <v>74360</v>
      </c>
      <c r="L1393" s="16">
        <v>52475.35</v>
      </c>
      <c r="M1393" s="16">
        <v>21884.65</v>
      </c>
      <c r="N1393" t="s">
        <v>125</v>
      </c>
      <c r="O1393" t="s">
        <v>113</v>
      </c>
      <c r="P1393" t="str">
        <f t="shared" si="21"/>
        <v>Cuttack|Coffee Maker</v>
      </c>
    </row>
    <row r="1394" spans="1:16" x14ac:dyDescent="0.3">
      <c r="A1394" s="15">
        <v>46143</v>
      </c>
      <c r="B1394" t="s">
        <v>34</v>
      </c>
      <c r="C1394" t="s">
        <v>152</v>
      </c>
      <c r="D1394" t="s">
        <v>156</v>
      </c>
      <c r="E1394" t="s">
        <v>238</v>
      </c>
      <c r="F1394" t="s">
        <v>97</v>
      </c>
      <c r="G1394" t="s">
        <v>87</v>
      </c>
      <c r="H1394" t="s">
        <v>110</v>
      </c>
      <c r="I1394" t="s">
        <v>252</v>
      </c>
      <c r="J1394">
        <v>13</v>
      </c>
      <c r="K1394" s="16">
        <v>162500</v>
      </c>
      <c r="L1394" s="16">
        <v>118781.71</v>
      </c>
      <c r="M1394" s="16">
        <v>43718.29</v>
      </c>
      <c r="N1394" t="s">
        <v>125</v>
      </c>
      <c r="O1394" t="s">
        <v>113</v>
      </c>
      <c r="P1394" t="str">
        <f t="shared" si="21"/>
        <v>Bengaluru|Microwave</v>
      </c>
    </row>
    <row r="1395" spans="1:16" x14ac:dyDescent="0.3">
      <c r="A1395" s="15">
        <v>46209</v>
      </c>
      <c r="B1395" t="s">
        <v>34</v>
      </c>
      <c r="C1395" t="s">
        <v>121</v>
      </c>
      <c r="D1395" t="s">
        <v>137</v>
      </c>
      <c r="E1395" t="s">
        <v>171</v>
      </c>
      <c r="F1395" t="s">
        <v>94</v>
      </c>
      <c r="G1395" t="s">
        <v>61</v>
      </c>
      <c r="H1395" t="s">
        <v>129</v>
      </c>
      <c r="I1395" t="s">
        <v>118</v>
      </c>
      <c r="J1395">
        <v>6</v>
      </c>
      <c r="K1395" s="16">
        <v>430560</v>
      </c>
      <c r="L1395" s="16">
        <v>278273.38</v>
      </c>
      <c r="M1395" s="16">
        <v>152286.62</v>
      </c>
      <c r="N1395" t="s">
        <v>131</v>
      </c>
      <c r="O1395" t="s">
        <v>113</v>
      </c>
      <c r="P1395" t="str">
        <f t="shared" si="21"/>
        <v>Bhubaneswar|Laptop Pro</v>
      </c>
    </row>
    <row r="1396" spans="1:16" x14ac:dyDescent="0.3">
      <c r="A1396" s="15">
        <v>46099</v>
      </c>
      <c r="B1396" t="s">
        <v>114</v>
      </c>
      <c r="C1396" t="s">
        <v>152</v>
      </c>
      <c r="D1396" t="s">
        <v>156</v>
      </c>
      <c r="E1396" t="s">
        <v>157</v>
      </c>
      <c r="F1396" t="s">
        <v>95</v>
      </c>
      <c r="G1396" t="s">
        <v>78</v>
      </c>
      <c r="H1396" t="s">
        <v>129</v>
      </c>
      <c r="I1396" t="s">
        <v>224</v>
      </c>
      <c r="J1396">
        <v>8</v>
      </c>
      <c r="K1396" s="16">
        <v>29568</v>
      </c>
      <c r="L1396" s="16">
        <v>19650.89</v>
      </c>
      <c r="M1396" s="16">
        <v>9917.11</v>
      </c>
      <c r="N1396" t="s">
        <v>131</v>
      </c>
      <c r="O1396" t="s">
        <v>113</v>
      </c>
      <c r="P1396" t="str">
        <f t="shared" si="21"/>
        <v>Mysuru|Webcam</v>
      </c>
    </row>
    <row r="1397" spans="1:16" x14ac:dyDescent="0.3">
      <c r="A1397" s="15">
        <v>46175</v>
      </c>
      <c r="B1397" t="s">
        <v>34</v>
      </c>
      <c r="C1397" t="s">
        <v>152</v>
      </c>
      <c r="D1397" t="s">
        <v>187</v>
      </c>
      <c r="E1397" t="s">
        <v>188</v>
      </c>
      <c r="F1397" t="s">
        <v>95</v>
      </c>
      <c r="G1397" t="s">
        <v>72</v>
      </c>
      <c r="H1397" t="s">
        <v>173</v>
      </c>
      <c r="I1397" t="s">
        <v>358</v>
      </c>
      <c r="J1397">
        <v>5</v>
      </c>
      <c r="K1397" s="16">
        <v>15200</v>
      </c>
      <c r="L1397" s="16">
        <v>11825.38</v>
      </c>
      <c r="M1397" s="16">
        <v>3374.62</v>
      </c>
      <c r="N1397" t="s">
        <v>125</v>
      </c>
      <c r="O1397" t="s">
        <v>119</v>
      </c>
      <c r="P1397" t="str">
        <f t="shared" si="21"/>
        <v>Warangal|Keyboard</v>
      </c>
    </row>
    <row r="1398" spans="1:16" x14ac:dyDescent="0.3">
      <c r="A1398" s="15">
        <v>46183</v>
      </c>
      <c r="B1398" t="s">
        <v>34</v>
      </c>
      <c r="C1398" t="s">
        <v>152</v>
      </c>
      <c r="D1398" t="s">
        <v>153</v>
      </c>
      <c r="E1398" t="s">
        <v>169</v>
      </c>
      <c r="F1398" t="s">
        <v>97</v>
      </c>
      <c r="G1398" t="s">
        <v>87</v>
      </c>
      <c r="H1398" t="s">
        <v>184</v>
      </c>
      <c r="I1398" t="s">
        <v>396</v>
      </c>
      <c r="J1398">
        <v>1</v>
      </c>
      <c r="K1398" s="16">
        <v>11000</v>
      </c>
      <c r="L1398" s="16">
        <v>7573.31</v>
      </c>
      <c r="M1398" s="16">
        <v>3426.69</v>
      </c>
      <c r="N1398" t="s">
        <v>141</v>
      </c>
      <c r="O1398" t="s">
        <v>113</v>
      </c>
      <c r="P1398" t="str">
        <f t="shared" si="21"/>
        <v>Chennai|Microwave</v>
      </c>
    </row>
    <row r="1399" spans="1:16" x14ac:dyDescent="0.3">
      <c r="A1399" s="15">
        <v>46128</v>
      </c>
      <c r="B1399" t="s">
        <v>34</v>
      </c>
      <c r="C1399" t="s">
        <v>121</v>
      </c>
      <c r="D1399" t="s">
        <v>137</v>
      </c>
      <c r="E1399" t="s">
        <v>171</v>
      </c>
      <c r="F1399" t="s">
        <v>95</v>
      </c>
      <c r="G1399" t="s">
        <v>76</v>
      </c>
      <c r="H1399" t="s">
        <v>184</v>
      </c>
      <c r="I1399" t="s">
        <v>293</v>
      </c>
      <c r="J1399">
        <v>11</v>
      </c>
      <c r="K1399" s="16">
        <v>18216</v>
      </c>
      <c r="L1399" s="16">
        <v>12508.79</v>
      </c>
      <c r="M1399" s="16">
        <v>5707.21</v>
      </c>
      <c r="N1399" t="s">
        <v>141</v>
      </c>
      <c r="O1399" t="s">
        <v>119</v>
      </c>
      <c r="P1399" t="str">
        <f t="shared" si="21"/>
        <v>Bhubaneswar|Mouse</v>
      </c>
    </row>
    <row r="1400" spans="1:16" x14ac:dyDescent="0.3">
      <c r="A1400" s="15">
        <v>46103</v>
      </c>
      <c r="B1400" t="s">
        <v>34</v>
      </c>
      <c r="C1400" t="s">
        <v>152</v>
      </c>
      <c r="D1400" t="s">
        <v>156</v>
      </c>
      <c r="E1400" t="s">
        <v>238</v>
      </c>
      <c r="F1400" t="s">
        <v>97</v>
      </c>
      <c r="G1400" t="s">
        <v>85</v>
      </c>
      <c r="H1400" t="s">
        <v>117</v>
      </c>
      <c r="I1400" t="s">
        <v>231</v>
      </c>
      <c r="J1400">
        <v>14</v>
      </c>
      <c r="K1400" s="16">
        <v>252000</v>
      </c>
      <c r="L1400" s="16">
        <v>186573.37</v>
      </c>
      <c r="M1400" s="16">
        <v>65426.63</v>
      </c>
      <c r="N1400" t="s">
        <v>112</v>
      </c>
      <c r="O1400" t="s">
        <v>119</v>
      </c>
      <c r="P1400" t="str">
        <f t="shared" si="21"/>
        <v>Bengaluru|Air Purifier</v>
      </c>
    </row>
    <row r="1401" spans="1:16" x14ac:dyDescent="0.3">
      <c r="A1401" s="15">
        <v>46156</v>
      </c>
      <c r="B1401" t="s">
        <v>114</v>
      </c>
      <c r="C1401" t="s">
        <v>126</v>
      </c>
      <c r="D1401" t="s">
        <v>196</v>
      </c>
      <c r="E1401" t="s">
        <v>197</v>
      </c>
      <c r="F1401" t="s">
        <v>96</v>
      </c>
      <c r="G1401" t="s">
        <v>83</v>
      </c>
      <c r="H1401" t="s">
        <v>139</v>
      </c>
      <c r="I1401" t="s">
        <v>250</v>
      </c>
      <c r="J1401">
        <v>15</v>
      </c>
      <c r="K1401" s="16">
        <v>496800</v>
      </c>
      <c r="L1401" s="16">
        <v>397943.61</v>
      </c>
      <c r="M1401" s="16">
        <v>98856.39</v>
      </c>
      <c r="N1401" t="s">
        <v>112</v>
      </c>
      <c r="O1401" t="s">
        <v>113</v>
      </c>
      <c r="P1401" t="str">
        <f t="shared" si="21"/>
        <v>Dwarka|Meeting Table</v>
      </c>
    </row>
    <row r="1402" spans="1:16" x14ac:dyDescent="0.3">
      <c r="A1402" s="15">
        <v>46160</v>
      </c>
      <c r="B1402" t="s">
        <v>34</v>
      </c>
      <c r="C1402" t="s">
        <v>152</v>
      </c>
      <c r="D1402" t="s">
        <v>153</v>
      </c>
      <c r="E1402" t="s">
        <v>169</v>
      </c>
      <c r="F1402" t="s">
        <v>95</v>
      </c>
      <c r="G1402" t="s">
        <v>72</v>
      </c>
      <c r="H1402" t="s">
        <v>129</v>
      </c>
      <c r="I1402" t="s">
        <v>185</v>
      </c>
      <c r="J1402">
        <v>20</v>
      </c>
      <c r="K1402" s="16">
        <v>64000</v>
      </c>
      <c r="L1402" s="16">
        <v>44273.13</v>
      </c>
      <c r="M1402" s="16">
        <v>19726.87</v>
      </c>
      <c r="N1402" t="s">
        <v>131</v>
      </c>
      <c r="O1402" t="s">
        <v>113</v>
      </c>
      <c r="P1402" t="str">
        <f t="shared" si="21"/>
        <v>Chennai|Keyboard</v>
      </c>
    </row>
    <row r="1403" spans="1:16" x14ac:dyDescent="0.3">
      <c r="A1403" s="15">
        <v>46231</v>
      </c>
      <c r="B1403" t="s">
        <v>114</v>
      </c>
      <c r="C1403" t="s">
        <v>121</v>
      </c>
      <c r="D1403" t="s">
        <v>122</v>
      </c>
      <c r="E1403" t="s">
        <v>123</v>
      </c>
      <c r="F1403" t="s">
        <v>94</v>
      </c>
      <c r="G1403" t="s">
        <v>67</v>
      </c>
      <c r="H1403" t="s">
        <v>184</v>
      </c>
      <c r="I1403" t="s">
        <v>167</v>
      </c>
      <c r="J1403">
        <v>14</v>
      </c>
      <c r="K1403" s="16">
        <v>438900</v>
      </c>
      <c r="L1403" s="16">
        <v>336540.71</v>
      </c>
      <c r="M1403" s="16">
        <v>102359.29</v>
      </c>
      <c r="N1403" t="s">
        <v>141</v>
      </c>
      <c r="O1403" t="s">
        <v>113</v>
      </c>
      <c r="P1403" t="str">
        <f t="shared" si="21"/>
        <v>Durgapur|Tablet X</v>
      </c>
    </row>
    <row r="1404" spans="1:16" x14ac:dyDescent="0.3">
      <c r="A1404" s="15">
        <v>46192</v>
      </c>
      <c r="B1404" t="s">
        <v>34</v>
      </c>
      <c r="C1404" t="s">
        <v>152</v>
      </c>
      <c r="D1404" t="s">
        <v>153</v>
      </c>
      <c r="E1404" t="s">
        <v>169</v>
      </c>
      <c r="F1404" t="s">
        <v>95</v>
      </c>
      <c r="G1404" t="s">
        <v>78</v>
      </c>
      <c r="H1404" t="s">
        <v>117</v>
      </c>
      <c r="I1404" t="s">
        <v>193</v>
      </c>
      <c r="J1404">
        <v>8</v>
      </c>
      <c r="K1404" s="16">
        <v>29568</v>
      </c>
      <c r="L1404" s="16">
        <v>19701.189999999999</v>
      </c>
      <c r="M1404" s="16">
        <v>9866.81</v>
      </c>
      <c r="N1404" t="s">
        <v>141</v>
      </c>
      <c r="O1404" t="s">
        <v>119</v>
      </c>
      <c r="P1404" t="str">
        <f t="shared" si="21"/>
        <v>Chennai|Webcam</v>
      </c>
    </row>
    <row r="1405" spans="1:16" x14ac:dyDescent="0.3">
      <c r="A1405" s="15">
        <v>46150</v>
      </c>
      <c r="B1405" t="s">
        <v>34</v>
      </c>
      <c r="C1405" t="s">
        <v>152</v>
      </c>
      <c r="D1405" t="s">
        <v>187</v>
      </c>
      <c r="E1405" t="s">
        <v>199</v>
      </c>
      <c r="F1405" t="s">
        <v>97</v>
      </c>
      <c r="G1405" t="s">
        <v>86</v>
      </c>
      <c r="H1405" t="s">
        <v>184</v>
      </c>
      <c r="I1405" t="s">
        <v>178</v>
      </c>
      <c r="J1405">
        <v>14</v>
      </c>
      <c r="K1405" s="16">
        <v>88270</v>
      </c>
      <c r="L1405" s="16">
        <v>64888.08</v>
      </c>
      <c r="M1405" s="16">
        <v>23381.919999999998</v>
      </c>
      <c r="N1405" t="s">
        <v>112</v>
      </c>
      <c r="O1405" t="s">
        <v>142</v>
      </c>
      <c r="P1405" t="str">
        <f t="shared" si="21"/>
        <v>Hyderabad|Coffee Maker</v>
      </c>
    </row>
    <row r="1406" spans="1:16" x14ac:dyDescent="0.3">
      <c r="A1406" s="15">
        <v>46221</v>
      </c>
      <c r="B1406" t="s">
        <v>34</v>
      </c>
      <c r="C1406" t="s">
        <v>152</v>
      </c>
      <c r="D1406" t="s">
        <v>153</v>
      </c>
      <c r="E1406" t="s">
        <v>169</v>
      </c>
      <c r="F1406" t="s">
        <v>95</v>
      </c>
      <c r="G1406" t="s">
        <v>76</v>
      </c>
      <c r="H1406" t="s">
        <v>117</v>
      </c>
      <c r="I1406" t="s">
        <v>182</v>
      </c>
      <c r="J1406">
        <v>5</v>
      </c>
      <c r="K1406" s="16">
        <v>9000</v>
      </c>
      <c r="L1406" s="16">
        <v>6546.1</v>
      </c>
      <c r="M1406" s="16">
        <v>2453.9</v>
      </c>
      <c r="N1406" t="s">
        <v>112</v>
      </c>
      <c r="O1406" t="s">
        <v>142</v>
      </c>
      <c r="P1406" t="str">
        <f t="shared" si="21"/>
        <v>Chennai|Mouse</v>
      </c>
    </row>
    <row r="1407" spans="1:16" x14ac:dyDescent="0.3">
      <c r="A1407" s="15">
        <v>46245</v>
      </c>
      <c r="B1407" t="s">
        <v>34</v>
      </c>
      <c r="C1407" t="s">
        <v>107</v>
      </c>
      <c r="D1407" t="s">
        <v>149</v>
      </c>
      <c r="E1407" t="s">
        <v>150</v>
      </c>
      <c r="F1407" t="s">
        <v>94</v>
      </c>
      <c r="G1407" t="s">
        <v>70</v>
      </c>
      <c r="H1407" t="s">
        <v>129</v>
      </c>
      <c r="I1407" t="s">
        <v>351</v>
      </c>
      <c r="J1407">
        <v>8</v>
      </c>
      <c r="K1407" s="16">
        <v>124000</v>
      </c>
      <c r="L1407" s="16">
        <v>97053.84</v>
      </c>
      <c r="M1407" s="16">
        <v>26946.16</v>
      </c>
      <c r="N1407" t="s">
        <v>141</v>
      </c>
      <c r="O1407" t="s">
        <v>113</v>
      </c>
      <c r="P1407" t="str">
        <f t="shared" si="21"/>
        <v>Mumbai|Printer Pro</v>
      </c>
    </row>
    <row r="1408" spans="1:16" x14ac:dyDescent="0.3">
      <c r="A1408" s="15">
        <v>46061</v>
      </c>
      <c r="B1408" t="s">
        <v>34</v>
      </c>
      <c r="C1408" t="s">
        <v>126</v>
      </c>
      <c r="D1408" t="s">
        <v>196</v>
      </c>
      <c r="E1408" t="s">
        <v>208</v>
      </c>
      <c r="F1408" t="s">
        <v>94</v>
      </c>
      <c r="G1408" t="s">
        <v>67</v>
      </c>
      <c r="H1408" t="s">
        <v>117</v>
      </c>
      <c r="I1408" t="s">
        <v>406</v>
      </c>
      <c r="J1408">
        <v>3</v>
      </c>
      <c r="K1408" s="16">
        <v>87120</v>
      </c>
      <c r="L1408" s="16">
        <v>57427.72</v>
      </c>
      <c r="M1408" s="16">
        <v>29692.28</v>
      </c>
      <c r="N1408" t="s">
        <v>125</v>
      </c>
      <c r="O1408" t="s">
        <v>113</v>
      </c>
      <c r="P1408" t="str">
        <f t="shared" si="21"/>
        <v>New Delhi|Tablet X</v>
      </c>
    </row>
    <row r="1409" spans="1:16" x14ac:dyDescent="0.3">
      <c r="A1409" s="15">
        <v>46085</v>
      </c>
      <c r="B1409" t="s">
        <v>34</v>
      </c>
      <c r="C1409" t="s">
        <v>152</v>
      </c>
      <c r="D1409" t="s">
        <v>153</v>
      </c>
      <c r="E1409" t="s">
        <v>169</v>
      </c>
      <c r="F1409" t="s">
        <v>96</v>
      </c>
      <c r="G1409" t="s">
        <v>84</v>
      </c>
      <c r="H1409" t="s">
        <v>117</v>
      </c>
      <c r="I1409" t="s">
        <v>352</v>
      </c>
      <c r="J1409">
        <v>5</v>
      </c>
      <c r="K1409" s="16">
        <v>63800</v>
      </c>
      <c r="L1409" s="16">
        <v>46125.81</v>
      </c>
      <c r="M1409" s="16">
        <v>17674.189999999999</v>
      </c>
      <c r="N1409" t="s">
        <v>112</v>
      </c>
      <c r="O1409" t="s">
        <v>113</v>
      </c>
      <c r="P1409" t="str">
        <f t="shared" si="21"/>
        <v>Chennai|Filing Cabinet</v>
      </c>
    </row>
    <row r="1410" spans="1:16" x14ac:dyDescent="0.3">
      <c r="A1410" s="15">
        <v>46183</v>
      </c>
      <c r="B1410" t="s">
        <v>34</v>
      </c>
      <c r="C1410" t="s">
        <v>126</v>
      </c>
      <c r="D1410" t="s">
        <v>162</v>
      </c>
      <c r="E1410" t="s">
        <v>163</v>
      </c>
      <c r="F1410" t="s">
        <v>95</v>
      </c>
      <c r="G1410" t="s">
        <v>74</v>
      </c>
      <c r="H1410" t="s">
        <v>117</v>
      </c>
      <c r="I1410" t="s">
        <v>313</v>
      </c>
      <c r="J1410">
        <v>3</v>
      </c>
      <c r="K1410" s="16">
        <v>13968</v>
      </c>
      <c r="L1410" s="16">
        <v>8820.9599999999991</v>
      </c>
      <c r="M1410" s="16">
        <v>5147.04</v>
      </c>
      <c r="N1410" t="s">
        <v>141</v>
      </c>
      <c r="O1410" t="s">
        <v>113</v>
      </c>
      <c r="P1410" t="str">
        <f t="shared" si="21"/>
        <v>Lucknow|Headset</v>
      </c>
    </row>
    <row r="1411" spans="1:16" x14ac:dyDescent="0.3">
      <c r="A1411" s="15">
        <v>46255</v>
      </c>
      <c r="B1411" t="s">
        <v>34</v>
      </c>
      <c r="C1411" t="s">
        <v>126</v>
      </c>
      <c r="D1411" t="s">
        <v>196</v>
      </c>
      <c r="E1411" t="s">
        <v>197</v>
      </c>
      <c r="F1411" t="s">
        <v>94</v>
      </c>
      <c r="G1411" t="s">
        <v>67</v>
      </c>
      <c r="H1411" t="s">
        <v>129</v>
      </c>
      <c r="I1411" t="s">
        <v>253</v>
      </c>
      <c r="J1411">
        <v>5</v>
      </c>
      <c r="K1411" s="16">
        <v>156750</v>
      </c>
      <c r="L1411" s="16">
        <v>105177.79</v>
      </c>
      <c r="M1411" s="16">
        <v>51572.21</v>
      </c>
      <c r="N1411" t="s">
        <v>141</v>
      </c>
      <c r="O1411" t="s">
        <v>119</v>
      </c>
      <c r="P1411" t="str">
        <f t="shared" si="21"/>
        <v>Dwarka|Tablet X</v>
      </c>
    </row>
    <row r="1412" spans="1:16" x14ac:dyDescent="0.3">
      <c r="A1412" s="15">
        <v>46194</v>
      </c>
      <c r="B1412" t="s">
        <v>34</v>
      </c>
      <c r="C1412" t="s">
        <v>126</v>
      </c>
      <c r="D1412" t="s">
        <v>162</v>
      </c>
      <c r="E1412" t="s">
        <v>163</v>
      </c>
      <c r="F1412" t="s">
        <v>97</v>
      </c>
      <c r="G1412" t="s">
        <v>87</v>
      </c>
      <c r="H1412" t="s">
        <v>129</v>
      </c>
      <c r="I1412" t="s">
        <v>277</v>
      </c>
      <c r="J1412">
        <v>20</v>
      </c>
      <c r="K1412" s="16">
        <v>220000</v>
      </c>
      <c r="L1412" s="16">
        <v>153812.98000000001</v>
      </c>
      <c r="M1412" s="16">
        <v>66187.02</v>
      </c>
      <c r="N1412" t="s">
        <v>141</v>
      </c>
      <c r="O1412" t="s">
        <v>113</v>
      </c>
      <c r="P1412" t="str">
        <f t="shared" si="21"/>
        <v>Lucknow|Microwave</v>
      </c>
    </row>
    <row r="1413" spans="1:16" x14ac:dyDescent="0.3">
      <c r="A1413" s="15">
        <v>46136</v>
      </c>
      <c r="B1413" t="s">
        <v>34</v>
      </c>
      <c r="C1413" t="s">
        <v>121</v>
      </c>
      <c r="D1413" t="s">
        <v>137</v>
      </c>
      <c r="E1413" t="s">
        <v>138</v>
      </c>
      <c r="F1413" t="s">
        <v>97</v>
      </c>
      <c r="G1413" t="s">
        <v>86</v>
      </c>
      <c r="H1413" t="s">
        <v>135</v>
      </c>
      <c r="I1413" t="s">
        <v>322</v>
      </c>
      <c r="J1413">
        <v>10</v>
      </c>
      <c r="K1413" s="16">
        <v>59800</v>
      </c>
      <c r="L1413" s="16">
        <v>41141.86</v>
      </c>
      <c r="M1413" s="16">
        <v>18658.14</v>
      </c>
      <c r="N1413" t="s">
        <v>125</v>
      </c>
      <c r="O1413" t="s">
        <v>113</v>
      </c>
      <c r="P1413" t="str">
        <f t="shared" ref="P1413:P1476" si="22">E1413&amp;"|"&amp;G1413</f>
        <v>Cuttack|Coffee Maker</v>
      </c>
    </row>
    <row r="1414" spans="1:16" x14ac:dyDescent="0.3">
      <c r="A1414" s="15">
        <v>46117</v>
      </c>
      <c r="B1414" t="s">
        <v>34</v>
      </c>
      <c r="C1414" t="s">
        <v>126</v>
      </c>
      <c r="D1414" t="s">
        <v>196</v>
      </c>
      <c r="E1414" t="s">
        <v>208</v>
      </c>
      <c r="F1414" t="s">
        <v>94</v>
      </c>
      <c r="G1414" t="s">
        <v>67</v>
      </c>
      <c r="H1414" t="s">
        <v>173</v>
      </c>
      <c r="I1414" t="s">
        <v>345</v>
      </c>
      <c r="J1414">
        <v>16</v>
      </c>
      <c r="K1414" s="16">
        <v>485760</v>
      </c>
      <c r="L1414" s="16">
        <v>309916.09000000003</v>
      </c>
      <c r="M1414" s="16">
        <v>175843.91</v>
      </c>
      <c r="N1414" t="s">
        <v>141</v>
      </c>
      <c r="O1414" t="s">
        <v>113</v>
      </c>
      <c r="P1414" t="str">
        <f t="shared" si="22"/>
        <v>New Delhi|Tablet X</v>
      </c>
    </row>
    <row r="1415" spans="1:16" x14ac:dyDescent="0.3">
      <c r="A1415" s="15">
        <v>46174</v>
      </c>
      <c r="B1415" t="s">
        <v>34</v>
      </c>
      <c r="C1415" t="s">
        <v>152</v>
      </c>
      <c r="D1415" t="s">
        <v>153</v>
      </c>
      <c r="E1415" t="s">
        <v>154</v>
      </c>
      <c r="F1415" t="s">
        <v>97</v>
      </c>
      <c r="G1415" t="s">
        <v>88</v>
      </c>
      <c r="H1415" t="s">
        <v>135</v>
      </c>
      <c r="I1415" t="s">
        <v>277</v>
      </c>
      <c r="J1415">
        <v>11</v>
      </c>
      <c r="K1415" s="16">
        <v>159500</v>
      </c>
      <c r="L1415" s="16">
        <v>124874.33</v>
      </c>
      <c r="M1415" s="16">
        <v>34625.67</v>
      </c>
      <c r="N1415" t="s">
        <v>131</v>
      </c>
      <c r="O1415" t="s">
        <v>113</v>
      </c>
      <c r="P1415" t="str">
        <f t="shared" si="22"/>
        <v>Coimbatore|Vacuum Cleaner</v>
      </c>
    </row>
    <row r="1416" spans="1:16" x14ac:dyDescent="0.3">
      <c r="A1416" s="15">
        <v>46070</v>
      </c>
      <c r="B1416" t="s">
        <v>34</v>
      </c>
      <c r="C1416" t="s">
        <v>121</v>
      </c>
      <c r="D1416" t="s">
        <v>146</v>
      </c>
      <c r="E1416" t="s">
        <v>175</v>
      </c>
      <c r="F1416" t="s">
        <v>95</v>
      </c>
      <c r="G1416" t="s">
        <v>74</v>
      </c>
      <c r="H1416" t="s">
        <v>133</v>
      </c>
      <c r="I1416" t="s">
        <v>209</v>
      </c>
      <c r="J1416">
        <v>7</v>
      </c>
      <c r="K1416" s="16">
        <v>33600</v>
      </c>
      <c r="L1416" s="16">
        <v>23897.66</v>
      </c>
      <c r="M1416" s="16">
        <v>9702.34</v>
      </c>
      <c r="N1416" t="s">
        <v>131</v>
      </c>
      <c r="O1416" t="s">
        <v>119</v>
      </c>
      <c r="P1416" t="str">
        <f t="shared" si="22"/>
        <v>Dibrugarh|Headset</v>
      </c>
    </row>
    <row r="1417" spans="1:16" x14ac:dyDescent="0.3">
      <c r="A1417" s="15">
        <v>46038</v>
      </c>
      <c r="B1417" t="s">
        <v>114</v>
      </c>
      <c r="C1417" t="s">
        <v>107</v>
      </c>
      <c r="D1417" t="s">
        <v>149</v>
      </c>
      <c r="E1417" t="s">
        <v>159</v>
      </c>
      <c r="F1417" t="s">
        <v>95</v>
      </c>
      <c r="G1417" t="s">
        <v>72</v>
      </c>
      <c r="H1417" t="s">
        <v>173</v>
      </c>
      <c r="I1417" t="s">
        <v>398</v>
      </c>
      <c r="J1417">
        <v>5</v>
      </c>
      <c r="K1417" s="16">
        <v>15200</v>
      </c>
      <c r="L1417" s="16">
        <v>11906.9</v>
      </c>
      <c r="M1417" s="16">
        <v>3293.1</v>
      </c>
      <c r="N1417" t="s">
        <v>125</v>
      </c>
      <c r="O1417" t="s">
        <v>113</v>
      </c>
      <c r="P1417" t="str">
        <f t="shared" si="22"/>
        <v>Pune|Keyboard</v>
      </c>
    </row>
    <row r="1418" spans="1:16" x14ac:dyDescent="0.3">
      <c r="A1418" s="15">
        <v>46055</v>
      </c>
      <c r="B1418" t="s">
        <v>114</v>
      </c>
      <c r="C1418" t="s">
        <v>126</v>
      </c>
      <c r="D1418" t="s">
        <v>196</v>
      </c>
      <c r="E1418" t="s">
        <v>208</v>
      </c>
      <c r="F1418" t="s">
        <v>95</v>
      </c>
      <c r="G1418" t="s">
        <v>74</v>
      </c>
      <c r="H1418" t="s">
        <v>129</v>
      </c>
      <c r="I1418" t="s">
        <v>278</v>
      </c>
      <c r="J1418">
        <v>7</v>
      </c>
      <c r="K1418" s="16">
        <v>30912</v>
      </c>
      <c r="L1418" s="16">
        <v>19467.88</v>
      </c>
      <c r="M1418" s="16">
        <v>11444.12</v>
      </c>
      <c r="N1418" t="s">
        <v>112</v>
      </c>
      <c r="O1418" t="s">
        <v>119</v>
      </c>
      <c r="P1418" t="str">
        <f t="shared" si="22"/>
        <v>New Delhi|Headset</v>
      </c>
    </row>
    <row r="1419" spans="1:16" x14ac:dyDescent="0.3">
      <c r="A1419" s="15">
        <v>46063</v>
      </c>
      <c r="B1419" t="s">
        <v>34</v>
      </c>
      <c r="C1419" t="s">
        <v>107</v>
      </c>
      <c r="D1419" t="s">
        <v>149</v>
      </c>
      <c r="E1419" t="s">
        <v>150</v>
      </c>
      <c r="F1419" t="s">
        <v>96</v>
      </c>
      <c r="G1419" t="s">
        <v>80</v>
      </c>
      <c r="H1419" t="s">
        <v>133</v>
      </c>
      <c r="I1419" t="s">
        <v>300</v>
      </c>
      <c r="J1419">
        <v>12</v>
      </c>
      <c r="K1419" s="16">
        <v>132000</v>
      </c>
      <c r="L1419" s="16">
        <v>97101.64</v>
      </c>
      <c r="M1419" s="16">
        <v>34898.36</v>
      </c>
      <c r="N1419" t="s">
        <v>131</v>
      </c>
      <c r="O1419" t="s">
        <v>142</v>
      </c>
      <c r="P1419" t="str">
        <f t="shared" si="22"/>
        <v>Mumbai|Office Chair</v>
      </c>
    </row>
    <row r="1420" spans="1:16" x14ac:dyDescent="0.3">
      <c r="A1420" s="15">
        <v>46260</v>
      </c>
      <c r="B1420" t="s">
        <v>34</v>
      </c>
      <c r="C1420" t="s">
        <v>126</v>
      </c>
      <c r="D1420" t="s">
        <v>127</v>
      </c>
      <c r="E1420" t="s">
        <v>128</v>
      </c>
      <c r="F1420" t="s">
        <v>97</v>
      </c>
      <c r="G1420" t="s">
        <v>86</v>
      </c>
      <c r="H1420" t="s">
        <v>173</v>
      </c>
      <c r="I1420" t="s">
        <v>365</v>
      </c>
      <c r="J1420">
        <v>8</v>
      </c>
      <c r="K1420" s="16">
        <v>49400</v>
      </c>
      <c r="L1420" s="16">
        <v>32036.02</v>
      </c>
      <c r="M1420" s="16">
        <v>17363.98</v>
      </c>
      <c r="N1420" t="s">
        <v>125</v>
      </c>
      <c r="O1420" t="s">
        <v>119</v>
      </c>
      <c r="P1420" t="str">
        <f t="shared" si="22"/>
        <v>Gurugram|Coffee Maker</v>
      </c>
    </row>
    <row r="1421" spans="1:16" x14ac:dyDescent="0.3">
      <c r="A1421" s="15">
        <v>46119</v>
      </c>
      <c r="B1421" t="s">
        <v>34</v>
      </c>
      <c r="C1421" t="s">
        <v>126</v>
      </c>
      <c r="D1421" t="s">
        <v>127</v>
      </c>
      <c r="E1421" t="s">
        <v>143</v>
      </c>
      <c r="F1421" t="s">
        <v>95</v>
      </c>
      <c r="G1421" t="s">
        <v>76</v>
      </c>
      <c r="H1421" t="s">
        <v>139</v>
      </c>
      <c r="I1421" t="s">
        <v>334</v>
      </c>
      <c r="J1421">
        <v>8</v>
      </c>
      <c r="K1421" s="16">
        <v>12672</v>
      </c>
      <c r="L1421" s="16">
        <v>8970.59</v>
      </c>
      <c r="M1421" s="16">
        <v>3701.41</v>
      </c>
      <c r="N1421" t="s">
        <v>141</v>
      </c>
      <c r="O1421" t="s">
        <v>113</v>
      </c>
      <c r="P1421" t="str">
        <f t="shared" si="22"/>
        <v>Faridabad|Mouse</v>
      </c>
    </row>
    <row r="1422" spans="1:16" x14ac:dyDescent="0.3">
      <c r="A1422" s="15">
        <v>46092</v>
      </c>
      <c r="B1422" t="s">
        <v>120</v>
      </c>
      <c r="C1422" t="s">
        <v>126</v>
      </c>
      <c r="D1422" t="s">
        <v>127</v>
      </c>
      <c r="E1422" t="s">
        <v>128</v>
      </c>
      <c r="F1422" t="s">
        <v>96</v>
      </c>
      <c r="G1422" t="s">
        <v>84</v>
      </c>
      <c r="H1422" t="s">
        <v>173</v>
      </c>
      <c r="I1422" t="s">
        <v>390</v>
      </c>
      <c r="J1422">
        <v>19</v>
      </c>
      <c r="K1422" s="16">
        <v>267235</v>
      </c>
      <c r="L1422" s="16">
        <v>186904.13</v>
      </c>
      <c r="M1422" s="16">
        <v>80330.87</v>
      </c>
      <c r="N1422" t="s">
        <v>131</v>
      </c>
      <c r="O1422" t="s">
        <v>113</v>
      </c>
      <c r="P1422" t="str">
        <f t="shared" si="22"/>
        <v>Gurugram|Filing Cabinet</v>
      </c>
    </row>
    <row r="1423" spans="1:16" x14ac:dyDescent="0.3">
      <c r="A1423" s="15">
        <v>46087</v>
      </c>
      <c r="B1423" t="s">
        <v>34</v>
      </c>
      <c r="C1423" t="s">
        <v>126</v>
      </c>
      <c r="D1423" t="s">
        <v>162</v>
      </c>
      <c r="E1423" t="s">
        <v>204</v>
      </c>
      <c r="F1423" t="s">
        <v>96</v>
      </c>
      <c r="G1423" t="s">
        <v>82</v>
      </c>
      <c r="H1423" t="s">
        <v>173</v>
      </c>
      <c r="I1423" t="s">
        <v>293</v>
      </c>
      <c r="J1423">
        <v>15</v>
      </c>
      <c r="K1423" s="16">
        <v>376200</v>
      </c>
      <c r="L1423" s="16">
        <v>296751.34000000003</v>
      </c>
      <c r="M1423" s="16">
        <v>79448.66</v>
      </c>
      <c r="N1423" t="s">
        <v>112</v>
      </c>
      <c r="O1423" t="s">
        <v>119</v>
      </c>
      <c r="P1423" t="str">
        <f t="shared" si="22"/>
        <v>Noida|Standing Desk</v>
      </c>
    </row>
    <row r="1424" spans="1:16" x14ac:dyDescent="0.3">
      <c r="A1424" s="15">
        <v>46156</v>
      </c>
      <c r="B1424" t="s">
        <v>34</v>
      </c>
      <c r="C1424" t="s">
        <v>107</v>
      </c>
      <c r="D1424" t="s">
        <v>115</v>
      </c>
      <c r="E1424" t="s">
        <v>116</v>
      </c>
      <c r="F1424" t="s">
        <v>95</v>
      </c>
      <c r="G1424" t="s">
        <v>78</v>
      </c>
      <c r="H1424" t="s">
        <v>139</v>
      </c>
      <c r="I1424" t="s">
        <v>203</v>
      </c>
      <c r="J1424">
        <v>2</v>
      </c>
      <c r="K1424" s="16">
        <v>8400</v>
      </c>
      <c r="L1424" s="16">
        <v>6602.81</v>
      </c>
      <c r="M1424" s="16">
        <v>1797.19</v>
      </c>
      <c r="N1424" t="s">
        <v>131</v>
      </c>
      <c r="O1424" t="s">
        <v>113</v>
      </c>
      <c r="P1424" t="str">
        <f t="shared" si="22"/>
        <v>Ahmedabad|Webcam</v>
      </c>
    </row>
    <row r="1425" spans="1:16" x14ac:dyDescent="0.3">
      <c r="A1425" s="15">
        <v>46103</v>
      </c>
      <c r="B1425" t="s">
        <v>34</v>
      </c>
      <c r="C1425" t="s">
        <v>152</v>
      </c>
      <c r="D1425" t="s">
        <v>153</v>
      </c>
      <c r="E1425" t="s">
        <v>154</v>
      </c>
      <c r="F1425" t="s">
        <v>94</v>
      </c>
      <c r="G1425" t="s">
        <v>61</v>
      </c>
      <c r="H1425" t="s">
        <v>173</v>
      </c>
      <c r="I1425" t="s">
        <v>291</v>
      </c>
      <c r="J1425">
        <v>16</v>
      </c>
      <c r="K1425" s="16">
        <v>1185600</v>
      </c>
      <c r="L1425" s="16">
        <v>737146.51</v>
      </c>
      <c r="M1425" s="16">
        <v>448453.49</v>
      </c>
      <c r="N1425" t="s">
        <v>125</v>
      </c>
      <c r="O1425" t="s">
        <v>113</v>
      </c>
      <c r="P1425" t="str">
        <f t="shared" si="22"/>
        <v>Coimbatore|Laptop Pro</v>
      </c>
    </row>
    <row r="1426" spans="1:16" x14ac:dyDescent="0.3">
      <c r="A1426" s="15">
        <v>46246</v>
      </c>
      <c r="B1426" t="s">
        <v>34</v>
      </c>
      <c r="C1426" t="s">
        <v>121</v>
      </c>
      <c r="D1426" t="s">
        <v>137</v>
      </c>
      <c r="E1426" t="s">
        <v>171</v>
      </c>
      <c r="F1426" t="s">
        <v>94</v>
      </c>
      <c r="G1426" t="s">
        <v>67</v>
      </c>
      <c r="H1426" t="s">
        <v>173</v>
      </c>
      <c r="I1426" t="s">
        <v>301</v>
      </c>
      <c r="J1426">
        <v>10</v>
      </c>
      <c r="K1426" s="16">
        <v>330000</v>
      </c>
      <c r="L1426" s="16">
        <v>263315.76</v>
      </c>
      <c r="M1426" s="16">
        <v>66684.240000000005</v>
      </c>
      <c r="N1426" t="s">
        <v>141</v>
      </c>
      <c r="O1426" t="s">
        <v>142</v>
      </c>
      <c r="P1426" t="str">
        <f t="shared" si="22"/>
        <v>Bhubaneswar|Tablet X</v>
      </c>
    </row>
    <row r="1427" spans="1:16" x14ac:dyDescent="0.3">
      <c r="A1427" s="15">
        <v>46189</v>
      </c>
      <c r="B1427" t="s">
        <v>34</v>
      </c>
      <c r="C1427" t="s">
        <v>107</v>
      </c>
      <c r="D1427" t="s">
        <v>149</v>
      </c>
      <c r="E1427" t="s">
        <v>150</v>
      </c>
      <c r="F1427" t="s">
        <v>94</v>
      </c>
      <c r="G1427" t="s">
        <v>70</v>
      </c>
      <c r="H1427" t="s">
        <v>139</v>
      </c>
      <c r="I1427" t="s">
        <v>207</v>
      </c>
      <c r="J1427">
        <v>13</v>
      </c>
      <c r="K1427" s="16">
        <v>177320</v>
      </c>
      <c r="L1427" s="16">
        <v>131205.42000000001</v>
      </c>
      <c r="M1427" s="16">
        <v>46114.58</v>
      </c>
      <c r="N1427" t="s">
        <v>125</v>
      </c>
      <c r="O1427" t="s">
        <v>113</v>
      </c>
      <c r="P1427" t="str">
        <f t="shared" si="22"/>
        <v>Mumbai|Printer Pro</v>
      </c>
    </row>
    <row r="1428" spans="1:16" x14ac:dyDescent="0.3">
      <c r="A1428" s="15">
        <v>46111</v>
      </c>
      <c r="B1428" t="s">
        <v>34</v>
      </c>
      <c r="C1428" t="s">
        <v>126</v>
      </c>
      <c r="D1428" t="s">
        <v>196</v>
      </c>
      <c r="E1428" t="s">
        <v>208</v>
      </c>
      <c r="F1428" t="s">
        <v>97</v>
      </c>
      <c r="G1428" t="s">
        <v>88</v>
      </c>
      <c r="H1428" t="s">
        <v>117</v>
      </c>
      <c r="I1428" t="s">
        <v>310</v>
      </c>
      <c r="J1428">
        <v>16</v>
      </c>
      <c r="K1428" s="16">
        <v>204160</v>
      </c>
      <c r="L1428" s="16">
        <v>157330.75</v>
      </c>
      <c r="M1428" s="16">
        <v>46829.25</v>
      </c>
      <c r="N1428" t="s">
        <v>131</v>
      </c>
      <c r="O1428" t="s">
        <v>113</v>
      </c>
      <c r="P1428" t="str">
        <f t="shared" si="22"/>
        <v>New Delhi|Vacuum Cleaner</v>
      </c>
    </row>
    <row r="1429" spans="1:16" x14ac:dyDescent="0.3">
      <c r="A1429" s="15">
        <v>46257</v>
      </c>
      <c r="B1429" t="s">
        <v>34</v>
      </c>
      <c r="C1429" t="s">
        <v>126</v>
      </c>
      <c r="D1429" t="s">
        <v>162</v>
      </c>
      <c r="E1429" t="s">
        <v>204</v>
      </c>
      <c r="F1429" t="s">
        <v>95</v>
      </c>
      <c r="G1429" t="s">
        <v>78</v>
      </c>
      <c r="H1429" t="s">
        <v>173</v>
      </c>
      <c r="I1429" t="s">
        <v>330</v>
      </c>
      <c r="J1429">
        <v>7</v>
      </c>
      <c r="K1429" s="16">
        <v>25872</v>
      </c>
      <c r="L1429" s="16">
        <v>19506.419999999998</v>
      </c>
      <c r="M1429" s="16">
        <v>6365.58</v>
      </c>
      <c r="N1429" t="s">
        <v>112</v>
      </c>
      <c r="O1429" t="s">
        <v>113</v>
      </c>
      <c r="P1429" t="str">
        <f t="shared" si="22"/>
        <v>Noida|Webcam</v>
      </c>
    </row>
    <row r="1430" spans="1:16" x14ac:dyDescent="0.3">
      <c r="A1430" s="15">
        <v>46100</v>
      </c>
      <c r="B1430" t="s">
        <v>34</v>
      </c>
      <c r="C1430" t="s">
        <v>152</v>
      </c>
      <c r="D1430" t="s">
        <v>156</v>
      </c>
      <c r="E1430" t="s">
        <v>157</v>
      </c>
      <c r="F1430" t="s">
        <v>96</v>
      </c>
      <c r="G1430" t="s">
        <v>84</v>
      </c>
      <c r="H1430" t="s">
        <v>173</v>
      </c>
      <c r="I1430" t="s">
        <v>360</v>
      </c>
      <c r="J1430">
        <v>10</v>
      </c>
      <c r="K1430" s="16">
        <v>133400</v>
      </c>
      <c r="L1430" s="16">
        <v>84506.66</v>
      </c>
      <c r="M1430" s="16">
        <v>48893.34</v>
      </c>
      <c r="N1430" t="s">
        <v>141</v>
      </c>
      <c r="O1430" t="s">
        <v>113</v>
      </c>
      <c r="P1430" t="str">
        <f t="shared" si="22"/>
        <v>Mysuru|Filing Cabinet</v>
      </c>
    </row>
    <row r="1431" spans="1:16" x14ac:dyDescent="0.3">
      <c r="A1431" s="15">
        <v>46254</v>
      </c>
      <c r="B1431" t="s">
        <v>34</v>
      </c>
      <c r="C1431" t="s">
        <v>126</v>
      </c>
      <c r="D1431" t="s">
        <v>162</v>
      </c>
      <c r="E1431" t="s">
        <v>163</v>
      </c>
      <c r="F1431" t="s">
        <v>95</v>
      </c>
      <c r="G1431" t="s">
        <v>72</v>
      </c>
      <c r="H1431" t="s">
        <v>129</v>
      </c>
      <c r="I1431" t="s">
        <v>218</v>
      </c>
      <c r="J1431">
        <v>14</v>
      </c>
      <c r="K1431" s="16">
        <v>42560</v>
      </c>
      <c r="L1431" s="16">
        <v>29491.82</v>
      </c>
      <c r="M1431" s="16">
        <v>13068.18</v>
      </c>
      <c r="N1431" t="s">
        <v>141</v>
      </c>
      <c r="O1431" t="s">
        <v>142</v>
      </c>
      <c r="P1431" t="str">
        <f t="shared" si="22"/>
        <v>Lucknow|Keyboard</v>
      </c>
    </row>
    <row r="1432" spans="1:16" x14ac:dyDescent="0.3">
      <c r="A1432" s="15">
        <v>46143</v>
      </c>
      <c r="B1432" t="s">
        <v>34</v>
      </c>
      <c r="C1432" t="s">
        <v>121</v>
      </c>
      <c r="D1432" t="s">
        <v>137</v>
      </c>
      <c r="E1432" t="s">
        <v>138</v>
      </c>
      <c r="F1432" t="s">
        <v>96</v>
      </c>
      <c r="G1432" t="s">
        <v>83</v>
      </c>
      <c r="H1432" t="s">
        <v>117</v>
      </c>
      <c r="I1432" t="s">
        <v>342</v>
      </c>
      <c r="J1432">
        <v>8</v>
      </c>
      <c r="K1432" s="16">
        <v>288000</v>
      </c>
      <c r="L1432" s="16">
        <v>188884.18</v>
      </c>
      <c r="M1432" s="16">
        <v>99115.82</v>
      </c>
      <c r="N1432" t="s">
        <v>141</v>
      </c>
      <c r="O1432" t="s">
        <v>119</v>
      </c>
      <c r="P1432" t="str">
        <f t="shared" si="22"/>
        <v>Cuttack|Meeting Table</v>
      </c>
    </row>
    <row r="1433" spans="1:16" x14ac:dyDescent="0.3">
      <c r="A1433" s="15">
        <v>46209</v>
      </c>
      <c r="B1433" t="s">
        <v>34</v>
      </c>
      <c r="C1433" t="s">
        <v>152</v>
      </c>
      <c r="D1433" t="s">
        <v>187</v>
      </c>
      <c r="E1433" t="s">
        <v>188</v>
      </c>
      <c r="F1433" t="s">
        <v>96</v>
      </c>
      <c r="G1433" t="s">
        <v>83</v>
      </c>
      <c r="H1433" t="s">
        <v>139</v>
      </c>
      <c r="I1433" t="s">
        <v>375</v>
      </c>
      <c r="J1433">
        <v>17</v>
      </c>
      <c r="K1433" s="16">
        <v>563040</v>
      </c>
      <c r="L1433" s="16">
        <v>416476.56</v>
      </c>
      <c r="M1433" s="16">
        <v>146563.44</v>
      </c>
      <c r="N1433" t="s">
        <v>112</v>
      </c>
      <c r="O1433" t="s">
        <v>113</v>
      </c>
      <c r="P1433" t="str">
        <f t="shared" si="22"/>
        <v>Warangal|Meeting Table</v>
      </c>
    </row>
    <row r="1434" spans="1:16" x14ac:dyDescent="0.3">
      <c r="A1434" s="15">
        <v>46029</v>
      </c>
      <c r="B1434" t="s">
        <v>34</v>
      </c>
      <c r="C1434" t="s">
        <v>152</v>
      </c>
      <c r="D1434" t="s">
        <v>187</v>
      </c>
      <c r="E1434" t="s">
        <v>199</v>
      </c>
      <c r="F1434" t="s">
        <v>94</v>
      </c>
      <c r="G1434" t="s">
        <v>67</v>
      </c>
      <c r="H1434" t="s">
        <v>184</v>
      </c>
      <c r="I1434" t="s">
        <v>181</v>
      </c>
      <c r="J1434">
        <v>7</v>
      </c>
      <c r="K1434" s="16">
        <v>224070</v>
      </c>
      <c r="L1434" s="16">
        <v>149768.82999999999</v>
      </c>
      <c r="M1434" s="16">
        <v>74301.17</v>
      </c>
      <c r="N1434" t="s">
        <v>125</v>
      </c>
      <c r="O1434" t="s">
        <v>113</v>
      </c>
      <c r="P1434" t="str">
        <f t="shared" si="22"/>
        <v>Hyderabad|Tablet X</v>
      </c>
    </row>
    <row r="1435" spans="1:16" x14ac:dyDescent="0.3">
      <c r="A1435" s="15">
        <v>46262</v>
      </c>
      <c r="B1435" t="s">
        <v>114</v>
      </c>
      <c r="C1435" t="s">
        <v>152</v>
      </c>
      <c r="D1435" t="s">
        <v>187</v>
      </c>
      <c r="E1435" t="s">
        <v>188</v>
      </c>
      <c r="F1435" t="s">
        <v>95</v>
      </c>
      <c r="G1435" t="s">
        <v>72</v>
      </c>
      <c r="H1435" t="s">
        <v>173</v>
      </c>
      <c r="I1435" t="s">
        <v>331</v>
      </c>
      <c r="J1435">
        <v>2</v>
      </c>
      <c r="K1435" s="16">
        <v>6080</v>
      </c>
      <c r="L1435" s="16">
        <v>4142.75</v>
      </c>
      <c r="M1435" s="16">
        <v>1937.25</v>
      </c>
      <c r="N1435" t="s">
        <v>112</v>
      </c>
      <c r="O1435" t="s">
        <v>119</v>
      </c>
      <c r="P1435" t="str">
        <f t="shared" si="22"/>
        <v>Warangal|Keyboard</v>
      </c>
    </row>
    <row r="1436" spans="1:16" x14ac:dyDescent="0.3">
      <c r="A1436" s="15">
        <v>46186</v>
      </c>
      <c r="B1436" t="s">
        <v>34</v>
      </c>
      <c r="C1436" t="s">
        <v>126</v>
      </c>
      <c r="D1436" t="s">
        <v>127</v>
      </c>
      <c r="E1436" t="s">
        <v>143</v>
      </c>
      <c r="F1436" t="s">
        <v>97</v>
      </c>
      <c r="G1436" t="s">
        <v>85</v>
      </c>
      <c r="H1436" t="s">
        <v>129</v>
      </c>
      <c r="I1436" t="s">
        <v>252</v>
      </c>
      <c r="J1436">
        <v>10</v>
      </c>
      <c r="K1436" s="16">
        <v>165600</v>
      </c>
      <c r="L1436" s="16">
        <v>126298.02</v>
      </c>
      <c r="M1436" s="16">
        <v>39301.980000000003</v>
      </c>
      <c r="N1436" t="s">
        <v>112</v>
      </c>
      <c r="O1436" t="s">
        <v>142</v>
      </c>
      <c r="P1436" t="str">
        <f t="shared" si="22"/>
        <v>Faridabad|Air Purifier</v>
      </c>
    </row>
    <row r="1437" spans="1:16" x14ac:dyDescent="0.3">
      <c r="A1437" s="15">
        <v>46265</v>
      </c>
      <c r="B1437" t="s">
        <v>34</v>
      </c>
      <c r="C1437" t="s">
        <v>152</v>
      </c>
      <c r="D1437" t="s">
        <v>153</v>
      </c>
      <c r="E1437" t="s">
        <v>154</v>
      </c>
      <c r="F1437" t="s">
        <v>96</v>
      </c>
      <c r="G1437" t="s">
        <v>80</v>
      </c>
      <c r="H1437" t="s">
        <v>139</v>
      </c>
      <c r="I1437" t="s">
        <v>378</v>
      </c>
      <c r="J1437">
        <v>17</v>
      </c>
      <c r="K1437" s="16">
        <v>187000</v>
      </c>
      <c r="L1437" s="16">
        <v>128468.09</v>
      </c>
      <c r="M1437" s="16">
        <v>58531.91</v>
      </c>
      <c r="N1437" t="s">
        <v>131</v>
      </c>
      <c r="O1437" t="s">
        <v>113</v>
      </c>
      <c r="P1437" t="str">
        <f t="shared" si="22"/>
        <v>Coimbatore|Office Chair</v>
      </c>
    </row>
    <row r="1438" spans="1:16" x14ac:dyDescent="0.3">
      <c r="A1438" s="15">
        <v>46034</v>
      </c>
      <c r="B1438" t="s">
        <v>34</v>
      </c>
      <c r="C1438" t="s">
        <v>107</v>
      </c>
      <c r="D1438" t="s">
        <v>108</v>
      </c>
      <c r="E1438" t="s">
        <v>132</v>
      </c>
      <c r="F1438" t="s">
        <v>97</v>
      </c>
      <c r="G1438" t="s">
        <v>86</v>
      </c>
      <c r="H1438" t="s">
        <v>139</v>
      </c>
      <c r="I1438" t="s">
        <v>251</v>
      </c>
      <c r="J1438">
        <v>19</v>
      </c>
      <c r="K1438" s="16">
        <v>123500</v>
      </c>
      <c r="L1438" s="16">
        <v>77076.73</v>
      </c>
      <c r="M1438" s="16">
        <v>46423.27</v>
      </c>
      <c r="N1438" t="s">
        <v>125</v>
      </c>
      <c r="O1438" t="s">
        <v>113</v>
      </c>
      <c r="P1438" t="str">
        <f t="shared" si="22"/>
        <v>Jaipur|Coffee Maker</v>
      </c>
    </row>
    <row r="1439" spans="1:16" x14ac:dyDescent="0.3">
      <c r="A1439" s="15">
        <v>46050</v>
      </c>
      <c r="B1439" t="s">
        <v>114</v>
      </c>
      <c r="C1439" t="s">
        <v>152</v>
      </c>
      <c r="D1439" t="s">
        <v>153</v>
      </c>
      <c r="E1439" t="s">
        <v>154</v>
      </c>
      <c r="F1439" t="s">
        <v>96</v>
      </c>
      <c r="G1439" t="s">
        <v>80</v>
      </c>
      <c r="H1439" t="s">
        <v>110</v>
      </c>
      <c r="I1439" t="s">
        <v>292</v>
      </c>
      <c r="J1439">
        <v>8</v>
      </c>
      <c r="K1439" s="16">
        <v>100000</v>
      </c>
      <c r="L1439" s="16">
        <v>80002.02</v>
      </c>
      <c r="M1439" s="16">
        <v>19997.98</v>
      </c>
      <c r="N1439" t="s">
        <v>131</v>
      </c>
      <c r="O1439" t="s">
        <v>142</v>
      </c>
      <c r="P1439" t="str">
        <f t="shared" si="22"/>
        <v>Coimbatore|Office Chair</v>
      </c>
    </row>
    <row r="1440" spans="1:16" x14ac:dyDescent="0.3">
      <c r="A1440" s="15">
        <v>46170</v>
      </c>
      <c r="B1440" t="s">
        <v>34</v>
      </c>
      <c r="C1440" t="s">
        <v>121</v>
      </c>
      <c r="D1440" t="s">
        <v>146</v>
      </c>
      <c r="E1440" t="s">
        <v>147</v>
      </c>
      <c r="F1440" t="s">
        <v>97</v>
      </c>
      <c r="G1440" t="s">
        <v>85</v>
      </c>
      <c r="H1440" t="s">
        <v>135</v>
      </c>
      <c r="I1440" t="s">
        <v>268</v>
      </c>
      <c r="J1440">
        <v>8</v>
      </c>
      <c r="K1440" s="16">
        <v>144000</v>
      </c>
      <c r="L1440" s="16">
        <v>103723.73</v>
      </c>
      <c r="M1440" s="16">
        <v>40276.269999999997</v>
      </c>
      <c r="N1440" t="s">
        <v>112</v>
      </c>
      <c r="O1440" t="s">
        <v>142</v>
      </c>
      <c r="P1440" t="str">
        <f t="shared" si="22"/>
        <v>Guwahati|Air Purifier</v>
      </c>
    </row>
    <row r="1441" spans="1:16" x14ac:dyDescent="0.3">
      <c r="A1441" s="15">
        <v>46097</v>
      </c>
      <c r="B1441" t="s">
        <v>34</v>
      </c>
      <c r="C1441" t="s">
        <v>107</v>
      </c>
      <c r="D1441" t="s">
        <v>108</v>
      </c>
      <c r="E1441" t="s">
        <v>132</v>
      </c>
      <c r="F1441" t="s">
        <v>96</v>
      </c>
      <c r="G1441" t="s">
        <v>82</v>
      </c>
      <c r="H1441" t="s">
        <v>110</v>
      </c>
      <c r="I1441" t="s">
        <v>366</v>
      </c>
      <c r="J1441">
        <v>19</v>
      </c>
      <c r="K1441" s="16">
        <v>541500</v>
      </c>
      <c r="L1441" s="16">
        <v>377815.09</v>
      </c>
      <c r="M1441" s="16">
        <v>163684.91</v>
      </c>
      <c r="N1441" t="s">
        <v>141</v>
      </c>
      <c r="O1441" t="s">
        <v>113</v>
      </c>
      <c r="P1441" t="str">
        <f t="shared" si="22"/>
        <v>Jaipur|Standing Desk</v>
      </c>
    </row>
    <row r="1442" spans="1:16" x14ac:dyDescent="0.3">
      <c r="A1442" s="15">
        <v>46084</v>
      </c>
      <c r="B1442" t="s">
        <v>114</v>
      </c>
      <c r="C1442" t="s">
        <v>126</v>
      </c>
      <c r="D1442" t="s">
        <v>162</v>
      </c>
      <c r="E1442" t="s">
        <v>163</v>
      </c>
      <c r="F1442" t="s">
        <v>94</v>
      </c>
      <c r="G1442" t="s">
        <v>67</v>
      </c>
      <c r="H1442" t="s">
        <v>117</v>
      </c>
      <c r="I1442" t="s">
        <v>366</v>
      </c>
      <c r="J1442">
        <v>11</v>
      </c>
      <c r="K1442" s="16">
        <v>319440</v>
      </c>
      <c r="L1442" s="16">
        <v>211243.97</v>
      </c>
      <c r="M1442" s="16">
        <v>108196.03</v>
      </c>
      <c r="N1442" t="s">
        <v>112</v>
      </c>
      <c r="O1442" t="s">
        <v>113</v>
      </c>
      <c r="P1442" t="str">
        <f t="shared" si="22"/>
        <v>Lucknow|Tablet X</v>
      </c>
    </row>
    <row r="1443" spans="1:16" x14ac:dyDescent="0.3">
      <c r="A1443" s="15">
        <v>46105</v>
      </c>
      <c r="B1443" t="s">
        <v>34</v>
      </c>
      <c r="C1443" t="s">
        <v>121</v>
      </c>
      <c r="D1443" t="s">
        <v>137</v>
      </c>
      <c r="E1443" t="s">
        <v>171</v>
      </c>
      <c r="F1443" t="s">
        <v>97</v>
      </c>
      <c r="G1443" t="s">
        <v>86</v>
      </c>
      <c r="H1443" t="s">
        <v>139</v>
      </c>
      <c r="I1443" t="s">
        <v>366</v>
      </c>
      <c r="J1443">
        <v>10</v>
      </c>
      <c r="K1443" s="16">
        <v>57200</v>
      </c>
      <c r="L1443" s="16">
        <v>44049.1</v>
      </c>
      <c r="M1443" s="16">
        <v>13150.9</v>
      </c>
      <c r="N1443" t="s">
        <v>112</v>
      </c>
      <c r="O1443" t="s">
        <v>119</v>
      </c>
      <c r="P1443" t="str">
        <f t="shared" si="22"/>
        <v>Bhubaneswar|Coffee Maker</v>
      </c>
    </row>
    <row r="1444" spans="1:16" x14ac:dyDescent="0.3">
      <c r="A1444" s="15">
        <v>46240</v>
      </c>
      <c r="B1444" t="s">
        <v>114</v>
      </c>
      <c r="C1444" t="s">
        <v>107</v>
      </c>
      <c r="D1444" t="s">
        <v>108</v>
      </c>
      <c r="E1444" t="s">
        <v>132</v>
      </c>
      <c r="F1444" t="s">
        <v>97</v>
      </c>
      <c r="G1444" t="s">
        <v>85</v>
      </c>
      <c r="H1444" t="s">
        <v>110</v>
      </c>
      <c r="I1444" t="s">
        <v>161</v>
      </c>
      <c r="J1444">
        <v>17</v>
      </c>
      <c r="K1444" s="16">
        <v>306000</v>
      </c>
      <c r="L1444" s="16">
        <v>233292.78</v>
      </c>
      <c r="M1444" s="16">
        <v>72707.22</v>
      </c>
      <c r="N1444" t="s">
        <v>131</v>
      </c>
      <c r="O1444" t="s">
        <v>119</v>
      </c>
      <c r="P1444" t="str">
        <f t="shared" si="22"/>
        <v>Jaipur|Air Purifier</v>
      </c>
    </row>
    <row r="1445" spans="1:16" x14ac:dyDescent="0.3">
      <c r="A1445" s="15">
        <v>46246</v>
      </c>
      <c r="B1445" t="s">
        <v>34</v>
      </c>
      <c r="C1445" t="s">
        <v>121</v>
      </c>
      <c r="D1445" t="s">
        <v>137</v>
      </c>
      <c r="E1445" t="s">
        <v>171</v>
      </c>
      <c r="F1445" t="s">
        <v>96</v>
      </c>
      <c r="G1445" t="s">
        <v>83</v>
      </c>
      <c r="H1445" t="s">
        <v>173</v>
      </c>
      <c r="I1445" t="s">
        <v>211</v>
      </c>
      <c r="J1445">
        <v>17</v>
      </c>
      <c r="K1445" s="16">
        <v>563040</v>
      </c>
      <c r="L1445" s="16">
        <v>395422.99</v>
      </c>
      <c r="M1445" s="16">
        <v>167617.01</v>
      </c>
      <c r="N1445" t="s">
        <v>125</v>
      </c>
      <c r="O1445" t="s">
        <v>142</v>
      </c>
      <c r="P1445" t="str">
        <f t="shared" si="22"/>
        <v>Bhubaneswar|Meeting Table</v>
      </c>
    </row>
    <row r="1446" spans="1:16" x14ac:dyDescent="0.3">
      <c r="A1446" s="15">
        <v>46194</v>
      </c>
      <c r="B1446" t="s">
        <v>34</v>
      </c>
      <c r="C1446" t="s">
        <v>107</v>
      </c>
      <c r="D1446" t="s">
        <v>149</v>
      </c>
      <c r="E1446" t="s">
        <v>159</v>
      </c>
      <c r="F1446" t="s">
        <v>94</v>
      </c>
      <c r="G1446" t="s">
        <v>67</v>
      </c>
      <c r="H1446" t="s">
        <v>135</v>
      </c>
      <c r="I1446" t="s">
        <v>179</v>
      </c>
      <c r="J1446">
        <v>9</v>
      </c>
      <c r="K1446" s="16">
        <v>261360</v>
      </c>
      <c r="L1446" s="16">
        <v>211998.58</v>
      </c>
      <c r="M1446" s="16">
        <v>49361.42</v>
      </c>
      <c r="N1446" t="s">
        <v>131</v>
      </c>
      <c r="O1446" t="s">
        <v>142</v>
      </c>
      <c r="P1446" t="str">
        <f t="shared" si="22"/>
        <v>Pune|Tablet X</v>
      </c>
    </row>
    <row r="1447" spans="1:16" x14ac:dyDescent="0.3">
      <c r="A1447" s="15">
        <v>46170</v>
      </c>
      <c r="B1447" t="s">
        <v>34</v>
      </c>
      <c r="C1447" t="s">
        <v>121</v>
      </c>
      <c r="D1447" t="s">
        <v>137</v>
      </c>
      <c r="E1447" t="s">
        <v>138</v>
      </c>
      <c r="F1447" t="s">
        <v>95</v>
      </c>
      <c r="G1447" t="s">
        <v>74</v>
      </c>
      <c r="H1447" t="s">
        <v>133</v>
      </c>
      <c r="I1447" t="s">
        <v>151</v>
      </c>
      <c r="J1447">
        <v>2</v>
      </c>
      <c r="K1447" s="16">
        <v>8832</v>
      </c>
      <c r="L1447" s="16">
        <v>7160.89</v>
      </c>
      <c r="M1447" s="16">
        <v>1671.11</v>
      </c>
      <c r="N1447" t="s">
        <v>141</v>
      </c>
      <c r="O1447" t="s">
        <v>119</v>
      </c>
      <c r="P1447" t="str">
        <f t="shared" si="22"/>
        <v>Cuttack|Headset</v>
      </c>
    </row>
    <row r="1448" spans="1:16" x14ac:dyDescent="0.3">
      <c r="A1448" s="15">
        <v>46146</v>
      </c>
      <c r="B1448" t="s">
        <v>34</v>
      </c>
      <c r="C1448" t="s">
        <v>152</v>
      </c>
      <c r="D1448" t="s">
        <v>187</v>
      </c>
      <c r="E1448" t="s">
        <v>188</v>
      </c>
      <c r="F1448" t="s">
        <v>94</v>
      </c>
      <c r="G1448" t="s">
        <v>67</v>
      </c>
      <c r="H1448" t="s">
        <v>184</v>
      </c>
      <c r="I1448" t="s">
        <v>151</v>
      </c>
      <c r="J1448">
        <v>18</v>
      </c>
      <c r="K1448" s="16">
        <v>576180</v>
      </c>
      <c r="L1448" s="16">
        <v>367284.36</v>
      </c>
      <c r="M1448" s="16">
        <v>208895.64</v>
      </c>
      <c r="N1448" t="s">
        <v>141</v>
      </c>
      <c r="O1448" t="s">
        <v>119</v>
      </c>
      <c r="P1448" t="str">
        <f t="shared" si="22"/>
        <v>Warangal|Tablet X</v>
      </c>
    </row>
    <row r="1449" spans="1:16" x14ac:dyDescent="0.3">
      <c r="A1449" s="15">
        <v>46028</v>
      </c>
      <c r="B1449" t="s">
        <v>34</v>
      </c>
      <c r="C1449" t="s">
        <v>126</v>
      </c>
      <c r="D1449" t="s">
        <v>196</v>
      </c>
      <c r="E1449" t="s">
        <v>208</v>
      </c>
      <c r="F1449" t="s">
        <v>95</v>
      </c>
      <c r="G1449" t="s">
        <v>74</v>
      </c>
      <c r="H1449" t="s">
        <v>139</v>
      </c>
      <c r="I1449" t="s">
        <v>136</v>
      </c>
      <c r="J1449">
        <v>4</v>
      </c>
      <c r="K1449" s="16">
        <v>18624</v>
      </c>
      <c r="L1449" s="16">
        <v>13177.3</v>
      </c>
      <c r="M1449" s="16">
        <v>5446.7</v>
      </c>
      <c r="N1449" t="s">
        <v>125</v>
      </c>
      <c r="O1449" t="s">
        <v>113</v>
      </c>
      <c r="P1449" t="str">
        <f t="shared" si="22"/>
        <v>New Delhi|Headset</v>
      </c>
    </row>
    <row r="1450" spans="1:16" x14ac:dyDescent="0.3">
      <c r="A1450" s="15">
        <v>46058</v>
      </c>
      <c r="B1450" t="s">
        <v>34</v>
      </c>
      <c r="C1450" t="s">
        <v>107</v>
      </c>
      <c r="D1450" t="s">
        <v>108</v>
      </c>
      <c r="E1450" t="s">
        <v>132</v>
      </c>
      <c r="F1450" t="s">
        <v>94</v>
      </c>
      <c r="G1450" t="s">
        <v>67</v>
      </c>
      <c r="H1450" t="s">
        <v>173</v>
      </c>
      <c r="I1450" t="s">
        <v>124</v>
      </c>
      <c r="J1450">
        <v>15</v>
      </c>
      <c r="K1450" s="16">
        <v>495000</v>
      </c>
      <c r="L1450" s="16">
        <v>354914.83</v>
      </c>
      <c r="M1450" s="16">
        <v>140085.17000000001</v>
      </c>
      <c r="N1450" t="s">
        <v>141</v>
      </c>
      <c r="O1450" t="s">
        <v>113</v>
      </c>
      <c r="P1450" t="str">
        <f t="shared" si="22"/>
        <v>Jaipur|Tablet X</v>
      </c>
    </row>
    <row r="1451" spans="1:16" x14ac:dyDescent="0.3">
      <c r="A1451" s="15">
        <v>46105</v>
      </c>
      <c r="B1451" t="s">
        <v>34</v>
      </c>
      <c r="C1451" t="s">
        <v>107</v>
      </c>
      <c r="D1451" t="s">
        <v>108</v>
      </c>
      <c r="E1451" t="s">
        <v>109</v>
      </c>
      <c r="F1451" t="s">
        <v>97</v>
      </c>
      <c r="G1451" t="s">
        <v>88</v>
      </c>
      <c r="H1451" t="s">
        <v>135</v>
      </c>
      <c r="I1451" t="s">
        <v>310</v>
      </c>
      <c r="J1451">
        <v>15</v>
      </c>
      <c r="K1451" s="16">
        <v>217500</v>
      </c>
      <c r="L1451" s="16">
        <v>146263.71</v>
      </c>
      <c r="M1451" s="16">
        <v>71236.289999999994</v>
      </c>
      <c r="N1451" t="s">
        <v>141</v>
      </c>
      <c r="O1451" t="s">
        <v>119</v>
      </c>
      <c r="P1451" t="str">
        <f t="shared" si="22"/>
        <v>Udaipur|Vacuum Cleaner</v>
      </c>
    </row>
    <row r="1452" spans="1:16" x14ac:dyDescent="0.3">
      <c r="A1452" s="15">
        <v>46126</v>
      </c>
      <c r="B1452" t="s">
        <v>114</v>
      </c>
      <c r="C1452" t="s">
        <v>126</v>
      </c>
      <c r="D1452" t="s">
        <v>196</v>
      </c>
      <c r="E1452" t="s">
        <v>197</v>
      </c>
      <c r="F1452" t="s">
        <v>95</v>
      </c>
      <c r="G1452" t="s">
        <v>76</v>
      </c>
      <c r="H1452" t="s">
        <v>117</v>
      </c>
      <c r="I1452" t="s">
        <v>298</v>
      </c>
      <c r="J1452">
        <v>11</v>
      </c>
      <c r="K1452" s="16">
        <v>17424</v>
      </c>
      <c r="L1452" s="16">
        <v>11041.91</v>
      </c>
      <c r="M1452" s="16">
        <v>6382.09</v>
      </c>
      <c r="N1452" t="s">
        <v>112</v>
      </c>
      <c r="O1452" t="s">
        <v>142</v>
      </c>
      <c r="P1452" t="str">
        <f t="shared" si="22"/>
        <v>Dwarka|Mouse</v>
      </c>
    </row>
    <row r="1453" spans="1:16" x14ac:dyDescent="0.3">
      <c r="A1453" s="15">
        <v>46172</v>
      </c>
      <c r="B1453" t="s">
        <v>34</v>
      </c>
      <c r="C1453" t="s">
        <v>107</v>
      </c>
      <c r="D1453" t="s">
        <v>108</v>
      </c>
      <c r="E1453" t="s">
        <v>132</v>
      </c>
      <c r="F1453" t="s">
        <v>95</v>
      </c>
      <c r="G1453" t="s">
        <v>74</v>
      </c>
      <c r="H1453" t="s">
        <v>117</v>
      </c>
      <c r="I1453" t="s">
        <v>403</v>
      </c>
      <c r="J1453">
        <v>5</v>
      </c>
      <c r="K1453" s="16">
        <v>24000</v>
      </c>
      <c r="L1453" s="16">
        <v>19408.53</v>
      </c>
      <c r="M1453" s="16">
        <v>4591.47</v>
      </c>
      <c r="N1453" t="s">
        <v>141</v>
      </c>
      <c r="O1453" t="s">
        <v>113</v>
      </c>
      <c r="P1453" t="str">
        <f t="shared" si="22"/>
        <v>Jaipur|Headset</v>
      </c>
    </row>
    <row r="1454" spans="1:16" x14ac:dyDescent="0.3">
      <c r="A1454" s="15">
        <v>46232</v>
      </c>
      <c r="B1454" t="s">
        <v>34</v>
      </c>
      <c r="C1454" t="s">
        <v>126</v>
      </c>
      <c r="D1454" t="s">
        <v>196</v>
      </c>
      <c r="E1454" t="s">
        <v>197</v>
      </c>
      <c r="F1454" t="s">
        <v>96</v>
      </c>
      <c r="G1454" t="s">
        <v>80</v>
      </c>
      <c r="H1454" t="s">
        <v>139</v>
      </c>
      <c r="I1454" t="s">
        <v>215</v>
      </c>
      <c r="J1454">
        <v>1</v>
      </c>
      <c r="K1454" s="16">
        <v>12125</v>
      </c>
      <c r="L1454" s="16">
        <v>8978.15</v>
      </c>
      <c r="M1454" s="16">
        <v>3146.85</v>
      </c>
      <c r="N1454" t="s">
        <v>112</v>
      </c>
      <c r="O1454" t="s">
        <v>119</v>
      </c>
      <c r="P1454" t="str">
        <f t="shared" si="22"/>
        <v>Dwarka|Office Chair</v>
      </c>
    </row>
    <row r="1455" spans="1:16" x14ac:dyDescent="0.3">
      <c r="A1455" s="15">
        <v>46089</v>
      </c>
      <c r="B1455" t="s">
        <v>114</v>
      </c>
      <c r="C1455" t="s">
        <v>126</v>
      </c>
      <c r="D1455" t="s">
        <v>127</v>
      </c>
      <c r="E1455" t="s">
        <v>143</v>
      </c>
      <c r="F1455" t="s">
        <v>94</v>
      </c>
      <c r="G1455" t="s">
        <v>67</v>
      </c>
      <c r="H1455" t="s">
        <v>173</v>
      </c>
      <c r="I1455" t="s">
        <v>384</v>
      </c>
      <c r="J1455">
        <v>14</v>
      </c>
      <c r="K1455" s="16">
        <v>425040</v>
      </c>
      <c r="L1455" s="16">
        <v>268173.18</v>
      </c>
      <c r="M1455" s="16">
        <v>156866.82</v>
      </c>
      <c r="N1455" t="s">
        <v>112</v>
      </c>
      <c r="O1455" t="s">
        <v>142</v>
      </c>
      <c r="P1455" t="str">
        <f t="shared" si="22"/>
        <v>Faridabad|Tablet X</v>
      </c>
    </row>
    <row r="1456" spans="1:16" x14ac:dyDescent="0.3">
      <c r="A1456" s="15">
        <v>46130</v>
      </c>
      <c r="B1456" t="s">
        <v>34</v>
      </c>
      <c r="C1456" t="s">
        <v>107</v>
      </c>
      <c r="D1456" t="s">
        <v>115</v>
      </c>
      <c r="E1456" t="s">
        <v>116</v>
      </c>
      <c r="F1456" t="s">
        <v>95</v>
      </c>
      <c r="G1456" t="s">
        <v>72</v>
      </c>
      <c r="H1456" t="s">
        <v>133</v>
      </c>
      <c r="I1456" t="s">
        <v>268</v>
      </c>
      <c r="J1456">
        <v>3</v>
      </c>
      <c r="K1456" s="16">
        <v>9600</v>
      </c>
      <c r="L1456" s="16">
        <v>7033.81</v>
      </c>
      <c r="M1456" s="16">
        <v>2566.19</v>
      </c>
      <c r="N1456" t="s">
        <v>112</v>
      </c>
      <c r="O1456" t="s">
        <v>113</v>
      </c>
      <c r="P1456" t="str">
        <f t="shared" si="22"/>
        <v>Ahmedabad|Keyboard</v>
      </c>
    </row>
    <row r="1457" spans="1:16" x14ac:dyDescent="0.3">
      <c r="A1457" s="15">
        <v>46070</v>
      </c>
      <c r="B1457" t="s">
        <v>114</v>
      </c>
      <c r="C1457" t="s">
        <v>121</v>
      </c>
      <c r="D1457" t="s">
        <v>137</v>
      </c>
      <c r="E1457" t="s">
        <v>171</v>
      </c>
      <c r="F1457" t="s">
        <v>95</v>
      </c>
      <c r="G1457" t="s">
        <v>76</v>
      </c>
      <c r="H1457" t="s">
        <v>110</v>
      </c>
      <c r="I1457" t="s">
        <v>241</v>
      </c>
      <c r="J1457">
        <v>5</v>
      </c>
      <c r="K1457" s="16">
        <v>8730</v>
      </c>
      <c r="L1457" s="16">
        <v>5879.24</v>
      </c>
      <c r="M1457" s="16">
        <v>2850.76</v>
      </c>
      <c r="N1457" t="s">
        <v>141</v>
      </c>
      <c r="O1457" t="s">
        <v>113</v>
      </c>
      <c r="P1457" t="str">
        <f t="shared" si="22"/>
        <v>Bhubaneswar|Mouse</v>
      </c>
    </row>
    <row r="1458" spans="1:16" x14ac:dyDescent="0.3">
      <c r="A1458" s="15">
        <v>46200</v>
      </c>
      <c r="B1458" t="s">
        <v>34</v>
      </c>
      <c r="C1458" t="s">
        <v>107</v>
      </c>
      <c r="D1458" t="s">
        <v>115</v>
      </c>
      <c r="E1458" t="s">
        <v>191</v>
      </c>
      <c r="F1458" t="s">
        <v>94</v>
      </c>
      <c r="G1458" t="s">
        <v>61</v>
      </c>
      <c r="H1458" t="s">
        <v>173</v>
      </c>
      <c r="I1458" t="s">
        <v>321</v>
      </c>
      <c r="J1458">
        <v>20</v>
      </c>
      <c r="K1458" s="16">
        <v>1372800</v>
      </c>
      <c r="L1458" s="16">
        <v>929992.83</v>
      </c>
      <c r="M1458" s="16">
        <v>442807.17</v>
      </c>
      <c r="N1458" t="s">
        <v>131</v>
      </c>
      <c r="O1458" t="s">
        <v>113</v>
      </c>
      <c r="P1458" t="str">
        <f t="shared" si="22"/>
        <v>Surat|Laptop Pro</v>
      </c>
    </row>
    <row r="1459" spans="1:16" x14ac:dyDescent="0.3">
      <c r="A1459" s="15">
        <v>46079</v>
      </c>
      <c r="B1459" t="s">
        <v>34</v>
      </c>
      <c r="C1459" t="s">
        <v>121</v>
      </c>
      <c r="D1459" t="s">
        <v>146</v>
      </c>
      <c r="E1459" t="s">
        <v>175</v>
      </c>
      <c r="F1459" t="s">
        <v>94</v>
      </c>
      <c r="G1459" t="s">
        <v>67</v>
      </c>
      <c r="H1459" t="s">
        <v>173</v>
      </c>
      <c r="I1459" t="s">
        <v>381</v>
      </c>
      <c r="J1459">
        <v>4</v>
      </c>
      <c r="K1459" s="16">
        <v>132000</v>
      </c>
      <c r="L1459" s="16">
        <v>89126.64</v>
      </c>
      <c r="M1459" s="16">
        <v>42873.36</v>
      </c>
      <c r="N1459" t="s">
        <v>131</v>
      </c>
      <c r="O1459" t="s">
        <v>113</v>
      </c>
      <c r="P1459" t="str">
        <f t="shared" si="22"/>
        <v>Dibrugarh|Tablet X</v>
      </c>
    </row>
    <row r="1460" spans="1:16" x14ac:dyDescent="0.3">
      <c r="A1460" s="15">
        <v>46193</v>
      </c>
      <c r="B1460" t="s">
        <v>34</v>
      </c>
      <c r="C1460" t="s">
        <v>152</v>
      </c>
      <c r="D1460" t="s">
        <v>153</v>
      </c>
      <c r="E1460" t="s">
        <v>154</v>
      </c>
      <c r="F1460" t="s">
        <v>95</v>
      </c>
      <c r="G1460" t="s">
        <v>78</v>
      </c>
      <c r="H1460" t="s">
        <v>139</v>
      </c>
      <c r="I1460" t="s">
        <v>296</v>
      </c>
      <c r="J1460">
        <v>6</v>
      </c>
      <c r="K1460" s="16">
        <v>22176</v>
      </c>
      <c r="L1460" s="16">
        <v>16106.79</v>
      </c>
      <c r="M1460" s="16">
        <v>6069.21</v>
      </c>
      <c r="N1460" t="s">
        <v>125</v>
      </c>
      <c r="O1460" t="s">
        <v>113</v>
      </c>
      <c r="P1460" t="str">
        <f t="shared" si="22"/>
        <v>Coimbatore|Webcam</v>
      </c>
    </row>
    <row r="1461" spans="1:16" x14ac:dyDescent="0.3">
      <c r="A1461" s="15">
        <v>46079</v>
      </c>
      <c r="B1461" t="s">
        <v>34</v>
      </c>
      <c r="C1461" t="s">
        <v>152</v>
      </c>
      <c r="D1461" t="s">
        <v>156</v>
      </c>
      <c r="E1461" t="s">
        <v>238</v>
      </c>
      <c r="F1461" t="s">
        <v>94</v>
      </c>
      <c r="G1461" t="s">
        <v>70</v>
      </c>
      <c r="H1461" t="s">
        <v>139</v>
      </c>
      <c r="I1461" t="s">
        <v>201</v>
      </c>
      <c r="J1461">
        <v>2</v>
      </c>
      <c r="K1461" s="16">
        <v>27280</v>
      </c>
      <c r="L1461" s="16">
        <v>18473.060000000001</v>
      </c>
      <c r="M1461" s="16">
        <v>8806.94</v>
      </c>
      <c r="N1461" t="s">
        <v>141</v>
      </c>
      <c r="O1461" t="s">
        <v>113</v>
      </c>
      <c r="P1461" t="str">
        <f t="shared" si="22"/>
        <v>Bengaluru|Printer Pro</v>
      </c>
    </row>
    <row r="1462" spans="1:16" x14ac:dyDescent="0.3">
      <c r="A1462" s="15">
        <v>46199</v>
      </c>
      <c r="B1462" t="s">
        <v>34</v>
      </c>
      <c r="C1462" t="s">
        <v>126</v>
      </c>
      <c r="D1462" t="s">
        <v>196</v>
      </c>
      <c r="E1462" t="s">
        <v>197</v>
      </c>
      <c r="F1462" t="s">
        <v>94</v>
      </c>
      <c r="G1462" t="s">
        <v>70</v>
      </c>
      <c r="H1462" t="s">
        <v>117</v>
      </c>
      <c r="I1462" t="s">
        <v>346</v>
      </c>
      <c r="J1462">
        <v>10</v>
      </c>
      <c r="K1462" s="16">
        <v>136400</v>
      </c>
      <c r="L1462" s="16">
        <v>89276.83</v>
      </c>
      <c r="M1462" s="16">
        <v>47123.17</v>
      </c>
      <c r="N1462" t="s">
        <v>131</v>
      </c>
      <c r="O1462" t="s">
        <v>142</v>
      </c>
      <c r="P1462" t="str">
        <f t="shared" si="22"/>
        <v>Dwarka|Printer Pro</v>
      </c>
    </row>
    <row r="1463" spans="1:16" x14ac:dyDescent="0.3">
      <c r="A1463" s="15">
        <v>46065</v>
      </c>
      <c r="B1463" t="s">
        <v>114</v>
      </c>
      <c r="C1463" t="s">
        <v>152</v>
      </c>
      <c r="D1463" t="s">
        <v>156</v>
      </c>
      <c r="E1463" t="s">
        <v>238</v>
      </c>
      <c r="F1463" t="s">
        <v>97</v>
      </c>
      <c r="G1463" t="s">
        <v>88</v>
      </c>
      <c r="H1463" t="s">
        <v>129</v>
      </c>
      <c r="I1463" t="s">
        <v>286</v>
      </c>
      <c r="J1463">
        <v>18</v>
      </c>
      <c r="K1463" s="16">
        <v>229680</v>
      </c>
      <c r="L1463" s="16">
        <v>143084.93</v>
      </c>
      <c r="M1463" s="16">
        <v>86595.07</v>
      </c>
      <c r="N1463" t="s">
        <v>112</v>
      </c>
      <c r="O1463" t="s">
        <v>113</v>
      </c>
      <c r="P1463" t="str">
        <f t="shared" si="22"/>
        <v>Bengaluru|Vacuum Cleaner</v>
      </c>
    </row>
    <row r="1464" spans="1:16" x14ac:dyDescent="0.3">
      <c r="A1464" s="15">
        <v>46102</v>
      </c>
      <c r="B1464" t="s">
        <v>34</v>
      </c>
      <c r="C1464" t="s">
        <v>152</v>
      </c>
      <c r="D1464" t="s">
        <v>156</v>
      </c>
      <c r="E1464" t="s">
        <v>238</v>
      </c>
      <c r="F1464" t="s">
        <v>95</v>
      </c>
      <c r="G1464" t="s">
        <v>76</v>
      </c>
      <c r="H1464" t="s">
        <v>135</v>
      </c>
      <c r="I1464" t="s">
        <v>244</v>
      </c>
      <c r="J1464">
        <v>20</v>
      </c>
      <c r="K1464" s="16">
        <v>36000</v>
      </c>
      <c r="L1464" s="16">
        <v>24985.599999999999</v>
      </c>
      <c r="M1464" s="16">
        <v>11014.4</v>
      </c>
      <c r="N1464" t="s">
        <v>125</v>
      </c>
      <c r="O1464" t="s">
        <v>113</v>
      </c>
      <c r="P1464" t="str">
        <f t="shared" si="22"/>
        <v>Bengaluru|Mouse</v>
      </c>
    </row>
    <row r="1465" spans="1:16" x14ac:dyDescent="0.3">
      <c r="A1465" s="15">
        <v>46079</v>
      </c>
      <c r="B1465" t="s">
        <v>34</v>
      </c>
      <c r="C1465" t="s">
        <v>126</v>
      </c>
      <c r="D1465" t="s">
        <v>127</v>
      </c>
      <c r="E1465" t="s">
        <v>128</v>
      </c>
      <c r="F1465" t="s">
        <v>94</v>
      </c>
      <c r="G1465" t="s">
        <v>64</v>
      </c>
      <c r="H1465" t="s">
        <v>129</v>
      </c>
      <c r="I1465" t="s">
        <v>230</v>
      </c>
      <c r="J1465">
        <v>17</v>
      </c>
      <c r="K1465" s="16">
        <v>346290</v>
      </c>
      <c r="L1465" s="16">
        <v>246336.37</v>
      </c>
      <c r="M1465" s="16">
        <v>99953.63</v>
      </c>
      <c r="N1465" t="s">
        <v>112</v>
      </c>
      <c r="O1465" t="s">
        <v>113</v>
      </c>
      <c r="P1465" t="str">
        <f t="shared" si="22"/>
        <v>Gurugram|Monitor 27</v>
      </c>
    </row>
    <row r="1466" spans="1:16" x14ac:dyDescent="0.3">
      <c r="A1466" s="15">
        <v>46063</v>
      </c>
      <c r="B1466" t="s">
        <v>34</v>
      </c>
      <c r="C1466" t="s">
        <v>152</v>
      </c>
      <c r="D1466" t="s">
        <v>187</v>
      </c>
      <c r="E1466" t="s">
        <v>199</v>
      </c>
      <c r="F1466" t="s">
        <v>96</v>
      </c>
      <c r="G1466" t="s">
        <v>82</v>
      </c>
      <c r="H1466" t="s">
        <v>110</v>
      </c>
      <c r="I1466" t="s">
        <v>245</v>
      </c>
      <c r="J1466">
        <v>13</v>
      </c>
      <c r="K1466" s="16">
        <v>370500</v>
      </c>
      <c r="L1466" s="16">
        <v>255923.47</v>
      </c>
      <c r="M1466" s="16">
        <v>114576.53</v>
      </c>
      <c r="N1466" t="s">
        <v>112</v>
      </c>
      <c r="O1466" t="s">
        <v>142</v>
      </c>
      <c r="P1466" t="str">
        <f t="shared" si="22"/>
        <v>Hyderabad|Standing Desk</v>
      </c>
    </row>
    <row r="1467" spans="1:16" x14ac:dyDescent="0.3">
      <c r="A1467" s="15">
        <v>46182</v>
      </c>
      <c r="B1467" t="s">
        <v>34</v>
      </c>
      <c r="C1467" t="s">
        <v>121</v>
      </c>
      <c r="D1467" t="s">
        <v>146</v>
      </c>
      <c r="E1467" t="s">
        <v>175</v>
      </c>
      <c r="F1467" t="s">
        <v>97</v>
      </c>
      <c r="G1467" t="s">
        <v>85</v>
      </c>
      <c r="H1467" t="s">
        <v>135</v>
      </c>
      <c r="I1467" t="s">
        <v>151</v>
      </c>
      <c r="J1467">
        <v>8</v>
      </c>
      <c r="K1467" s="16">
        <v>132480</v>
      </c>
      <c r="L1467" s="16">
        <v>90775.85</v>
      </c>
      <c r="M1467" s="16">
        <v>41704.15</v>
      </c>
      <c r="N1467" t="s">
        <v>112</v>
      </c>
      <c r="O1467" t="s">
        <v>142</v>
      </c>
      <c r="P1467" t="str">
        <f t="shared" si="22"/>
        <v>Dibrugarh|Air Purifier</v>
      </c>
    </row>
    <row r="1468" spans="1:16" x14ac:dyDescent="0.3">
      <c r="A1468" s="15">
        <v>46212</v>
      </c>
      <c r="B1468" t="s">
        <v>114</v>
      </c>
      <c r="C1468" t="s">
        <v>107</v>
      </c>
      <c r="D1468" t="s">
        <v>115</v>
      </c>
      <c r="E1468" t="s">
        <v>116</v>
      </c>
      <c r="F1468" t="s">
        <v>94</v>
      </c>
      <c r="G1468" t="s">
        <v>70</v>
      </c>
      <c r="H1468" t="s">
        <v>173</v>
      </c>
      <c r="I1468" t="s">
        <v>364</v>
      </c>
      <c r="J1468">
        <v>10</v>
      </c>
      <c r="K1468" s="16">
        <v>142600</v>
      </c>
      <c r="L1468" s="16">
        <v>108833.68</v>
      </c>
      <c r="M1468" s="16">
        <v>33766.32</v>
      </c>
      <c r="N1468" t="s">
        <v>112</v>
      </c>
      <c r="O1468" t="s">
        <v>142</v>
      </c>
      <c r="P1468" t="str">
        <f t="shared" si="22"/>
        <v>Ahmedabad|Printer Pro</v>
      </c>
    </row>
    <row r="1469" spans="1:16" x14ac:dyDescent="0.3">
      <c r="A1469" s="15">
        <v>46060</v>
      </c>
      <c r="B1469" t="s">
        <v>34</v>
      </c>
      <c r="C1469" t="s">
        <v>152</v>
      </c>
      <c r="D1469" t="s">
        <v>187</v>
      </c>
      <c r="E1469" t="s">
        <v>199</v>
      </c>
      <c r="F1469" t="s">
        <v>96</v>
      </c>
      <c r="G1469" t="s">
        <v>80</v>
      </c>
      <c r="H1469" t="s">
        <v>173</v>
      </c>
      <c r="I1469" t="s">
        <v>299</v>
      </c>
      <c r="J1469">
        <v>10</v>
      </c>
      <c r="K1469" s="16">
        <v>118750</v>
      </c>
      <c r="L1469" s="16">
        <v>79552.649999999994</v>
      </c>
      <c r="M1469" s="16">
        <v>39197.35</v>
      </c>
      <c r="N1469" t="s">
        <v>125</v>
      </c>
      <c r="O1469" t="s">
        <v>113</v>
      </c>
      <c r="P1469" t="str">
        <f t="shared" si="22"/>
        <v>Hyderabad|Office Chair</v>
      </c>
    </row>
    <row r="1470" spans="1:16" x14ac:dyDescent="0.3">
      <c r="A1470" s="15">
        <v>46026</v>
      </c>
      <c r="B1470" t="s">
        <v>120</v>
      </c>
      <c r="C1470" t="s">
        <v>121</v>
      </c>
      <c r="D1470" t="s">
        <v>137</v>
      </c>
      <c r="E1470" t="s">
        <v>138</v>
      </c>
      <c r="F1470" t="s">
        <v>95</v>
      </c>
      <c r="G1470" t="s">
        <v>78</v>
      </c>
      <c r="H1470" t="s">
        <v>117</v>
      </c>
      <c r="I1470" t="s">
        <v>407</v>
      </c>
      <c r="J1470">
        <v>6</v>
      </c>
      <c r="K1470" s="16">
        <v>23940</v>
      </c>
      <c r="L1470" s="16">
        <v>17459.189999999999</v>
      </c>
      <c r="M1470" s="16">
        <v>6480.81</v>
      </c>
      <c r="N1470" t="s">
        <v>141</v>
      </c>
      <c r="O1470" t="s">
        <v>113</v>
      </c>
      <c r="P1470" t="str">
        <f t="shared" si="22"/>
        <v>Cuttack|Webcam</v>
      </c>
    </row>
    <row r="1471" spans="1:16" x14ac:dyDescent="0.3">
      <c r="A1471" s="15">
        <v>46159</v>
      </c>
      <c r="B1471" t="s">
        <v>34</v>
      </c>
      <c r="C1471" t="s">
        <v>152</v>
      </c>
      <c r="D1471" t="s">
        <v>156</v>
      </c>
      <c r="E1471" t="s">
        <v>238</v>
      </c>
      <c r="F1471" t="s">
        <v>97</v>
      </c>
      <c r="G1471" t="s">
        <v>87</v>
      </c>
      <c r="H1471" t="s">
        <v>139</v>
      </c>
      <c r="I1471" t="s">
        <v>254</v>
      </c>
      <c r="J1471">
        <v>2</v>
      </c>
      <c r="K1471" s="16">
        <v>25000</v>
      </c>
      <c r="L1471" s="16">
        <v>16674.060000000001</v>
      </c>
      <c r="M1471" s="16">
        <v>8325.94</v>
      </c>
      <c r="N1471" t="s">
        <v>131</v>
      </c>
      <c r="O1471" t="s">
        <v>113</v>
      </c>
      <c r="P1471" t="str">
        <f t="shared" si="22"/>
        <v>Bengaluru|Microwave</v>
      </c>
    </row>
    <row r="1472" spans="1:16" x14ac:dyDescent="0.3">
      <c r="A1472" s="15">
        <v>46059</v>
      </c>
      <c r="B1472" t="s">
        <v>114</v>
      </c>
      <c r="C1472" t="s">
        <v>126</v>
      </c>
      <c r="D1472" t="s">
        <v>162</v>
      </c>
      <c r="E1472" t="s">
        <v>204</v>
      </c>
      <c r="F1472" t="s">
        <v>96</v>
      </c>
      <c r="G1472" t="s">
        <v>84</v>
      </c>
      <c r="H1472" t="s">
        <v>129</v>
      </c>
      <c r="I1472" t="s">
        <v>180</v>
      </c>
      <c r="J1472">
        <v>3</v>
      </c>
      <c r="K1472" s="16">
        <v>40020</v>
      </c>
      <c r="L1472" s="16">
        <v>32667.63</v>
      </c>
      <c r="M1472" s="16">
        <v>7352.37</v>
      </c>
      <c r="N1472" t="s">
        <v>141</v>
      </c>
      <c r="O1472" t="s">
        <v>113</v>
      </c>
      <c r="P1472" t="str">
        <f t="shared" si="22"/>
        <v>Noida|Filing Cabinet</v>
      </c>
    </row>
    <row r="1473" spans="1:16" x14ac:dyDescent="0.3">
      <c r="A1473" s="15">
        <v>46116</v>
      </c>
      <c r="B1473" t="s">
        <v>34</v>
      </c>
      <c r="C1473" t="s">
        <v>126</v>
      </c>
      <c r="D1473" t="s">
        <v>162</v>
      </c>
      <c r="E1473" t="s">
        <v>204</v>
      </c>
      <c r="F1473" t="s">
        <v>97</v>
      </c>
      <c r="G1473" t="s">
        <v>87</v>
      </c>
      <c r="H1473" t="s">
        <v>173</v>
      </c>
      <c r="I1473" t="s">
        <v>413</v>
      </c>
      <c r="J1473">
        <v>10</v>
      </c>
      <c r="K1473" s="16">
        <v>118750</v>
      </c>
      <c r="L1473" s="16">
        <v>78513.73</v>
      </c>
      <c r="M1473" s="16">
        <v>40236.269999999997</v>
      </c>
      <c r="N1473" t="s">
        <v>112</v>
      </c>
      <c r="O1473" t="s">
        <v>113</v>
      </c>
      <c r="P1473" t="str">
        <f t="shared" si="22"/>
        <v>Noida|Microwave</v>
      </c>
    </row>
    <row r="1474" spans="1:16" x14ac:dyDescent="0.3">
      <c r="A1474" s="15">
        <v>46224</v>
      </c>
      <c r="B1474" t="s">
        <v>114</v>
      </c>
      <c r="C1474" t="s">
        <v>107</v>
      </c>
      <c r="D1474" t="s">
        <v>108</v>
      </c>
      <c r="E1474" t="s">
        <v>109</v>
      </c>
      <c r="F1474" t="s">
        <v>95</v>
      </c>
      <c r="G1474" t="s">
        <v>78</v>
      </c>
      <c r="H1474" t="s">
        <v>135</v>
      </c>
      <c r="I1474" t="s">
        <v>158</v>
      </c>
      <c r="J1474">
        <v>11</v>
      </c>
      <c r="K1474" s="16">
        <v>44814</v>
      </c>
      <c r="L1474" s="16">
        <v>28007.66</v>
      </c>
      <c r="M1474" s="16">
        <v>16806.34</v>
      </c>
      <c r="N1474" t="s">
        <v>141</v>
      </c>
      <c r="O1474" t="s">
        <v>142</v>
      </c>
      <c r="P1474" t="str">
        <f t="shared" si="22"/>
        <v>Udaipur|Webcam</v>
      </c>
    </row>
    <row r="1475" spans="1:16" x14ac:dyDescent="0.3">
      <c r="A1475" s="15">
        <v>46124</v>
      </c>
      <c r="B1475" t="s">
        <v>34</v>
      </c>
      <c r="C1475" t="s">
        <v>152</v>
      </c>
      <c r="D1475" t="s">
        <v>153</v>
      </c>
      <c r="E1475" t="s">
        <v>154</v>
      </c>
      <c r="F1475" t="s">
        <v>97</v>
      </c>
      <c r="G1475" t="s">
        <v>85</v>
      </c>
      <c r="H1475" t="s">
        <v>173</v>
      </c>
      <c r="I1475" t="s">
        <v>296</v>
      </c>
      <c r="J1475">
        <v>20</v>
      </c>
      <c r="K1475" s="16">
        <v>349200</v>
      </c>
      <c r="L1475" s="16">
        <v>265340.15000000002</v>
      </c>
      <c r="M1475" s="16">
        <v>83859.850000000006</v>
      </c>
      <c r="N1475" t="s">
        <v>125</v>
      </c>
      <c r="O1475" t="s">
        <v>119</v>
      </c>
      <c r="P1475" t="str">
        <f t="shared" si="22"/>
        <v>Coimbatore|Air Purifier</v>
      </c>
    </row>
    <row r="1476" spans="1:16" x14ac:dyDescent="0.3">
      <c r="A1476" s="15">
        <v>46146</v>
      </c>
      <c r="B1476" t="s">
        <v>120</v>
      </c>
      <c r="C1476" t="s">
        <v>121</v>
      </c>
      <c r="D1476" t="s">
        <v>146</v>
      </c>
      <c r="E1476" t="s">
        <v>147</v>
      </c>
      <c r="F1476" t="s">
        <v>97</v>
      </c>
      <c r="G1476" t="s">
        <v>87</v>
      </c>
      <c r="H1476" t="s">
        <v>117</v>
      </c>
      <c r="I1476" t="s">
        <v>160</v>
      </c>
      <c r="J1476">
        <v>4</v>
      </c>
      <c r="K1476" s="16">
        <v>48500</v>
      </c>
      <c r="L1476" s="16">
        <v>38295.339999999997</v>
      </c>
      <c r="M1476" s="16">
        <v>10204.66</v>
      </c>
      <c r="N1476" t="s">
        <v>125</v>
      </c>
      <c r="O1476" t="s">
        <v>113</v>
      </c>
      <c r="P1476" t="str">
        <f t="shared" si="22"/>
        <v>Guwahati|Microwave</v>
      </c>
    </row>
    <row r="1477" spans="1:16" x14ac:dyDescent="0.3">
      <c r="A1477" s="15">
        <v>46132</v>
      </c>
      <c r="B1477" t="s">
        <v>34</v>
      </c>
      <c r="C1477" t="s">
        <v>152</v>
      </c>
      <c r="D1477" t="s">
        <v>156</v>
      </c>
      <c r="E1477" t="s">
        <v>238</v>
      </c>
      <c r="F1477" t="s">
        <v>95</v>
      </c>
      <c r="G1477" t="s">
        <v>74</v>
      </c>
      <c r="H1477" t="s">
        <v>135</v>
      </c>
      <c r="I1477" t="s">
        <v>402</v>
      </c>
      <c r="J1477">
        <v>17</v>
      </c>
      <c r="K1477" s="16">
        <v>81600</v>
      </c>
      <c r="L1477" s="16">
        <v>51225.88</v>
      </c>
      <c r="M1477" s="16">
        <v>30374.12</v>
      </c>
      <c r="N1477" t="s">
        <v>131</v>
      </c>
      <c r="O1477" t="s">
        <v>119</v>
      </c>
      <c r="P1477" t="str">
        <f t="shared" ref="P1477:P1504" si="23">E1477&amp;"|"&amp;G1477</f>
        <v>Bengaluru|Headset</v>
      </c>
    </row>
    <row r="1478" spans="1:16" x14ac:dyDescent="0.3">
      <c r="A1478" s="15">
        <v>46234</v>
      </c>
      <c r="B1478" t="s">
        <v>120</v>
      </c>
      <c r="C1478" t="s">
        <v>126</v>
      </c>
      <c r="D1478" t="s">
        <v>127</v>
      </c>
      <c r="E1478" t="s">
        <v>143</v>
      </c>
      <c r="F1478" t="s">
        <v>94</v>
      </c>
      <c r="G1478" t="s">
        <v>67</v>
      </c>
      <c r="H1478" t="s">
        <v>184</v>
      </c>
      <c r="I1478" t="s">
        <v>258</v>
      </c>
      <c r="J1478">
        <v>4</v>
      </c>
      <c r="K1478" s="16">
        <v>121440</v>
      </c>
      <c r="L1478" s="16">
        <v>83536.83</v>
      </c>
      <c r="M1478" s="16">
        <v>37903.17</v>
      </c>
      <c r="N1478" t="s">
        <v>141</v>
      </c>
      <c r="O1478" t="s">
        <v>113</v>
      </c>
      <c r="P1478" t="str">
        <f t="shared" si="23"/>
        <v>Faridabad|Tablet X</v>
      </c>
    </row>
    <row r="1479" spans="1:16" x14ac:dyDescent="0.3">
      <c r="A1479" s="15">
        <v>46170</v>
      </c>
      <c r="B1479" t="s">
        <v>34</v>
      </c>
      <c r="C1479" t="s">
        <v>121</v>
      </c>
      <c r="D1479" t="s">
        <v>137</v>
      </c>
      <c r="E1479" t="s">
        <v>171</v>
      </c>
      <c r="F1479" t="s">
        <v>96</v>
      </c>
      <c r="G1479" t="s">
        <v>82</v>
      </c>
      <c r="H1479" t="s">
        <v>139</v>
      </c>
      <c r="I1479" t="s">
        <v>233</v>
      </c>
      <c r="J1479">
        <v>1</v>
      </c>
      <c r="K1479" s="16">
        <v>28500</v>
      </c>
      <c r="L1479" s="16">
        <v>23111.16</v>
      </c>
      <c r="M1479" s="16">
        <v>5388.84</v>
      </c>
      <c r="N1479" t="s">
        <v>141</v>
      </c>
      <c r="O1479" t="s">
        <v>113</v>
      </c>
      <c r="P1479" t="str">
        <f t="shared" si="23"/>
        <v>Bhubaneswar|Standing Desk</v>
      </c>
    </row>
    <row r="1480" spans="1:16" x14ac:dyDescent="0.3">
      <c r="A1480" s="15">
        <v>46224</v>
      </c>
      <c r="B1480" t="s">
        <v>34</v>
      </c>
      <c r="C1480" t="s">
        <v>152</v>
      </c>
      <c r="D1480" t="s">
        <v>187</v>
      </c>
      <c r="E1480" t="s">
        <v>188</v>
      </c>
      <c r="F1480" t="s">
        <v>97</v>
      </c>
      <c r="G1480" t="s">
        <v>86</v>
      </c>
      <c r="H1480" t="s">
        <v>139</v>
      </c>
      <c r="I1480" t="s">
        <v>203</v>
      </c>
      <c r="J1480">
        <v>8</v>
      </c>
      <c r="K1480" s="16">
        <v>45760</v>
      </c>
      <c r="L1480" s="16">
        <v>37069.94</v>
      </c>
      <c r="M1480" s="16">
        <v>8690.06</v>
      </c>
      <c r="N1480" t="s">
        <v>125</v>
      </c>
      <c r="O1480" t="s">
        <v>113</v>
      </c>
      <c r="P1480" t="str">
        <f t="shared" si="23"/>
        <v>Warangal|Coffee Maker</v>
      </c>
    </row>
    <row r="1481" spans="1:16" x14ac:dyDescent="0.3">
      <c r="A1481" s="15">
        <v>46024</v>
      </c>
      <c r="B1481" t="s">
        <v>34</v>
      </c>
      <c r="C1481" t="s">
        <v>126</v>
      </c>
      <c r="D1481" t="s">
        <v>127</v>
      </c>
      <c r="E1481" t="s">
        <v>143</v>
      </c>
      <c r="F1481" t="s">
        <v>94</v>
      </c>
      <c r="G1481" t="s">
        <v>67</v>
      </c>
      <c r="H1481" t="s">
        <v>129</v>
      </c>
      <c r="I1481" t="s">
        <v>284</v>
      </c>
      <c r="J1481">
        <v>4</v>
      </c>
      <c r="K1481" s="16">
        <v>125400</v>
      </c>
      <c r="L1481" s="16">
        <v>78454.13</v>
      </c>
      <c r="M1481" s="16">
        <v>46945.87</v>
      </c>
      <c r="N1481" t="s">
        <v>131</v>
      </c>
      <c r="O1481" t="s">
        <v>113</v>
      </c>
      <c r="P1481" t="str">
        <f t="shared" si="23"/>
        <v>Faridabad|Tablet X</v>
      </c>
    </row>
    <row r="1482" spans="1:16" x14ac:dyDescent="0.3">
      <c r="A1482" s="15">
        <v>46111</v>
      </c>
      <c r="B1482" t="s">
        <v>34</v>
      </c>
      <c r="C1482" t="s">
        <v>126</v>
      </c>
      <c r="D1482" t="s">
        <v>162</v>
      </c>
      <c r="E1482" t="s">
        <v>163</v>
      </c>
      <c r="F1482" t="s">
        <v>94</v>
      </c>
      <c r="G1482" t="s">
        <v>64</v>
      </c>
      <c r="H1482" t="s">
        <v>133</v>
      </c>
      <c r="I1482" t="s">
        <v>384</v>
      </c>
      <c r="J1482">
        <v>5</v>
      </c>
      <c r="K1482" s="16">
        <v>99750</v>
      </c>
      <c r="L1482" s="16">
        <v>77837.5</v>
      </c>
      <c r="M1482" s="16">
        <v>21912.5</v>
      </c>
      <c r="N1482" t="s">
        <v>112</v>
      </c>
      <c r="O1482" t="s">
        <v>113</v>
      </c>
      <c r="P1482" t="str">
        <f t="shared" si="23"/>
        <v>Lucknow|Monitor 27</v>
      </c>
    </row>
    <row r="1483" spans="1:16" x14ac:dyDescent="0.3">
      <c r="A1483" s="15">
        <v>46083</v>
      </c>
      <c r="B1483" t="s">
        <v>34</v>
      </c>
      <c r="C1483" t="s">
        <v>126</v>
      </c>
      <c r="D1483" t="s">
        <v>127</v>
      </c>
      <c r="E1483" t="s">
        <v>128</v>
      </c>
      <c r="F1483" t="s">
        <v>97</v>
      </c>
      <c r="G1483" t="s">
        <v>85</v>
      </c>
      <c r="H1483" t="s">
        <v>133</v>
      </c>
      <c r="I1483" t="s">
        <v>374</v>
      </c>
      <c r="J1483">
        <v>17</v>
      </c>
      <c r="K1483" s="16">
        <v>296820</v>
      </c>
      <c r="L1483" s="16">
        <v>190845.31</v>
      </c>
      <c r="M1483" s="16">
        <v>105974.69</v>
      </c>
      <c r="N1483" t="s">
        <v>112</v>
      </c>
      <c r="O1483" t="s">
        <v>113</v>
      </c>
      <c r="P1483" t="str">
        <f t="shared" si="23"/>
        <v>Gurugram|Air Purifier</v>
      </c>
    </row>
    <row r="1484" spans="1:16" x14ac:dyDescent="0.3">
      <c r="A1484" s="15">
        <v>46096</v>
      </c>
      <c r="B1484" t="s">
        <v>120</v>
      </c>
      <c r="C1484" t="s">
        <v>121</v>
      </c>
      <c r="D1484" t="s">
        <v>122</v>
      </c>
      <c r="E1484" t="s">
        <v>166</v>
      </c>
      <c r="F1484" t="s">
        <v>97</v>
      </c>
      <c r="G1484" t="s">
        <v>86</v>
      </c>
      <c r="H1484" t="s">
        <v>139</v>
      </c>
      <c r="I1484" t="s">
        <v>377</v>
      </c>
      <c r="J1484">
        <v>5</v>
      </c>
      <c r="K1484" s="16">
        <v>32500</v>
      </c>
      <c r="L1484" s="16">
        <v>25420.76</v>
      </c>
      <c r="M1484" s="16">
        <v>7079.24</v>
      </c>
      <c r="N1484" t="s">
        <v>112</v>
      </c>
      <c r="O1484" t="s">
        <v>142</v>
      </c>
      <c r="P1484" t="str">
        <f t="shared" si="23"/>
        <v>Kolkata|Coffee Maker</v>
      </c>
    </row>
    <row r="1485" spans="1:16" x14ac:dyDescent="0.3">
      <c r="A1485" s="15">
        <v>46082</v>
      </c>
      <c r="B1485" t="s">
        <v>120</v>
      </c>
      <c r="C1485" t="s">
        <v>126</v>
      </c>
      <c r="D1485" t="s">
        <v>127</v>
      </c>
      <c r="E1485" t="s">
        <v>128</v>
      </c>
      <c r="F1485" t="s">
        <v>97</v>
      </c>
      <c r="G1485" t="s">
        <v>86</v>
      </c>
      <c r="H1485" t="s">
        <v>135</v>
      </c>
      <c r="I1485" t="s">
        <v>374</v>
      </c>
      <c r="J1485">
        <v>16</v>
      </c>
      <c r="K1485" s="16">
        <v>91520</v>
      </c>
      <c r="L1485" s="16">
        <v>59010.239999999998</v>
      </c>
      <c r="M1485" s="16">
        <v>32509.759999999998</v>
      </c>
      <c r="N1485" t="s">
        <v>125</v>
      </c>
      <c r="O1485" t="s">
        <v>113</v>
      </c>
      <c r="P1485" t="str">
        <f t="shared" si="23"/>
        <v>Gurugram|Coffee Maker</v>
      </c>
    </row>
    <row r="1486" spans="1:16" x14ac:dyDescent="0.3">
      <c r="A1486" s="15">
        <v>46150</v>
      </c>
      <c r="B1486" t="s">
        <v>34</v>
      </c>
      <c r="C1486" t="s">
        <v>121</v>
      </c>
      <c r="D1486" t="s">
        <v>137</v>
      </c>
      <c r="E1486" t="s">
        <v>138</v>
      </c>
      <c r="F1486" t="s">
        <v>94</v>
      </c>
      <c r="G1486" t="s">
        <v>61</v>
      </c>
      <c r="H1486" t="s">
        <v>184</v>
      </c>
      <c r="I1486" t="s">
        <v>345</v>
      </c>
      <c r="J1486">
        <v>1</v>
      </c>
      <c r="K1486" s="16">
        <v>75660</v>
      </c>
      <c r="L1486" s="16">
        <v>61940.41</v>
      </c>
      <c r="M1486" s="16">
        <v>13719.59</v>
      </c>
      <c r="N1486" t="s">
        <v>141</v>
      </c>
      <c r="O1486" t="s">
        <v>119</v>
      </c>
      <c r="P1486" t="str">
        <f t="shared" si="23"/>
        <v>Cuttack|Laptop Pro</v>
      </c>
    </row>
    <row r="1487" spans="1:16" x14ac:dyDescent="0.3">
      <c r="A1487" s="15">
        <v>46025</v>
      </c>
      <c r="B1487" t="s">
        <v>114</v>
      </c>
      <c r="C1487" t="s">
        <v>126</v>
      </c>
      <c r="D1487" t="s">
        <v>162</v>
      </c>
      <c r="E1487" t="s">
        <v>204</v>
      </c>
      <c r="F1487" t="s">
        <v>94</v>
      </c>
      <c r="G1487" t="s">
        <v>64</v>
      </c>
      <c r="H1487" t="s">
        <v>110</v>
      </c>
      <c r="I1487" t="s">
        <v>377</v>
      </c>
      <c r="J1487">
        <v>12</v>
      </c>
      <c r="K1487" s="16">
        <v>252000</v>
      </c>
      <c r="L1487" s="16">
        <v>170304.33</v>
      </c>
      <c r="M1487" s="16">
        <v>81695.67</v>
      </c>
      <c r="N1487" t="s">
        <v>141</v>
      </c>
      <c r="O1487" t="s">
        <v>142</v>
      </c>
      <c r="P1487" t="str">
        <f t="shared" si="23"/>
        <v>Noida|Monitor 27</v>
      </c>
    </row>
    <row r="1488" spans="1:16" x14ac:dyDescent="0.3">
      <c r="A1488" s="15">
        <v>46234</v>
      </c>
      <c r="B1488" t="s">
        <v>34</v>
      </c>
      <c r="C1488" t="s">
        <v>107</v>
      </c>
      <c r="D1488" t="s">
        <v>108</v>
      </c>
      <c r="E1488" t="s">
        <v>109</v>
      </c>
      <c r="F1488" t="s">
        <v>96</v>
      </c>
      <c r="G1488" t="s">
        <v>80</v>
      </c>
      <c r="H1488" t="s">
        <v>184</v>
      </c>
      <c r="I1488" t="s">
        <v>343</v>
      </c>
      <c r="J1488">
        <v>9</v>
      </c>
      <c r="K1488" s="16">
        <v>103500</v>
      </c>
      <c r="L1488" s="16">
        <v>72068.22</v>
      </c>
      <c r="M1488" s="16">
        <v>31431.78</v>
      </c>
      <c r="N1488" t="s">
        <v>131</v>
      </c>
      <c r="O1488" t="s">
        <v>142</v>
      </c>
      <c r="P1488" t="str">
        <f t="shared" si="23"/>
        <v>Udaipur|Office Chair</v>
      </c>
    </row>
    <row r="1489" spans="1:16" x14ac:dyDescent="0.3">
      <c r="A1489" s="15">
        <v>46260</v>
      </c>
      <c r="B1489" t="s">
        <v>34</v>
      </c>
      <c r="C1489" t="s">
        <v>152</v>
      </c>
      <c r="D1489" t="s">
        <v>156</v>
      </c>
      <c r="E1489" t="s">
        <v>238</v>
      </c>
      <c r="F1489" t="s">
        <v>94</v>
      </c>
      <c r="G1489" t="s">
        <v>64</v>
      </c>
      <c r="H1489" t="s">
        <v>129</v>
      </c>
      <c r="I1489" t="s">
        <v>353</v>
      </c>
      <c r="J1489">
        <v>17</v>
      </c>
      <c r="K1489" s="16">
        <v>328440</v>
      </c>
      <c r="L1489" s="16">
        <v>204574.47</v>
      </c>
      <c r="M1489" s="16">
        <v>123865.53</v>
      </c>
      <c r="N1489" t="s">
        <v>125</v>
      </c>
      <c r="O1489" t="s">
        <v>142</v>
      </c>
      <c r="P1489" t="str">
        <f t="shared" si="23"/>
        <v>Bengaluru|Monitor 27</v>
      </c>
    </row>
    <row r="1490" spans="1:16" x14ac:dyDescent="0.3">
      <c r="A1490" s="15">
        <v>46229</v>
      </c>
      <c r="B1490" t="s">
        <v>34</v>
      </c>
      <c r="C1490" t="s">
        <v>152</v>
      </c>
      <c r="D1490" t="s">
        <v>153</v>
      </c>
      <c r="E1490" t="s">
        <v>169</v>
      </c>
      <c r="F1490" t="s">
        <v>96</v>
      </c>
      <c r="G1490" t="s">
        <v>84</v>
      </c>
      <c r="H1490" t="s">
        <v>110</v>
      </c>
      <c r="I1490" t="s">
        <v>263</v>
      </c>
      <c r="J1490">
        <v>8</v>
      </c>
      <c r="K1490" s="16">
        <v>116000</v>
      </c>
      <c r="L1490" s="16">
        <v>73397.11</v>
      </c>
      <c r="M1490" s="16">
        <v>42602.89</v>
      </c>
      <c r="N1490" t="s">
        <v>112</v>
      </c>
      <c r="O1490" t="s">
        <v>113</v>
      </c>
      <c r="P1490" t="str">
        <f t="shared" si="23"/>
        <v>Chennai|Filing Cabinet</v>
      </c>
    </row>
    <row r="1491" spans="1:16" x14ac:dyDescent="0.3">
      <c r="A1491" s="15">
        <v>46086</v>
      </c>
      <c r="B1491" t="s">
        <v>114</v>
      </c>
      <c r="C1491" t="s">
        <v>107</v>
      </c>
      <c r="D1491" t="s">
        <v>149</v>
      </c>
      <c r="E1491" t="s">
        <v>159</v>
      </c>
      <c r="F1491" t="s">
        <v>95</v>
      </c>
      <c r="G1491" t="s">
        <v>76</v>
      </c>
      <c r="H1491" t="s">
        <v>184</v>
      </c>
      <c r="I1491" t="s">
        <v>228</v>
      </c>
      <c r="J1491">
        <v>20</v>
      </c>
      <c r="K1491" s="16">
        <v>33120</v>
      </c>
      <c r="L1491" s="16">
        <v>21078.66</v>
      </c>
      <c r="M1491" s="16">
        <v>12041.34</v>
      </c>
      <c r="N1491" t="s">
        <v>141</v>
      </c>
      <c r="O1491" t="s">
        <v>142</v>
      </c>
      <c r="P1491" t="str">
        <f t="shared" si="23"/>
        <v>Pune|Mouse</v>
      </c>
    </row>
    <row r="1492" spans="1:16" x14ac:dyDescent="0.3">
      <c r="A1492" s="15">
        <v>46098</v>
      </c>
      <c r="B1492" t="s">
        <v>34</v>
      </c>
      <c r="C1492" t="s">
        <v>121</v>
      </c>
      <c r="D1492" t="s">
        <v>146</v>
      </c>
      <c r="E1492" t="s">
        <v>147</v>
      </c>
      <c r="F1492" t="s">
        <v>96</v>
      </c>
      <c r="G1492" t="s">
        <v>82</v>
      </c>
      <c r="H1492" t="s">
        <v>129</v>
      </c>
      <c r="I1492" t="s">
        <v>330</v>
      </c>
      <c r="J1492">
        <v>11</v>
      </c>
      <c r="K1492" s="16">
        <v>297825</v>
      </c>
      <c r="L1492" s="16">
        <v>205458.85</v>
      </c>
      <c r="M1492" s="16">
        <v>92366.15</v>
      </c>
      <c r="N1492" t="s">
        <v>141</v>
      </c>
      <c r="O1492" t="s">
        <v>142</v>
      </c>
      <c r="P1492" t="str">
        <f t="shared" si="23"/>
        <v>Guwahati|Standing Desk</v>
      </c>
    </row>
    <row r="1493" spans="1:16" x14ac:dyDescent="0.3">
      <c r="A1493" s="15">
        <v>46231</v>
      </c>
      <c r="B1493" t="s">
        <v>34</v>
      </c>
      <c r="C1493" t="s">
        <v>121</v>
      </c>
      <c r="D1493" t="s">
        <v>122</v>
      </c>
      <c r="E1493" t="s">
        <v>123</v>
      </c>
      <c r="F1493" t="s">
        <v>96</v>
      </c>
      <c r="G1493" t="s">
        <v>80</v>
      </c>
      <c r="H1493" t="s">
        <v>117</v>
      </c>
      <c r="I1493" t="s">
        <v>331</v>
      </c>
      <c r="J1493">
        <v>13</v>
      </c>
      <c r="K1493" s="16">
        <v>162500</v>
      </c>
      <c r="L1493" s="16">
        <v>124904.21</v>
      </c>
      <c r="M1493" s="16">
        <v>37595.79</v>
      </c>
      <c r="N1493" t="s">
        <v>112</v>
      </c>
      <c r="O1493" t="s">
        <v>113</v>
      </c>
      <c r="P1493" t="str">
        <f t="shared" si="23"/>
        <v>Durgapur|Office Chair</v>
      </c>
    </row>
    <row r="1494" spans="1:16" x14ac:dyDescent="0.3">
      <c r="A1494" s="15">
        <v>46079</v>
      </c>
      <c r="B1494" t="s">
        <v>34</v>
      </c>
      <c r="C1494" t="s">
        <v>152</v>
      </c>
      <c r="D1494" t="s">
        <v>156</v>
      </c>
      <c r="E1494" t="s">
        <v>238</v>
      </c>
      <c r="F1494" t="s">
        <v>96</v>
      </c>
      <c r="G1494" t="s">
        <v>83</v>
      </c>
      <c r="H1494" t="s">
        <v>184</v>
      </c>
      <c r="I1494" t="s">
        <v>374</v>
      </c>
      <c r="J1494">
        <v>5</v>
      </c>
      <c r="K1494" s="16">
        <v>158400</v>
      </c>
      <c r="L1494" s="16">
        <v>102919.42</v>
      </c>
      <c r="M1494" s="16">
        <v>55480.58</v>
      </c>
      <c r="N1494" t="s">
        <v>125</v>
      </c>
      <c r="O1494" t="s">
        <v>113</v>
      </c>
      <c r="P1494" t="str">
        <f t="shared" si="23"/>
        <v>Bengaluru|Meeting Table</v>
      </c>
    </row>
    <row r="1495" spans="1:16" x14ac:dyDescent="0.3">
      <c r="A1495" s="15">
        <v>46030</v>
      </c>
      <c r="B1495" t="s">
        <v>34</v>
      </c>
      <c r="C1495" t="s">
        <v>152</v>
      </c>
      <c r="D1495" t="s">
        <v>156</v>
      </c>
      <c r="E1495" t="s">
        <v>238</v>
      </c>
      <c r="F1495" t="s">
        <v>97</v>
      </c>
      <c r="G1495" t="s">
        <v>87</v>
      </c>
      <c r="H1495" t="s">
        <v>117</v>
      </c>
      <c r="I1495" t="s">
        <v>389</v>
      </c>
      <c r="J1495">
        <v>18</v>
      </c>
      <c r="K1495" s="16">
        <v>198000</v>
      </c>
      <c r="L1495" s="16">
        <v>138006.39000000001</v>
      </c>
      <c r="M1495" s="16">
        <v>59993.61</v>
      </c>
      <c r="N1495" t="s">
        <v>125</v>
      </c>
      <c r="O1495" t="s">
        <v>119</v>
      </c>
      <c r="P1495" t="str">
        <f t="shared" si="23"/>
        <v>Bengaluru|Microwave</v>
      </c>
    </row>
    <row r="1496" spans="1:16" x14ac:dyDescent="0.3">
      <c r="A1496" s="15">
        <v>46039</v>
      </c>
      <c r="B1496" t="s">
        <v>34</v>
      </c>
      <c r="C1496" t="s">
        <v>126</v>
      </c>
      <c r="D1496" t="s">
        <v>196</v>
      </c>
      <c r="E1496" t="s">
        <v>197</v>
      </c>
      <c r="F1496" t="s">
        <v>96</v>
      </c>
      <c r="G1496" t="s">
        <v>82</v>
      </c>
      <c r="H1496" t="s">
        <v>135</v>
      </c>
      <c r="I1496" t="s">
        <v>364</v>
      </c>
      <c r="J1496">
        <v>9</v>
      </c>
      <c r="K1496" s="16">
        <v>243675</v>
      </c>
      <c r="L1496" s="16">
        <v>185058.72</v>
      </c>
      <c r="M1496" s="16">
        <v>58616.28</v>
      </c>
      <c r="N1496" t="s">
        <v>141</v>
      </c>
      <c r="O1496" t="s">
        <v>113</v>
      </c>
      <c r="P1496" t="str">
        <f t="shared" si="23"/>
        <v>Dwarka|Standing Desk</v>
      </c>
    </row>
    <row r="1497" spans="1:16" x14ac:dyDescent="0.3">
      <c r="A1497" s="15">
        <v>46161</v>
      </c>
      <c r="B1497" t="s">
        <v>34</v>
      </c>
      <c r="C1497" t="s">
        <v>107</v>
      </c>
      <c r="D1497" t="s">
        <v>149</v>
      </c>
      <c r="E1497" t="s">
        <v>159</v>
      </c>
      <c r="F1497" t="s">
        <v>95</v>
      </c>
      <c r="G1497" t="s">
        <v>78</v>
      </c>
      <c r="H1497" t="s">
        <v>110</v>
      </c>
      <c r="I1497" t="s">
        <v>370</v>
      </c>
      <c r="J1497">
        <v>14</v>
      </c>
      <c r="K1497" s="16">
        <v>55860</v>
      </c>
      <c r="L1497" s="16">
        <v>39572.18</v>
      </c>
      <c r="M1497" s="16">
        <v>16287.82</v>
      </c>
      <c r="N1497" t="s">
        <v>125</v>
      </c>
      <c r="O1497" t="s">
        <v>113</v>
      </c>
      <c r="P1497" t="str">
        <f t="shared" si="23"/>
        <v>Pune|Webcam</v>
      </c>
    </row>
    <row r="1498" spans="1:16" x14ac:dyDescent="0.3">
      <c r="A1498" s="15">
        <v>46053</v>
      </c>
      <c r="B1498" t="s">
        <v>114</v>
      </c>
      <c r="C1498" t="s">
        <v>107</v>
      </c>
      <c r="D1498" t="s">
        <v>108</v>
      </c>
      <c r="E1498" t="s">
        <v>109</v>
      </c>
      <c r="F1498" t="s">
        <v>97</v>
      </c>
      <c r="G1498" t="s">
        <v>86</v>
      </c>
      <c r="H1498" t="s">
        <v>110</v>
      </c>
      <c r="I1498" t="s">
        <v>306</v>
      </c>
      <c r="J1498">
        <v>15</v>
      </c>
      <c r="K1498" s="16">
        <v>97500</v>
      </c>
      <c r="L1498" s="16">
        <v>60568.959999999999</v>
      </c>
      <c r="M1498" s="16">
        <v>36931.040000000001</v>
      </c>
      <c r="N1498" t="s">
        <v>112</v>
      </c>
      <c r="O1498" t="s">
        <v>113</v>
      </c>
      <c r="P1498" t="str">
        <f t="shared" si="23"/>
        <v>Udaipur|Coffee Maker</v>
      </c>
    </row>
    <row r="1499" spans="1:16" x14ac:dyDescent="0.3">
      <c r="A1499" s="15">
        <v>46051</v>
      </c>
      <c r="B1499" t="s">
        <v>34</v>
      </c>
      <c r="C1499" t="s">
        <v>121</v>
      </c>
      <c r="D1499" t="s">
        <v>137</v>
      </c>
      <c r="E1499" t="s">
        <v>138</v>
      </c>
      <c r="F1499" t="s">
        <v>96</v>
      </c>
      <c r="G1499" t="s">
        <v>83</v>
      </c>
      <c r="H1499" t="s">
        <v>110</v>
      </c>
      <c r="I1499" t="s">
        <v>304</v>
      </c>
      <c r="J1499">
        <v>4</v>
      </c>
      <c r="K1499" s="16">
        <v>139680</v>
      </c>
      <c r="L1499" s="16">
        <v>96691.74</v>
      </c>
      <c r="M1499" s="16">
        <v>42988.26</v>
      </c>
      <c r="N1499" t="s">
        <v>141</v>
      </c>
      <c r="O1499" t="s">
        <v>113</v>
      </c>
      <c r="P1499" t="str">
        <f t="shared" si="23"/>
        <v>Cuttack|Meeting Table</v>
      </c>
    </row>
    <row r="1500" spans="1:16" x14ac:dyDescent="0.3">
      <c r="A1500" s="15">
        <v>46196</v>
      </c>
      <c r="B1500" t="s">
        <v>120</v>
      </c>
      <c r="C1500" t="s">
        <v>107</v>
      </c>
      <c r="D1500" t="s">
        <v>115</v>
      </c>
      <c r="E1500" t="s">
        <v>116</v>
      </c>
      <c r="F1500" t="s">
        <v>95</v>
      </c>
      <c r="G1500" t="s">
        <v>74</v>
      </c>
      <c r="H1500" t="s">
        <v>133</v>
      </c>
      <c r="I1500" t="s">
        <v>413</v>
      </c>
      <c r="J1500">
        <v>16</v>
      </c>
      <c r="K1500" s="16">
        <v>74496</v>
      </c>
      <c r="L1500" s="16">
        <v>51161.43</v>
      </c>
      <c r="M1500" s="16">
        <v>23334.57</v>
      </c>
      <c r="N1500" t="s">
        <v>125</v>
      </c>
      <c r="O1500" t="s">
        <v>113</v>
      </c>
      <c r="P1500" t="str">
        <f t="shared" si="23"/>
        <v>Ahmedabad|Headset</v>
      </c>
    </row>
    <row r="1501" spans="1:16" x14ac:dyDescent="0.3">
      <c r="A1501" s="15">
        <v>46203</v>
      </c>
      <c r="B1501" t="s">
        <v>34</v>
      </c>
      <c r="C1501" t="s">
        <v>121</v>
      </c>
      <c r="D1501" t="s">
        <v>146</v>
      </c>
      <c r="E1501" t="s">
        <v>147</v>
      </c>
      <c r="F1501" t="s">
        <v>97</v>
      </c>
      <c r="G1501" t="s">
        <v>86</v>
      </c>
      <c r="H1501" t="s">
        <v>110</v>
      </c>
      <c r="I1501" t="s">
        <v>205</v>
      </c>
      <c r="J1501">
        <v>13</v>
      </c>
      <c r="K1501" s="16">
        <v>80275</v>
      </c>
      <c r="L1501" s="16">
        <v>62548.56</v>
      </c>
      <c r="M1501" s="16">
        <v>17726.439999999999</v>
      </c>
      <c r="N1501" t="s">
        <v>125</v>
      </c>
      <c r="O1501" t="s">
        <v>113</v>
      </c>
      <c r="P1501" t="str">
        <f t="shared" si="23"/>
        <v>Guwahati|Coffee Maker</v>
      </c>
    </row>
    <row r="1502" spans="1:16" x14ac:dyDescent="0.3">
      <c r="A1502" s="15">
        <v>46113</v>
      </c>
      <c r="B1502" t="s">
        <v>120</v>
      </c>
      <c r="C1502" t="s">
        <v>126</v>
      </c>
      <c r="D1502" t="s">
        <v>127</v>
      </c>
      <c r="E1502" t="s">
        <v>128</v>
      </c>
      <c r="F1502" t="s">
        <v>94</v>
      </c>
      <c r="G1502" t="s">
        <v>61</v>
      </c>
      <c r="H1502" t="s">
        <v>139</v>
      </c>
      <c r="I1502" t="s">
        <v>124</v>
      </c>
      <c r="J1502">
        <v>8</v>
      </c>
      <c r="K1502" s="16">
        <v>549120</v>
      </c>
      <c r="L1502" s="16">
        <v>410548.42</v>
      </c>
      <c r="M1502" s="16">
        <v>138571.57999999999</v>
      </c>
      <c r="N1502" t="s">
        <v>125</v>
      </c>
      <c r="O1502" t="s">
        <v>113</v>
      </c>
      <c r="P1502" t="str">
        <f t="shared" si="23"/>
        <v>Gurugram|Laptop Pro</v>
      </c>
    </row>
    <row r="1503" spans="1:16" x14ac:dyDescent="0.3">
      <c r="A1503" s="15">
        <v>46082</v>
      </c>
      <c r="B1503" t="s">
        <v>34</v>
      </c>
      <c r="C1503" t="s">
        <v>152</v>
      </c>
      <c r="D1503" t="s">
        <v>156</v>
      </c>
      <c r="E1503" t="s">
        <v>238</v>
      </c>
      <c r="F1503" t="s">
        <v>94</v>
      </c>
      <c r="G1503" t="s">
        <v>70</v>
      </c>
      <c r="H1503" t="s">
        <v>139</v>
      </c>
      <c r="I1503" t="s">
        <v>346</v>
      </c>
      <c r="J1503">
        <v>17</v>
      </c>
      <c r="K1503" s="16">
        <v>263500</v>
      </c>
      <c r="L1503" s="16">
        <v>175525.94</v>
      </c>
      <c r="M1503" s="16">
        <v>87974.06</v>
      </c>
      <c r="N1503" t="s">
        <v>131</v>
      </c>
      <c r="O1503" t="s">
        <v>119</v>
      </c>
      <c r="P1503" t="str">
        <f t="shared" si="23"/>
        <v>Bengaluru|Printer Pro</v>
      </c>
    </row>
    <row r="1504" spans="1:16" x14ac:dyDescent="0.3">
      <c r="A1504" s="15">
        <v>46071</v>
      </c>
      <c r="B1504" t="s">
        <v>34</v>
      </c>
      <c r="C1504" t="s">
        <v>107</v>
      </c>
      <c r="D1504" t="s">
        <v>149</v>
      </c>
      <c r="E1504" t="s">
        <v>159</v>
      </c>
      <c r="F1504" t="s">
        <v>96</v>
      </c>
      <c r="G1504" t="s">
        <v>84</v>
      </c>
      <c r="H1504" t="s">
        <v>133</v>
      </c>
      <c r="I1504" t="s">
        <v>322</v>
      </c>
      <c r="J1504">
        <v>9</v>
      </c>
      <c r="K1504" s="16">
        <v>130500</v>
      </c>
      <c r="L1504" s="16">
        <v>83446.05</v>
      </c>
      <c r="M1504" s="16">
        <v>47053.95</v>
      </c>
      <c r="N1504" t="s">
        <v>112</v>
      </c>
      <c r="O1504" t="s">
        <v>113</v>
      </c>
      <c r="P1504" t="str">
        <f t="shared" si="23"/>
        <v>Pune|Filing Cabinet</v>
      </c>
    </row>
  </sheetData>
  <mergeCells count="2">
    <mergeCell ref="A1:P1"/>
    <mergeCell ref="A2:P2"/>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Z47"/>
  <sheetViews>
    <sheetView showGridLines="0" workbookViewId="0">
      <pane ySplit="4" topLeftCell="A5" activePane="bottomLeft" state="frozen"/>
      <selection pane="bottomLeft" activeCell="C11" sqref="C11"/>
    </sheetView>
  </sheetViews>
  <sheetFormatPr defaultRowHeight="14.4" x14ac:dyDescent="0.3"/>
  <cols>
    <col min="1" max="1" width="22" customWidth="1"/>
    <col min="2" max="2" width="20" customWidth="1"/>
    <col min="3" max="3" width="16" customWidth="1"/>
    <col min="4" max="4" width="20" customWidth="1"/>
    <col min="5" max="5" width="16" customWidth="1"/>
    <col min="6" max="6" width="18" customWidth="1"/>
    <col min="7" max="13" width="16" customWidth="1"/>
    <col min="14" max="17" width="22" customWidth="1"/>
  </cols>
  <sheetData>
    <row r="1" spans="1:18" ht="21.6" customHeight="1" x14ac:dyDescent="0.3">
      <c r="A1" s="19" t="s">
        <v>414</v>
      </c>
      <c r="B1" s="20"/>
      <c r="C1" s="20"/>
      <c r="D1" s="20"/>
      <c r="E1" s="20"/>
      <c r="F1" s="20"/>
      <c r="G1" s="20"/>
      <c r="H1" s="20"/>
      <c r="I1" s="20"/>
      <c r="J1" s="20"/>
      <c r="K1" s="20"/>
      <c r="L1" s="20"/>
    </row>
    <row r="2" spans="1:18" x14ac:dyDescent="0.3">
      <c r="A2" s="22" t="s">
        <v>415</v>
      </c>
      <c r="B2" s="20"/>
      <c r="C2" s="20"/>
      <c r="D2" s="20"/>
      <c r="E2" s="20"/>
      <c r="F2" s="20"/>
      <c r="G2" s="20"/>
      <c r="H2" s="20"/>
      <c r="I2" s="20"/>
      <c r="J2" s="20"/>
      <c r="K2" s="20"/>
      <c r="L2" s="20"/>
    </row>
    <row r="4" spans="1:18" ht="28.8" x14ac:dyDescent="0.3">
      <c r="A4" s="11" t="s">
        <v>55</v>
      </c>
      <c r="B4" s="11" t="s">
        <v>43</v>
      </c>
      <c r="C4" s="11" t="s">
        <v>65</v>
      </c>
      <c r="D4" s="11" t="s">
        <v>416</v>
      </c>
      <c r="F4" s="3" t="s">
        <v>417</v>
      </c>
      <c r="N4" s="2" t="s">
        <v>418</v>
      </c>
      <c r="O4" s="2" t="s">
        <v>419</v>
      </c>
      <c r="P4" s="2" t="s">
        <v>420</v>
      </c>
      <c r="Q4" s="2" t="s">
        <v>421</v>
      </c>
      <c r="R4" s="2" t="s">
        <v>422</v>
      </c>
    </row>
    <row r="5" spans="1:18" ht="28.8" x14ac:dyDescent="0.3">
      <c r="A5" s="2" t="s">
        <v>61</v>
      </c>
      <c r="B5" s="2" t="s">
        <v>94</v>
      </c>
      <c r="C5" s="13">
        <v>78000</v>
      </c>
      <c r="D5" s="2" t="s">
        <v>423</v>
      </c>
      <c r="F5" s="2" t="s">
        <v>37</v>
      </c>
      <c r="H5" s="2" t="s">
        <v>34</v>
      </c>
      <c r="J5" s="2" t="s">
        <v>37</v>
      </c>
      <c r="L5" s="2" t="s">
        <v>424</v>
      </c>
      <c r="N5" s="2" t="s">
        <v>196</v>
      </c>
      <c r="O5" s="2" t="s">
        <v>196</v>
      </c>
      <c r="P5" s="2" t="s">
        <v>156</v>
      </c>
      <c r="Q5" s="2" t="s">
        <v>149</v>
      </c>
      <c r="R5" s="2" t="s">
        <v>122</v>
      </c>
    </row>
    <row r="6" spans="1:18" x14ac:dyDescent="0.3">
      <c r="A6" s="2" t="s">
        <v>64</v>
      </c>
      <c r="B6" s="2" t="s">
        <v>94</v>
      </c>
      <c r="C6" s="13">
        <v>21000</v>
      </c>
      <c r="D6" s="2" t="s">
        <v>423</v>
      </c>
      <c r="F6" s="2" t="s">
        <v>126</v>
      </c>
      <c r="H6" s="2" t="s">
        <v>114</v>
      </c>
      <c r="J6" s="2" t="s">
        <v>45</v>
      </c>
      <c r="L6" s="2" t="s">
        <v>425</v>
      </c>
      <c r="N6" s="2" t="s">
        <v>127</v>
      </c>
      <c r="O6" s="2" t="s">
        <v>127</v>
      </c>
      <c r="P6" s="2" t="s">
        <v>153</v>
      </c>
      <c r="Q6" s="2" t="s">
        <v>115</v>
      </c>
      <c r="R6" s="2" t="s">
        <v>137</v>
      </c>
    </row>
    <row r="7" spans="1:18" x14ac:dyDescent="0.3">
      <c r="A7" s="2" t="s">
        <v>67</v>
      </c>
      <c r="B7" s="2" t="s">
        <v>94</v>
      </c>
      <c r="C7" s="13">
        <v>33000</v>
      </c>
      <c r="D7" s="2" t="s">
        <v>426</v>
      </c>
      <c r="F7" s="2" t="s">
        <v>152</v>
      </c>
      <c r="H7" s="2" t="s">
        <v>120</v>
      </c>
      <c r="J7" s="2" t="s">
        <v>56</v>
      </c>
      <c r="L7" s="2" t="s">
        <v>47</v>
      </c>
      <c r="N7" s="2" t="s">
        <v>162</v>
      </c>
      <c r="O7" s="2" t="s">
        <v>162</v>
      </c>
      <c r="P7" s="2" t="s">
        <v>187</v>
      </c>
      <c r="Q7" s="2" t="s">
        <v>108</v>
      </c>
      <c r="R7" s="2" t="s">
        <v>146</v>
      </c>
    </row>
    <row r="8" spans="1:18" x14ac:dyDescent="0.3">
      <c r="A8" s="2" t="s">
        <v>70</v>
      </c>
      <c r="B8" s="2" t="s">
        <v>94</v>
      </c>
      <c r="C8" s="13">
        <v>15500</v>
      </c>
      <c r="D8" s="2" t="s">
        <v>427</v>
      </c>
      <c r="F8" s="2" t="s">
        <v>107</v>
      </c>
      <c r="J8" s="2" t="s">
        <v>57</v>
      </c>
      <c r="N8" s="2" t="s">
        <v>156</v>
      </c>
    </row>
    <row r="9" spans="1:18" x14ac:dyDescent="0.3">
      <c r="A9" s="2" t="s">
        <v>72</v>
      </c>
      <c r="B9" s="2" t="s">
        <v>95</v>
      </c>
      <c r="C9" s="13">
        <v>3200</v>
      </c>
      <c r="D9" s="2" t="s">
        <v>428</v>
      </c>
      <c r="F9" s="2" t="s">
        <v>121</v>
      </c>
      <c r="N9" s="2" t="s">
        <v>153</v>
      </c>
    </row>
    <row r="10" spans="1:18" x14ac:dyDescent="0.3">
      <c r="A10" s="2" t="s">
        <v>74</v>
      </c>
      <c r="B10" s="2" t="s">
        <v>95</v>
      </c>
      <c r="C10" s="13">
        <v>4800</v>
      </c>
      <c r="D10" s="2" t="s">
        <v>427</v>
      </c>
      <c r="N10" s="2" t="s">
        <v>187</v>
      </c>
    </row>
    <row r="11" spans="1:18" x14ac:dyDescent="0.3">
      <c r="A11" s="2" t="s">
        <v>76</v>
      </c>
      <c r="B11" s="2" t="s">
        <v>95</v>
      </c>
      <c r="C11" s="13">
        <v>1800</v>
      </c>
      <c r="D11" s="2" t="s">
        <v>429</v>
      </c>
      <c r="N11" s="2" t="s">
        <v>149</v>
      </c>
    </row>
    <row r="12" spans="1:18" x14ac:dyDescent="0.3">
      <c r="A12" s="2" t="s">
        <v>78</v>
      </c>
      <c r="B12" s="2" t="s">
        <v>95</v>
      </c>
      <c r="C12" s="13">
        <v>4200</v>
      </c>
      <c r="D12" s="2" t="s">
        <v>428</v>
      </c>
      <c r="N12" s="2" t="s">
        <v>115</v>
      </c>
    </row>
    <row r="13" spans="1:18" x14ac:dyDescent="0.3">
      <c r="A13" s="2" t="s">
        <v>80</v>
      </c>
      <c r="B13" s="2" t="s">
        <v>96</v>
      </c>
      <c r="C13" s="13">
        <v>12500</v>
      </c>
      <c r="D13" s="2" t="s">
        <v>430</v>
      </c>
      <c r="N13" s="2" t="s">
        <v>108</v>
      </c>
    </row>
    <row r="14" spans="1:18" x14ac:dyDescent="0.3">
      <c r="A14" s="2" t="s">
        <v>82</v>
      </c>
      <c r="B14" s="2" t="s">
        <v>96</v>
      </c>
      <c r="C14" s="13">
        <v>28500</v>
      </c>
      <c r="D14" s="2" t="s">
        <v>430</v>
      </c>
      <c r="N14" s="2" t="s">
        <v>122</v>
      </c>
    </row>
    <row r="15" spans="1:18" x14ac:dyDescent="0.3">
      <c r="A15" s="2" t="s">
        <v>83</v>
      </c>
      <c r="B15" s="2" t="s">
        <v>96</v>
      </c>
      <c r="C15" s="13">
        <v>36000</v>
      </c>
      <c r="D15" s="2" t="s">
        <v>423</v>
      </c>
      <c r="N15" s="2" t="s">
        <v>137</v>
      </c>
    </row>
    <row r="16" spans="1:18" x14ac:dyDescent="0.3">
      <c r="A16" s="2" t="s">
        <v>84</v>
      </c>
      <c r="B16" s="2" t="s">
        <v>96</v>
      </c>
      <c r="C16" s="13">
        <v>14500</v>
      </c>
      <c r="D16" s="2" t="s">
        <v>429</v>
      </c>
      <c r="N16" s="2" t="s">
        <v>146</v>
      </c>
    </row>
    <row r="17" spans="1:26" x14ac:dyDescent="0.3">
      <c r="A17" s="2" t="s">
        <v>85</v>
      </c>
      <c r="B17" s="2" t="s">
        <v>97</v>
      </c>
      <c r="C17" s="13">
        <v>18000</v>
      </c>
      <c r="D17" s="2" t="s">
        <v>426</v>
      </c>
    </row>
    <row r="18" spans="1:26" x14ac:dyDescent="0.3">
      <c r="A18" s="2" t="s">
        <v>86</v>
      </c>
      <c r="B18" s="2" t="s">
        <v>97</v>
      </c>
      <c r="C18" s="13">
        <v>6500</v>
      </c>
      <c r="D18" s="2" t="s">
        <v>431</v>
      </c>
    </row>
    <row r="19" spans="1:26" x14ac:dyDescent="0.3">
      <c r="A19" s="2" t="s">
        <v>87</v>
      </c>
      <c r="B19" s="2" t="s">
        <v>97</v>
      </c>
      <c r="C19" s="13">
        <v>12500</v>
      </c>
      <c r="D19" s="2" t="s">
        <v>426</v>
      </c>
    </row>
    <row r="20" spans="1:26" ht="43.2" x14ac:dyDescent="0.3">
      <c r="A20" s="2" t="s">
        <v>88</v>
      </c>
      <c r="B20" s="2" t="s">
        <v>97</v>
      </c>
      <c r="C20" s="13">
        <v>14500</v>
      </c>
      <c r="D20" s="2" t="s">
        <v>429</v>
      </c>
      <c r="N20" s="2" t="s">
        <v>432</v>
      </c>
      <c r="O20" s="2" t="s">
        <v>433</v>
      </c>
      <c r="P20" s="2" t="s">
        <v>434</v>
      </c>
      <c r="Q20" s="2" t="s">
        <v>435</v>
      </c>
      <c r="R20" s="2" t="s">
        <v>436</v>
      </c>
      <c r="S20" s="2" t="s">
        <v>437</v>
      </c>
      <c r="T20" s="2" t="s">
        <v>438</v>
      </c>
      <c r="U20" s="2" t="s">
        <v>439</v>
      </c>
      <c r="V20" s="2" t="s">
        <v>440</v>
      </c>
      <c r="W20" s="2" t="s">
        <v>441</v>
      </c>
      <c r="X20" s="2" t="s">
        <v>442</v>
      </c>
      <c r="Y20" s="2" t="s">
        <v>443</v>
      </c>
      <c r="Z20" s="2" t="s">
        <v>444</v>
      </c>
    </row>
    <row r="21" spans="1:26" ht="28.8" x14ac:dyDescent="0.3">
      <c r="N21" s="2" t="s">
        <v>116</v>
      </c>
      <c r="O21" s="2" t="s">
        <v>208</v>
      </c>
      <c r="P21" s="2" t="s">
        <v>128</v>
      </c>
      <c r="Q21" s="2" t="s">
        <v>163</v>
      </c>
      <c r="R21" s="2" t="s">
        <v>238</v>
      </c>
      <c r="S21" s="2" t="s">
        <v>169</v>
      </c>
      <c r="T21" s="2" t="s">
        <v>199</v>
      </c>
      <c r="U21" s="2" t="s">
        <v>150</v>
      </c>
      <c r="V21" s="2" t="s">
        <v>116</v>
      </c>
      <c r="W21" s="2" t="s">
        <v>132</v>
      </c>
      <c r="X21" s="2" t="s">
        <v>166</v>
      </c>
      <c r="Y21" s="2" t="s">
        <v>171</v>
      </c>
      <c r="Z21" s="2" t="s">
        <v>147</v>
      </c>
    </row>
    <row r="22" spans="1:26" ht="28.8" x14ac:dyDescent="0.3">
      <c r="N22" s="2" t="s">
        <v>238</v>
      </c>
      <c r="O22" s="2" t="s">
        <v>197</v>
      </c>
      <c r="P22" s="2" t="s">
        <v>143</v>
      </c>
      <c r="Q22" s="2" t="s">
        <v>204</v>
      </c>
      <c r="R22" s="2" t="s">
        <v>157</v>
      </c>
      <c r="S22" s="2" t="s">
        <v>154</v>
      </c>
      <c r="T22" s="2" t="s">
        <v>188</v>
      </c>
      <c r="U22" s="2" t="s">
        <v>159</v>
      </c>
      <c r="V22" s="2" t="s">
        <v>191</v>
      </c>
      <c r="W22" s="2" t="s">
        <v>109</v>
      </c>
      <c r="X22" s="2" t="s">
        <v>123</v>
      </c>
      <c r="Y22" s="2" t="s">
        <v>138</v>
      </c>
      <c r="Z22" s="2" t="s">
        <v>175</v>
      </c>
    </row>
    <row r="23" spans="1:26" x14ac:dyDescent="0.3">
      <c r="A23" s="10" t="s">
        <v>42</v>
      </c>
      <c r="B23" s="10" t="s">
        <v>39</v>
      </c>
      <c r="C23" s="10" t="s">
        <v>36</v>
      </c>
      <c r="D23" s="10" t="s">
        <v>445</v>
      </c>
      <c r="N23" s="2" t="s">
        <v>171</v>
      </c>
    </row>
    <row r="24" spans="1:26" x14ac:dyDescent="0.3">
      <c r="A24" s="2" t="s">
        <v>208</v>
      </c>
      <c r="B24" s="2" t="s">
        <v>196</v>
      </c>
      <c r="C24" s="2" t="s">
        <v>126</v>
      </c>
      <c r="D24" s="2" t="s">
        <v>446</v>
      </c>
      <c r="N24" s="2" t="s">
        <v>169</v>
      </c>
    </row>
    <row r="25" spans="1:26" x14ac:dyDescent="0.3">
      <c r="A25" s="2" t="s">
        <v>197</v>
      </c>
      <c r="B25" s="2" t="s">
        <v>196</v>
      </c>
      <c r="C25" s="2" t="s">
        <v>126</v>
      </c>
      <c r="D25" s="2" t="s">
        <v>447</v>
      </c>
      <c r="N25" s="2" t="s">
        <v>154</v>
      </c>
    </row>
    <row r="26" spans="1:26" x14ac:dyDescent="0.3">
      <c r="A26" s="2" t="s">
        <v>128</v>
      </c>
      <c r="B26" s="2" t="s">
        <v>127</v>
      </c>
      <c r="C26" s="2" t="s">
        <v>126</v>
      </c>
      <c r="D26" s="2" t="s">
        <v>446</v>
      </c>
      <c r="N26" s="2" t="s">
        <v>138</v>
      </c>
    </row>
    <row r="27" spans="1:26" x14ac:dyDescent="0.3">
      <c r="A27" s="2" t="s">
        <v>143</v>
      </c>
      <c r="B27" s="2" t="s">
        <v>127</v>
      </c>
      <c r="C27" s="2" t="s">
        <v>126</v>
      </c>
      <c r="D27" s="2" t="s">
        <v>448</v>
      </c>
      <c r="N27" s="2" t="s">
        <v>175</v>
      </c>
    </row>
    <row r="28" spans="1:26" x14ac:dyDescent="0.3">
      <c r="A28" s="2" t="s">
        <v>163</v>
      </c>
      <c r="B28" s="2" t="s">
        <v>162</v>
      </c>
      <c r="C28" s="2" t="s">
        <v>126</v>
      </c>
      <c r="D28" s="2" t="s">
        <v>447</v>
      </c>
      <c r="N28" s="2" t="s">
        <v>123</v>
      </c>
    </row>
    <row r="29" spans="1:26" x14ac:dyDescent="0.3">
      <c r="A29" s="2" t="s">
        <v>204</v>
      </c>
      <c r="B29" s="2" t="s">
        <v>162</v>
      </c>
      <c r="C29" s="2" t="s">
        <v>126</v>
      </c>
      <c r="D29" s="2" t="s">
        <v>446</v>
      </c>
      <c r="N29" s="2" t="s">
        <v>197</v>
      </c>
    </row>
    <row r="30" spans="1:26" x14ac:dyDescent="0.3">
      <c r="A30" s="2" t="s">
        <v>238</v>
      </c>
      <c r="B30" s="2" t="s">
        <v>156</v>
      </c>
      <c r="C30" s="2" t="s">
        <v>152</v>
      </c>
      <c r="D30" s="2" t="s">
        <v>447</v>
      </c>
      <c r="N30" s="2" t="s">
        <v>143</v>
      </c>
    </row>
    <row r="31" spans="1:26" x14ac:dyDescent="0.3">
      <c r="A31" s="2" t="s">
        <v>157</v>
      </c>
      <c r="B31" s="2" t="s">
        <v>156</v>
      </c>
      <c r="C31" s="2" t="s">
        <v>152</v>
      </c>
      <c r="D31" s="2" t="s">
        <v>448</v>
      </c>
      <c r="N31" s="2" t="s">
        <v>128</v>
      </c>
    </row>
    <row r="32" spans="1:26" x14ac:dyDescent="0.3">
      <c r="A32" s="2" t="s">
        <v>169</v>
      </c>
      <c r="B32" s="2" t="s">
        <v>153</v>
      </c>
      <c r="C32" s="2" t="s">
        <v>152</v>
      </c>
      <c r="D32" s="2" t="s">
        <v>449</v>
      </c>
      <c r="N32" s="2" t="s">
        <v>147</v>
      </c>
    </row>
    <row r="33" spans="1:14" x14ac:dyDescent="0.3">
      <c r="A33" s="2" t="s">
        <v>154</v>
      </c>
      <c r="B33" s="2" t="s">
        <v>153</v>
      </c>
      <c r="C33" s="2" t="s">
        <v>152</v>
      </c>
      <c r="D33" s="2" t="s">
        <v>449</v>
      </c>
      <c r="N33" s="2" t="s">
        <v>199</v>
      </c>
    </row>
    <row r="34" spans="1:14" x14ac:dyDescent="0.3">
      <c r="A34" s="2" t="s">
        <v>199</v>
      </c>
      <c r="B34" s="2" t="s">
        <v>187</v>
      </c>
      <c r="C34" s="2" t="s">
        <v>152</v>
      </c>
      <c r="D34" s="2" t="s">
        <v>449</v>
      </c>
      <c r="N34" s="2" t="s">
        <v>132</v>
      </c>
    </row>
    <row r="35" spans="1:14" x14ac:dyDescent="0.3">
      <c r="A35" s="2" t="s">
        <v>188</v>
      </c>
      <c r="B35" s="2" t="s">
        <v>187</v>
      </c>
      <c r="C35" s="2" t="s">
        <v>152</v>
      </c>
      <c r="D35" s="2" t="s">
        <v>450</v>
      </c>
      <c r="N35" s="2" t="s">
        <v>166</v>
      </c>
    </row>
    <row r="36" spans="1:14" x14ac:dyDescent="0.3">
      <c r="A36" s="2" t="s">
        <v>150</v>
      </c>
      <c r="B36" s="2" t="s">
        <v>149</v>
      </c>
      <c r="C36" s="2" t="s">
        <v>107</v>
      </c>
      <c r="D36" s="2" t="s">
        <v>446</v>
      </c>
      <c r="N36" s="2" t="s">
        <v>163</v>
      </c>
    </row>
    <row r="37" spans="1:14" x14ac:dyDescent="0.3">
      <c r="A37" s="2" t="s">
        <v>159</v>
      </c>
      <c r="B37" s="2" t="s">
        <v>149</v>
      </c>
      <c r="C37" s="2" t="s">
        <v>107</v>
      </c>
      <c r="D37" s="2" t="s">
        <v>451</v>
      </c>
      <c r="N37" s="2" t="s">
        <v>150</v>
      </c>
    </row>
    <row r="38" spans="1:14" x14ac:dyDescent="0.3">
      <c r="A38" s="2" t="s">
        <v>116</v>
      </c>
      <c r="B38" s="2" t="s">
        <v>115</v>
      </c>
      <c r="C38" s="2" t="s">
        <v>107</v>
      </c>
      <c r="D38" s="2" t="s">
        <v>451</v>
      </c>
      <c r="N38" s="2" t="s">
        <v>157</v>
      </c>
    </row>
    <row r="39" spans="1:14" x14ac:dyDescent="0.3">
      <c r="A39" s="2" t="s">
        <v>191</v>
      </c>
      <c r="B39" s="2" t="s">
        <v>115</v>
      </c>
      <c r="C39" s="2" t="s">
        <v>107</v>
      </c>
      <c r="D39" s="2" t="s">
        <v>449</v>
      </c>
      <c r="N39" s="2" t="s">
        <v>208</v>
      </c>
    </row>
    <row r="40" spans="1:14" x14ac:dyDescent="0.3">
      <c r="A40" s="2" t="s">
        <v>132</v>
      </c>
      <c r="B40" s="2" t="s">
        <v>108</v>
      </c>
      <c r="C40" s="2" t="s">
        <v>107</v>
      </c>
      <c r="D40" s="2" t="s">
        <v>446</v>
      </c>
      <c r="N40" s="2" t="s">
        <v>204</v>
      </c>
    </row>
    <row r="41" spans="1:14" x14ac:dyDescent="0.3">
      <c r="A41" s="2" t="s">
        <v>109</v>
      </c>
      <c r="B41" s="2" t="s">
        <v>108</v>
      </c>
      <c r="C41" s="2" t="s">
        <v>107</v>
      </c>
      <c r="D41" s="2" t="s">
        <v>450</v>
      </c>
      <c r="N41" s="2" t="s">
        <v>159</v>
      </c>
    </row>
    <row r="42" spans="1:14" x14ac:dyDescent="0.3">
      <c r="A42" s="2" t="s">
        <v>166</v>
      </c>
      <c r="B42" s="2" t="s">
        <v>122</v>
      </c>
      <c r="C42" s="2" t="s">
        <v>121</v>
      </c>
      <c r="D42" s="2" t="s">
        <v>451</v>
      </c>
      <c r="N42" s="2" t="s">
        <v>191</v>
      </c>
    </row>
    <row r="43" spans="1:14" x14ac:dyDescent="0.3">
      <c r="A43" s="2" t="s">
        <v>123</v>
      </c>
      <c r="B43" s="2" t="s">
        <v>122</v>
      </c>
      <c r="C43" s="2" t="s">
        <v>121</v>
      </c>
      <c r="D43" s="2" t="s">
        <v>448</v>
      </c>
      <c r="N43" s="2" t="s">
        <v>109</v>
      </c>
    </row>
    <row r="44" spans="1:14" x14ac:dyDescent="0.3">
      <c r="A44" s="2" t="s">
        <v>171</v>
      </c>
      <c r="B44" s="2" t="s">
        <v>137</v>
      </c>
      <c r="C44" s="2" t="s">
        <v>121</v>
      </c>
      <c r="D44" s="2" t="s">
        <v>450</v>
      </c>
      <c r="N44" s="2" t="s">
        <v>188</v>
      </c>
    </row>
    <row r="45" spans="1:14" x14ac:dyDescent="0.3">
      <c r="A45" s="2" t="s">
        <v>138</v>
      </c>
      <c r="B45" s="2" t="s">
        <v>137</v>
      </c>
      <c r="C45" s="2" t="s">
        <v>121</v>
      </c>
      <c r="D45" s="2" t="s">
        <v>451</v>
      </c>
    </row>
    <row r="46" spans="1:14" x14ac:dyDescent="0.3">
      <c r="A46" s="2" t="s">
        <v>147</v>
      </c>
      <c r="B46" s="2" t="s">
        <v>146</v>
      </c>
      <c r="C46" s="2" t="s">
        <v>121</v>
      </c>
      <c r="D46" s="2" t="s">
        <v>448</v>
      </c>
    </row>
    <row r="47" spans="1:14" x14ac:dyDescent="0.3">
      <c r="A47" s="2" t="s">
        <v>175</v>
      </c>
      <c r="B47" s="2" t="s">
        <v>146</v>
      </c>
      <c r="C47" s="2" t="s">
        <v>121</v>
      </c>
      <c r="D47" s="2" t="s">
        <v>447</v>
      </c>
    </row>
  </sheetData>
  <mergeCells count="2">
    <mergeCell ref="A2:L2"/>
    <mergeCell ref="A1:L1"/>
  </mergeCells>
  <pageMargins left="0.75" right="0.75" top="1" bottom="1" header="0.5" footer="0.5"/>
  <pageSetup fitToHeight="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23"/>
  <sheetViews>
    <sheetView showGridLines="0" workbookViewId="0">
      <pane ySplit="4" topLeftCell="A13" activePane="bottomLeft" state="frozen"/>
      <selection pane="bottomLeft" activeCell="D5" sqref="D5"/>
    </sheetView>
  </sheetViews>
  <sheetFormatPr defaultRowHeight="14.4" x14ac:dyDescent="0.3"/>
  <cols>
    <col min="1" max="1" width="12" customWidth="1"/>
    <col min="2" max="2" width="28" customWidth="1"/>
    <col min="3" max="3" width="40" customWidth="1"/>
    <col min="4" max="4" width="62" customWidth="1"/>
    <col min="5" max="6" width="48" customWidth="1"/>
  </cols>
  <sheetData>
    <row r="1" spans="1:10" x14ac:dyDescent="0.3">
      <c r="A1" s="19" t="s">
        <v>452</v>
      </c>
      <c r="B1" s="20"/>
      <c r="C1" s="20"/>
      <c r="D1" s="20"/>
      <c r="E1" s="20"/>
      <c r="F1" s="20"/>
      <c r="G1" s="20"/>
      <c r="H1" s="20"/>
      <c r="I1" s="20"/>
      <c r="J1" s="20"/>
    </row>
    <row r="2" spans="1:10" x14ac:dyDescent="0.3">
      <c r="A2" s="22" t="s">
        <v>453</v>
      </c>
      <c r="B2" s="20"/>
      <c r="C2" s="20"/>
      <c r="D2" s="20"/>
      <c r="E2" s="20"/>
      <c r="F2" s="20"/>
      <c r="G2" s="20"/>
      <c r="H2" s="20"/>
      <c r="I2" s="20"/>
      <c r="J2" s="20"/>
    </row>
    <row r="4" spans="1:10" x14ac:dyDescent="0.3">
      <c r="A4" s="10" t="s">
        <v>454</v>
      </c>
      <c r="B4" s="10" t="s">
        <v>455</v>
      </c>
      <c r="C4" s="10" t="s">
        <v>456</v>
      </c>
      <c r="D4" s="10" t="s">
        <v>457</v>
      </c>
      <c r="E4" s="10" t="s">
        <v>458</v>
      </c>
      <c r="F4" s="10" t="s">
        <v>459</v>
      </c>
    </row>
    <row r="5" spans="1:10" ht="28.8" x14ac:dyDescent="0.3">
      <c r="A5" s="2" t="s">
        <v>460</v>
      </c>
      <c r="B5" s="2" t="s">
        <v>461</v>
      </c>
      <c r="C5" s="2" t="s">
        <v>462</v>
      </c>
      <c r="D5" s="2" t="e" cm="1">
        <f t="array" ref="D5">INDEX(return_range,MATCH(key,lookup_range,0))</f>
        <v>#NAME?</v>
      </c>
      <c r="E5" s="2" t="s">
        <v>463</v>
      </c>
      <c r="F5" s="2" t="s">
        <v>464</v>
      </c>
    </row>
    <row r="6" spans="1:10" ht="28.8" x14ac:dyDescent="0.3">
      <c r="A6" s="2" t="s">
        <v>465</v>
      </c>
      <c r="B6" s="2" t="s">
        <v>466</v>
      </c>
      <c r="C6" s="2" t="s">
        <v>467</v>
      </c>
      <c r="D6" s="2" t="e" cm="1">
        <f t="array" ref="D6">_xlfn.XLOOKUP(key,lookup_array,return_array,"Not Found")</f>
        <v>#NAME?</v>
      </c>
      <c r="E6" s="2" t="s">
        <v>468</v>
      </c>
      <c r="F6" s="2" t="s">
        <v>469</v>
      </c>
    </row>
    <row r="7" spans="1:10" ht="28.8" x14ac:dyDescent="0.3">
      <c r="A7" s="2" t="s">
        <v>470</v>
      </c>
      <c r="B7" s="2" t="s">
        <v>471</v>
      </c>
      <c r="C7" s="2" t="s">
        <v>472</v>
      </c>
      <c r="D7" s="2" t="e" cm="1">
        <f t="array" aca="1" ref="D7" ca="1">OFFSET(start,rows,cols,height,width)</f>
        <v>#NAME?</v>
      </c>
      <c r="E7" s="2" t="s">
        <v>473</v>
      </c>
      <c r="F7" s="2" t="s">
        <v>474</v>
      </c>
    </row>
    <row r="8" spans="1:10" ht="28.8" x14ac:dyDescent="0.3">
      <c r="A8" s="2" t="s">
        <v>475</v>
      </c>
      <c r="B8" s="2" t="s">
        <v>476</v>
      </c>
      <c r="C8" s="2" t="s">
        <v>477</v>
      </c>
      <c r="D8" s="2" t="e" cm="1">
        <f t="array" aca="1" ref="D8" ca="1">INDIRECT("States_"&amp;SUBSTITUTE(B6," ","_"))</f>
        <v>#REF!</v>
      </c>
      <c r="E8" s="2" t="s">
        <v>478</v>
      </c>
      <c r="F8" s="2" t="s">
        <v>479</v>
      </c>
    </row>
    <row r="9" spans="1:10" ht="28.8" x14ac:dyDescent="0.3">
      <c r="A9" s="2" t="s">
        <v>480</v>
      </c>
      <c r="B9" s="2" t="s">
        <v>481</v>
      </c>
      <c r="C9" s="2" t="s">
        <v>482</v>
      </c>
      <c r="D9" s="2" t="e" cm="1">
        <f t="array" ref="D9">CHOOSE(MATCH(B10,{"Sales","Profit","Units"},0),SalesValue,ProfitValue,UnitsValue)</f>
        <v>#N/A</v>
      </c>
      <c r="E9" s="2" t="s">
        <v>483</v>
      </c>
      <c r="F9" s="2" t="s">
        <v>484</v>
      </c>
    </row>
    <row r="12" spans="1:10" ht="54" x14ac:dyDescent="0.3">
      <c r="A12" s="4" t="s">
        <v>485</v>
      </c>
    </row>
    <row r="13" spans="1:10" ht="43.2" x14ac:dyDescent="0.3">
      <c r="A13" s="17" t="s">
        <v>486</v>
      </c>
      <c r="B13" s="21" t="s">
        <v>487</v>
      </c>
      <c r="C13" s="20"/>
      <c r="D13" s="20"/>
      <c r="E13" s="20"/>
      <c r="F13" s="20"/>
    </row>
    <row r="14" spans="1:10" ht="43.2" x14ac:dyDescent="0.3">
      <c r="A14" s="17" t="s">
        <v>488</v>
      </c>
      <c r="B14" s="21" t="s">
        <v>489</v>
      </c>
      <c r="C14" s="20"/>
      <c r="D14" s="20"/>
      <c r="E14" s="20"/>
      <c r="F14" s="20"/>
    </row>
    <row r="15" spans="1:10" ht="28.8" x14ac:dyDescent="0.3">
      <c r="A15" s="17" t="s">
        <v>490</v>
      </c>
      <c r="B15" s="21" t="s">
        <v>491</v>
      </c>
      <c r="C15" s="20"/>
      <c r="D15" s="20"/>
      <c r="E15" s="20"/>
      <c r="F15" s="20"/>
    </row>
    <row r="16" spans="1:10" ht="43.2" x14ac:dyDescent="0.3">
      <c r="A16" s="17" t="s">
        <v>481</v>
      </c>
      <c r="B16" s="21" t="s">
        <v>492</v>
      </c>
      <c r="C16" s="20"/>
      <c r="D16" s="20"/>
      <c r="E16" s="20"/>
      <c r="F16" s="20"/>
    </row>
    <row r="17" spans="1:6" x14ac:dyDescent="0.3">
      <c r="A17" s="17" t="s">
        <v>493</v>
      </c>
      <c r="B17" s="21" t="s">
        <v>494</v>
      </c>
      <c r="C17" s="20"/>
      <c r="D17" s="20"/>
      <c r="E17" s="20"/>
      <c r="F17" s="20"/>
    </row>
    <row r="20" spans="1:6" ht="54" x14ac:dyDescent="0.3">
      <c r="A20" s="18" t="s">
        <v>495</v>
      </c>
    </row>
    <row r="21" spans="1:6" x14ac:dyDescent="0.3">
      <c r="A21" s="21" t="s">
        <v>496</v>
      </c>
      <c r="B21" s="20"/>
      <c r="C21" s="20"/>
      <c r="D21" s="20"/>
      <c r="E21" s="20"/>
      <c r="F21" s="20"/>
    </row>
    <row r="22" spans="1:6" x14ac:dyDescent="0.3">
      <c r="A22" s="20"/>
      <c r="B22" s="20"/>
      <c r="C22" s="20"/>
      <c r="D22" s="20"/>
      <c r="E22" s="20"/>
      <c r="F22" s="20"/>
    </row>
    <row r="23" spans="1:6" x14ac:dyDescent="0.3">
      <c r="A23" s="20"/>
      <c r="B23" s="20"/>
      <c r="C23" s="20"/>
      <c r="D23" s="20"/>
      <c r="E23" s="20"/>
      <c r="F23" s="20"/>
    </row>
  </sheetData>
  <mergeCells count="8">
    <mergeCell ref="A1:J1"/>
    <mergeCell ref="B16:F16"/>
    <mergeCell ref="B15:F15"/>
    <mergeCell ref="A2:J2"/>
    <mergeCell ref="A21:F23"/>
    <mergeCell ref="B14:F14"/>
    <mergeCell ref="B17:F17"/>
    <mergeCell ref="B13:F13"/>
  </mergeCells>
  <pageMargins left="0.75" right="0.75" top="1" bottom="1"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21"/>
  <sheetViews>
    <sheetView showGridLines="0" workbookViewId="0">
      <pane ySplit="4" topLeftCell="A5" activePane="bottomLeft" state="frozen"/>
      <selection pane="bottomLeft" sqref="A1:J1"/>
    </sheetView>
  </sheetViews>
  <sheetFormatPr defaultRowHeight="14.4" x14ac:dyDescent="0.3"/>
  <cols>
    <col min="1" max="1" width="8" customWidth="1"/>
    <col min="2" max="2" width="28" customWidth="1"/>
    <col min="3" max="3" width="76" customWidth="1"/>
    <col min="4" max="4" width="60" customWidth="1"/>
  </cols>
  <sheetData>
    <row r="1" spans="1:10" ht="45" customHeight="1" x14ac:dyDescent="0.3">
      <c r="A1" s="19" t="s">
        <v>497</v>
      </c>
      <c r="B1" s="20"/>
      <c r="C1" s="20"/>
      <c r="D1" s="20"/>
      <c r="E1" s="20"/>
      <c r="F1" s="20"/>
      <c r="G1" s="20"/>
      <c r="H1" s="20"/>
      <c r="I1" s="20"/>
      <c r="J1" s="20"/>
    </row>
    <row r="2" spans="1:10" x14ac:dyDescent="0.3">
      <c r="A2" s="22" t="s">
        <v>498</v>
      </c>
      <c r="B2" s="20"/>
      <c r="C2" s="20"/>
      <c r="D2" s="20"/>
      <c r="E2" s="20"/>
      <c r="F2" s="20"/>
      <c r="G2" s="20"/>
      <c r="H2" s="20"/>
      <c r="I2" s="20"/>
      <c r="J2" s="20"/>
    </row>
    <row r="4" spans="1:10" x14ac:dyDescent="0.3">
      <c r="A4" s="9" t="s">
        <v>499</v>
      </c>
      <c r="B4" s="9" t="s">
        <v>500</v>
      </c>
      <c r="C4" s="9" t="s">
        <v>501</v>
      </c>
      <c r="D4" s="9" t="s">
        <v>502</v>
      </c>
    </row>
    <row r="5" spans="1:10" x14ac:dyDescent="0.3">
      <c r="A5" s="2" t="s">
        <v>460</v>
      </c>
      <c r="B5" s="2" t="s">
        <v>503</v>
      </c>
      <c r="C5" s="2" t="s">
        <v>504</v>
      </c>
      <c r="D5" s="2" t="s">
        <v>505</v>
      </c>
    </row>
    <row r="6" spans="1:10" x14ac:dyDescent="0.3">
      <c r="A6" s="2" t="s">
        <v>465</v>
      </c>
      <c r="B6" s="2" t="s">
        <v>506</v>
      </c>
      <c r="C6" s="2" t="s">
        <v>507</v>
      </c>
      <c r="D6" s="2" t="s">
        <v>508</v>
      </c>
    </row>
    <row r="7" spans="1:10" x14ac:dyDescent="0.3">
      <c r="A7" s="2" t="s">
        <v>470</v>
      </c>
      <c r="B7" s="2" t="s">
        <v>509</v>
      </c>
      <c r="C7" s="2" t="s">
        <v>510</v>
      </c>
      <c r="D7" s="2" t="s">
        <v>511</v>
      </c>
    </row>
    <row r="8" spans="1:10" x14ac:dyDescent="0.3">
      <c r="A8" s="2" t="s">
        <v>475</v>
      </c>
      <c r="B8" s="2" t="s">
        <v>471</v>
      </c>
      <c r="C8" s="2" t="s">
        <v>512</v>
      </c>
      <c r="D8" s="2" t="s">
        <v>513</v>
      </c>
    </row>
    <row r="9" spans="1:10" ht="28.8" x14ac:dyDescent="0.3">
      <c r="A9" s="2" t="s">
        <v>480</v>
      </c>
      <c r="B9" s="2" t="s">
        <v>476</v>
      </c>
      <c r="C9" s="2" t="s">
        <v>514</v>
      </c>
      <c r="D9" s="2" t="s">
        <v>515</v>
      </c>
    </row>
    <row r="10" spans="1:10" x14ac:dyDescent="0.3">
      <c r="A10" s="2" t="s">
        <v>516</v>
      </c>
      <c r="B10" s="2" t="s">
        <v>481</v>
      </c>
      <c r="C10" s="2" t="s">
        <v>517</v>
      </c>
      <c r="D10" s="2" t="s">
        <v>518</v>
      </c>
    </row>
    <row r="11" spans="1:10" x14ac:dyDescent="0.3">
      <c r="A11" s="2" t="s">
        <v>519</v>
      </c>
      <c r="B11" s="2" t="s">
        <v>520</v>
      </c>
      <c r="C11" s="2" t="s">
        <v>521</v>
      </c>
      <c r="D11" s="2" t="s">
        <v>522</v>
      </c>
    </row>
    <row r="12" spans="1:10" x14ac:dyDescent="0.3">
      <c r="A12" s="2" t="s">
        <v>523</v>
      </c>
      <c r="B12" s="2" t="s">
        <v>524</v>
      </c>
      <c r="C12" s="2" t="s">
        <v>525</v>
      </c>
      <c r="D12" s="2" t="s">
        <v>526</v>
      </c>
    </row>
    <row r="13" spans="1:10" x14ac:dyDescent="0.3">
      <c r="A13" s="2" t="s">
        <v>527</v>
      </c>
      <c r="B13" s="2" t="s">
        <v>528</v>
      </c>
      <c r="C13" s="2" t="s">
        <v>529</v>
      </c>
      <c r="D13" s="2" t="s">
        <v>530</v>
      </c>
    </row>
    <row r="14" spans="1:10" ht="28.8" x14ac:dyDescent="0.3">
      <c r="A14" s="2" t="s">
        <v>531</v>
      </c>
      <c r="B14" s="2" t="s">
        <v>532</v>
      </c>
      <c r="C14" s="2" t="s">
        <v>533</v>
      </c>
      <c r="D14" s="2" t="s">
        <v>534</v>
      </c>
    </row>
    <row r="17" spans="1:8" ht="54" x14ac:dyDescent="0.3">
      <c r="A17" s="3" t="s">
        <v>535</v>
      </c>
    </row>
    <row r="18" spans="1:8" x14ac:dyDescent="0.3">
      <c r="A18" s="21" t="s">
        <v>536</v>
      </c>
      <c r="B18" s="20"/>
      <c r="C18" s="20"/>
      <c r="D18" s="20"/>
      <c r="E18" s="20"/>
      <c r="F18" s="20"/>
      <c r="G18" s="20"/>
      <c r="H18" s="20"/>
    </row>
    <row r="19" spans="1:8" x14ac:dyDescent="0.3">
      <c r="A19" s="20"/>
      <c r="B19" s="20"/>
      <c r="C19" s="20"/>
      <c r="D19" s="20"/>
      <c r="E19" s="20"/>
      <c r="F19" s="20"/>
      <c r="G19" s="20"/>
      <c r="H19" s="20"/>
    </row>
    <row r="20" spans="1:8" x14ac:dyDescent="0.3">
      <c r="A20" s="20"/>
      <c r="B20" s="20"/>
      <c r="C20" s="20"/>
      <c r="D20" s="20"/>
      <c r="E20" s="20"/>
      <c r="F20" s="20"/>
      <c r="G20" s="20"/>
      <c r="H20" s="20"/>
    </row>
    <row r="21" spans="1:8" x14ac:dyDescent="0.3">
      <c r="A21" s="20"/>
      <c r="B21" s="20"/>
      <c r="C21" s="20"/>
      <c r="D21" s="20"/>
      <c r="E21" s="20"/>
      <c r="F21" s="20"/>
      <c r="G21" s="20"/>
      <c r="H21" s="20"/>
    </row>
  </sheetData>
  <mergeCells count="3">
    <mergeCell ref="A1:J1"/>
    <mergeCell ref="A18:H21"/>
    <mergeCell ref="A2:J2"/>
  </mergeCells>
  <pageMargins left="0.75" right="0.75" top="1" bottom="1" header="0.5" footer="0.5"/>
  <pageSetup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22</vt:i4>
      </vt:variant>
    </vt:vector>
  </HeadingPairs>
  <TitlesOfParts>
    <vt:vector size="28" baseType="lpstr">
      <vt:lpstr>README</vt:lpstr>
      <vt:lpstr>DASHBOARD</vt:lpstr>
      <vt:lpstr>RAW DATA</vt:lpstr>
      <vt:lpstr>MASTER DATA</vt:lpstr>
      <vt:lpstr>FORMULA LAB</vt:lpstr>
      <vt:lpstr>PRACTICE</vt:lpstr>
      <vt:lpstr>Cities_All</vt:lpstr>
      <vt:lpstr>Cities_Assam</vt:lpstr>
      <vt:lpstr>Cities_Delhi</vt:lpstr>
      <vt:lpstr>Cities_Gujarat</vt:lpstr>
      <vt:lpstr>Cities_Haryana</vt:lpstr>
      <vt:lpstr>Cities_Karnataka</vt:lpstr>
      <vt:lpstr>Cities_Maharashtra</vt:lpstr>
      <vt:lpstr>Cities_Odisha</vt:lpstr>
      <vt:lpstr>Cities_Rajasthan</vt:lpstr>
      <vt:lpstr>Cities_Tamil_Nadu</vt:lpstr>
      <vt:lpstr>Cities_Telangana</vt:lpstr>
      <vt:lpstr>Cities_Uttar_Pradesh</vt:lpstr>
      <vt:lpstr>Cities_West_Bengal</vt:lpstr>
      <vt:lpstr>MetricList</vt:lpstr>
      <vt:lpstr>PeriodList</vt:lpstr>
      <vt:lpstr>RegionList</vt:lpstr>
      <vt:lpstr>ScenarioList</vt:lpstr>
      <vt:lpstr>States_All</vt:lpstr>
      <vt:lpstr>States_East</vt:lpstr>
      <vt:lpstr>States_North</vt:lpstr>
      <vt:lpstr>States_South</vt:lpstr>
      <vt:lpstr>States_West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Kawaljeetsingh Ladhar</cp:lastModifiedBy>
  <dcterms:created xsi:type="dcterms:W3CDTF">2026-08-31T05:21:24Z</dcterms:created>
  <dcterms:modified xsi:type="dcterms:W3CDTF">2026-08-31T05:37:13Z</dcterms:modified>
</cp:coreProperties>
</file>