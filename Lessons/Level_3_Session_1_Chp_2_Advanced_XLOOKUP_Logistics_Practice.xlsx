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IPMENT DATA" sheetId="2" state="visible" r:id="rId2"/>
    <sheet xmlns:r="http://schemas.openxmlformats.org/officeDocument/2006/relationships" name="MASTER DATA" sheetId="3" state="visible" r:id="rId3"/>
    <sheet xmlns:r="http://schemas.openxmlformats.org/officeDocument/2006/relationships" name="PRACTICE" sheetId="4" state="visible" r:id="rId4"/>
    <sheet xmlns:r="http://schemas.openxmlformats.org/officeDocument/2006/relationships" name="SOLUTION" sheetId="5" state="visible" r:id="rId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"/>
  </numFmts>
  <fonts count="6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6B7280"/>
      <sz val="10"/>
    </font>
    <font>
      <b val="1"/>
      <color rgb="00FFFFFF"/>
    </font>
    <font>
      <b val="1"/>
      <color rgb="00FFFFFF"/>
      <sz val="13"/>
    </font>
    <font>
      <b val="1"/>
      <color rgb="00B91C1C"/>
      <sz val="13"/>
    </font>
  </fonts>
  <fills count="7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0B6B4F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EA580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hipments" displayName="Shipments" ref="A4:J49" headerRowCount="1">
  <autoFilter ref="A4:J49"/>
  <tableColumns count="10">
    <tableColumn id="1" name="Shipment ID"/>
    <tableColumn id="2" name="Customer"/>
    <tableColumn id="3" name="Date"/>
    <tableColumn id="4" name="Origin"/>
    <tableColumn id="5" name="Destination"/>
    <tableColumn id="6" name="Carrier"/>
    <tableColumn id="7" name="Status"/>
    <tableColumn id="8" name="Weight KG"/>
    <tableColumn id="9" name="Freight Cost"/>
    <tableColumn id="10" name="Tracking Code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CityZones" displayName="CityZones" ref="A4:E12" headerRowCount="1">
  <autoFilter ref="A4:E12"/>
  <tableColumns count="5">
    <tableColumn id="1" name="City"/>
    <tableColumn id="2" name="Zone"/>
    <tableColumn id="3" name="Base Rate"/>
    <tableColumn id="4" name="Priority Rate"/>
    <tableColumn id="5" name="Regional Hub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  <col width="42" customWidth="1" min="3" max="3"/>
  </cols>
  <sheetData>
    <row r="1">
      <c r="A1" s="1" t="inlineStr">
        <is>
          <t>CHAPTER 2 PRACTICE — ADVANCED XLOOKUP</t>
        </is>
      </c>
    </row>
    <row r="2">
      <c r="A2" s="2" t="inlineStr">
        <is>
          <t>Industry: Logistics &amp; Supply Chain | Focus: exact/last lookup, multiple returns, error handling and dynamic retrieval.</t>
        </is>
      </c>
    </row>
    <row r="3"/>
    <row r="4">
      <c r="A4" s="3" t="inlineStr">
        <is>
          <t>Challenge</t>
        </is>
      </c>
      <c r="B4" s="3" t="inlineStr">
        <is>
          <t>Task</t>
        </is>
      </c>
      <c r="C4" s="3" t="inlineStr">
        <is>
          <t>Skill</t>
        </is>
      </c>
    </row>
    <row r="5">
      <c r="A5" s="4" t="inlineStr">
        <is>
          <t>Q1</t>
        </is>
      </c>
      <c r="B5" s="4" t="inlineStr">
        <is>
          <t>Enter Shipment ID and return Carrier, Destination and Status with XLOOKUP.</t>
        </is>
      </c>
      <c r="C5" s="4" t="inlineStr">
        <is>
          <t>Multi-column retrieval.</t>
        </is>
      </c>
    </row>
    <row r="6">
      <c r="A6" s="4" t="inlineStr">
        <is>
          <t>Q2</t>
        </is>
      </c>
      <c r="B6" s="4" t="inlineStr">
        <is>
          <t>Return the Freight Cost for a selected Shipment ID. Show 'Not Found' for an invalid ID.</t>
        </is>
      </c>
      <c r="C6" s="4" t="inlineStr">
        <is>
          <t>if_not_found.</t>
        </is>
      </c>
    </row>
    <row r="7">
      <c r="A7" s="4" t="inlineStr">
        <is>
          <t>Q3</t>
        </is>
      </c>
      <c r="B7" s="4" t="inlineStr">
        <is>
          <t>Find the latest shipment record for a Customer using XLOOKUP search_mode = -1.</t>
        </is>
      </c>
      <c r="C7" s="4" t="inlineStr">
        <is>
          <t>Last-match lookup.</t>
        </is>
      </c>
    </row>
    <row r="8">
      <c r="A8" s="4" t="inlineStr">
        <is>
          <t>Q4</t>
        </is>
      </c>
      <c r="B8" s="4" t="inlineStr">
        <is>
          <t>Return the Zone for a Destination City using the Master Data sheet.</t>
        </is>
      </c>
      <c r="C8" s="4" t="inlineStr">
        <is>
          <t>Cross-table lookup.</t>
        </is>
      </c>
    </row>
    <row r="9">
      <c r="A9" s="4" t="inlineStr">
        <is>
          <t>Q5</t>
        </is>
      </c>
      <c r="B9" s="4" t="inlineStr">
        <is>
          <t>Use XLOOKUP to return multiple adjacent columns at once.</t>
        </is>
      </c>
      <c r="C9" s="4" t="inlineStr">
        <is>
          <t>Spill / dynamic array concept.</t>
        </is>
      </c>
    </row>
    <row r="10">
      <c r="A10" s="4" t="inlineStr">
        <is>
          <t>Q6 — HARD</t>
        </is>
      </c>
      <c r="B10" s="4" t="inlineStr">
        <is>
          <t>Create a dynamic freight quote: selected Customer → latest shipment → carrier + zone + freight rate.</t>
        </is>
      </c>
      <c r="C10" s="4" t="inlineStr">
        <is>
          <t>Chained lookups.</t>
        </is>
      </c>
    </row>
    <row r="11">
      <c r="A11" s="4" t="inlineStr">
        <is>
          <t>Q7</t>
        </is>
      </c>
      <c r="B11" s="4" t="inlineStr">
        <is>
          <t>Explain when XLOOKUP is safer than VLOOKUP for a changing table layout.</t>
        </is>
      </c>
      <c r="C11" s="4" t="inlineStr">
        <is>
          <t>Model design.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6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SHIPMENT DATA — LOGISTICS</t>
        </is>
      </c>
    </row>
    <row r="2">
      <c r="A2" s="2" t="inlineStr">
        <is>
          <t>Source transaction dataset.</t>
        </is>
      </c>
    </row>
    <row r="3"/>
    <row r="4">
      <c r="A4" s="5" t="inlineStr">
        <is>
          <t>Shipment ID</t>
        </is>
      </c>
      <c r="B4" s="5" t="inlineStr">
        <is>
          <t>Customer</t>
        </is>
      </c>
      <c r="C4" s="5" t="inlineStr">
        <is>
          <t>Date</t>
        </is>
      </c>
      <c r="D4" s="5" t="inlineStr">
        <is>
          <t>Origin</t>
        </is>
      </c>
      <c r="E4" s="5" t="inlineStr">
        <is>
          <t>Destination</t>
        </is>
      </c>
      <c r="F4" s="5" t="inlineStr">
        <is>
          <t>Carrier</t>
        </is>
      </c>
      <c r="G4" s="5" t="inlineStr">
        <is>
          <t>Status</t>
        </is>
      </c>
      <c r="H4" s="5" t="inlineStr">
        <is>
          <t>Weight KG</t>
        </is>
      </c>
      <c r="I4" s="5" t="inlineStr">
        <is>
          <t>Freight Cost</t>
        </is>
      </c>
      <c r="J4" s="5" t="inlineStr">
        <is>
          <t>Tracking Code</t>
        </is>
      </c>
    </row>
    <row r="5">
      <c r="A5" s="4" t="inlineStr">
        <is>
          <t>SHP1001</t>
        </is>
      </c>
      <c r="B5" s="4" t="inlineStr">
        <is>
          <t>CUST001</t>
        </is>
      </c>
      <c r="C5" s="6" t="n">
        <v>46151</v>
      </c>
      <c r="D5" s="4" t="inlineStr">
        <is>
          <t>Ahmedabad</t>
        </is>
      </c>
      <c r="E5" s="4" t="inlineStr">
        <is>
          <t>Mumbai</t>
        </is>
      </c>
      <c r="F5" s="4" t="inlineStr">
        <is>
          <t>DHL</t>
        </is>
      </c>
      <c r="G5" s="4" t="inlineStr">
        <is>
          <t>Delivered</t>
        </is>
      </c>
      <c r="H5" s="4" t="n">
        <v>48</v>
      </c>
      <c r="I5" s="7" t="n">
        <v>1170.03</v>
      </c>
      <c r="J5" s="4" t="inlineStr">
        <is>
          <t>TRK129710</t>
        </is>
      </c>
    </row>
    <row r="6">
      <c r="A6" s="4" t="inlineStr">
        <is>
          <t>SHP1002</t>
        </is>
      </c>
      <c r="B6" s="4" t="inlineStr">
        <is>
          <t>CUST002</t>
        </is>
      </c>
      <c r="C6" s="6" t="n">
        <v>46095</v>
      </c>
      <c r="D6" s="4" t="inlineStr">
        <is>
          <t>Ahmedabad</t>
        </is>
      </c>
      <c r="E6" s="4" t="inlineStr">
        <is>
          <t>Pune</t>
        </is>
      </c>
      <c r="F6" s="4" t="inlineStr">
        <is>
          <t>Delhivery</t>
        </is>
      </c>
      <c r="G6" s="4" t="inlineStr">
        <is>
          <t>Delivered</t>
        </is>
      </c>
      <c r="H6" s="4" t="n">
        <v>82</v>
      </c>
      <c r="I6" s="7" t="n">
        <v>1438.54</v>
      </c>
      <c r="J6" s="4" t="inlineStr">
        <is>
          <t>TRK903523</t>
        </is>
      </c>
    </row>
    <row r="7">
      <c r="A7" s="4" t="inlineStr">
        <is>
          <t>SHP1003</t>
        </is>
      </c>
      <c r="B7" s="4" t="inlineStr">
        <is>
          <t>CUST003</t>
        </is>
      </c>
      <c r="C7" s="6" t="n">
        <v>46047</v>
      </c>
      <c r="D7" s="4" t="inlineStr">
        <is>
          <t>Bengaluru</t>
        </is>
      </c>
      <c r="E7" s="4" t="inlineStr">
        <is>
          <t>Bengaluru</t>
        </is>
      </c>
      <c r="F7" s="4" t="inlineStr">
        <is>
          <t>Delhivery</t>
        </is>
      </c>
      <c r="G7" s="4" t="inlineStr">
        <is>
          <t>Delivered</t>
        </is>
      </c>
      <c r="H7" s="4" t="n">
        <v>22</v>
      </c>
      <c r="I7" s="7" t="n">
        <v>970.3099999999999</v>
      </c>
      <c r="J7" s="4" t="inlineStr">
        <is>
          <t>TRK573210</t>
        </is>
      </c>
    </row>
    <row r="8">
      <c r="A8" s="4" t="inlineStr">
        <is>
          <t>SHP1004</t>
        </is>
      </c>
      <c r="B8" s="4" t="inlineStr">
        <is>
          <t>CUST004</t>
        </is>
      </c>
      <c r="C8" s="6" t="n">
        <v>46171</v>
      </c>
      <c r="D8" s="4" t="inlineStr">
        <is>
          <t>Bengaluru</t>
        </is>
      </c>
      <c r="E8" s="4" t="inlineStr">
        <is>
          <t>Ahmedabad</t>
        </is>
      </c>
      <c r="F8" s="4" t="inlineStr">
        <is>
          <t>FedEx</t>
        </is>
      </c>
      <c r="G8" s="4" t="inlineStr">
        <is>
          <t>Delivered</t>
        </is>
      </c>
      <c r="H8" s="4" t="n">
        <v>104</v>
      </c>
      <c r="I8" s="7" t="n">
        <v>3031.14</v>
      </c>
      <c r="J8" s="4" t="inlineStr">
        <is>
          <t>TRK806576</t>
        </is>
      </c>
    </row>
    <row r="9">
      <c r="A9" s="4" t="inlineStr">
        <is>
          <t>SHP1005</t>
        </is>
      </c>
      <c r="B9" s="4" t="inlineStr">
        <is>
          <t>CUST005</t>
        </is>
      </c>
      <c r="C9" s="6" t="n">
        <v>46183</v>
      </c>
      <c r="D9" s="4" t="inlineStr">
        <is>
          <t>Ahmedabad</t>
        </is>
      </c>
      <c r="E9" s="4" t="inlineStr">
        <is>
          <t>Pune</t>
        </is>
      </c>
      <c r="F9" s="4" t="inlineStr">
        <is>
          <t>DHL</t>
        </is>
      </c>
      <c r="G9" s="4" t="inlineStr">
        <is>
          <t>Delayed</t>
        </is>
      </c>
      <c r="H9" s="4" t="n">
        <v>44</v>
      </c>
      <c r="I9" s="7" t="n">
        <v>1465.82</v>
      </c>
      <c r="J9" s="4" t="inlineStr">
        <is>
          <t>TRK205433</t>
        </is>
      </c>
    </row>
    <row r="10">
      <c r="A10" s="4" t="inlineStr">
        <is>
          <t>SHP1006</t>
        </is>
      </c>
      <c r="B10" s="4" t="inlineStr">
        <is>
          <t>CUST006</t>
        </is>
      </c>
      <c r="C10" s="6" t="n">
        <v>46054</v>
      </c>
      <c r="D10" s="4" t="inlineStr">
        <is>
          <t>Chennai</t>
        </is>
      </c>
      <c r="E10" s="4" t="inlineStr">
        <is>
          <t>Delhi</t>
        </is>
      </c>
      <c r="F10" s="4" t="inlineStr">
        <is>
          <t>BlueDart</t>
        </is>
      </c>
      <c r="G10" s="4" t="inlineStr">
        <is>
          <t>Delivered</t>
        </is>
      </c>
      <c r="H10" s="4" t="n">
        <v>3</v>
      </c>
      <c r="I10" s="7" t="n">
        <v>459.24</v>
      </c>
      <c r="J10" s="4" t="inlineStr">
        <is>
          <t>TRK882912</t>
        </is>
      </c>
    </row>
    <row r="11">
      <c r="A11" s="4" t="inlineStr">
        <is>
          <t>SHP1007</t>
        </is>
      </c>
      <c r="B11" s="4" t="inlineStr">
        <is>
          <t>CUST007</t>
        </is>
      </c>
      <c r="C11" s="6" t="n">
        <v>46082</v>
      </c>
      <c r="D11" s="4" t="inlineStr">
        <is>
          <t>Bengaluru</t>
        </is>
      </c>
      <c r="E11" s="4" t="inlineStr">
        <is>
          <t>Pune</t>
        </is>
      </c>
      <c r="F11" s="4" t="inlineStr">
        <is>
          <t>DHL</t>
        </is>
      </c>
      <c r="G11" s="4" t="inlineStr">
        <is>
          <t>Delivered</t>
        </is>
      </c>
      <c r="H11" s="4" t="n">
        <v>38</v>
      </c>
      <c r="I11" s="7" t="n">
        <v>990.61</v>
      </c>
      <c r="J11" s="4" t="inlineStr">
        <is>
          <t>TRK614500</t>
        </is>
      </c>
    </row>
    <row r="12">
      <c r="A12" s="4" t="inlineStr">
        <is>
          <t>SHP1008</t>
        </is>
      </c>
      <c r="B12" s="4" t="inlineStr">
        <is>
          <t>CUST008</t>
        </is>
      </c>
      <c r="C12" s="6" t="n">
        <v>46065</v>
      </c>
      <c r="D12" s="4" t="inlineStr">
        <is>
          <t>Pune</t>
        </is>
      </c>
      <c r="E12" s="4" t="inlineStr">
        <is>
          <t>Chennai</t>
        </is>
      </c>
      <c r="F12" s="4" t="inlineStr">
        <is>
          <t>Ecom Express</t>
        </is>
      </c>
      <c r="G12" s="4" t="inlineStr">
        <is>
          <t>In Transit</t>
        </is>
      </c>
      <c r="H12" s="4" t="n">
        <v>2</v>
      </c>
      <c r="I12" s="7" t="n">
        <v>443.27</v>
      </c>
      <c r="J12" s="4" t="inlineStr">
        <is>
          <t>TRK627888</t>
        </is>
      </c>
    </row>
    <row r="13">
      <c r="A13" s="4" t="inlineStr">
        <is>
          <t>SHP1009</t>
        </is>
      </c>
      <c r="B13" s="4" t="inlineStr">
        <is>
          <t>CUST009</t>
        </is>
      </c>
      <c r="C13" s="6" t="n">
        <v>46242</v>
      </c>
      <c r="D13" s="4" t="inlineStr">
        <is>
          <t>Ahmedabad</t>
        </is>
      </c>
      <c r="E13" s="4" t="inlineStr">
        <is>
          <t>Ahmedabad</t>
        </is>
      </c>
      <c r="F13" s="4" t="inlineStr">
        <is>
          <t>DHL</t>
        </is>
      </c>
      <c r="G13" s="4" t="inlineStr">
        <is>
          <t>In Transit</t>
        </is>
      </c>
      <c r="H13" s="4" t="n">
        <v>81</v>
      </c>
      <c r="I13" s="7" t="n">
        <v>1682.26</v>
      </c>
      <c r="J13" s="4" t="inlineStr">
        <is>
          <t>TRK342275</t>
        </is>
      </c>
    </row>
    <row r="14">
      <c r="A14" s="4" t="inlineStr">
        <is>
          <t>SHP1010</t>
        </is>
      </c>
      <c r="B14" s="4" t="inlineStr">
        <is>
          <t>CUST010</t>
        </is>
      </c>
      <c r="C14" s="6" t="n">
        <v>46235</v>
      </c>
      <c r="D14" s="4" t="inlineStr">
        <is>
          <t>Hyderabad</t>
        </is>
      </c>
      <c r="E14" s="4" t="inlineStr">
        <is>
          <t>Hyderabad</t>
        </is>
      </c>
      <c r="F14" s="4" t="inlineStr">
        <is>
          <t>Ecom Express</t>
        </is>
      </c>
      <c r="G14" s="4" t="inlineStr">
        <is>
          <t>Delivered</t>
        </is>
      </c>
      <c r="H14" s="4" t="n">
        <v>115</v>
      </c>
      <c r="I14" s="7" t="n">
        <v>2673.29</v>
      </c>
      <c r="J14" s="4" t="inlineStr">
        <is>
          <t>TRK800893</t>
        </is>
      </c>
    </row>
    <row r="15">
      <c r="A15" s="4" t="inlineStr">
        <is>
          <t>SHP1011</t>
        </is>
      </c>
      <c r="B15" s="4" t="inlineStr">
        <is>
          <t>CUST011</t>
        </is>
      </c>
      <c r="C15" s="6" t="n">
        <v>46070</v>
      </c>
      <c r="D15" s="4" t="inlineStr">
        <is>
          <t>Pune</t>
        </is>
      </c>
      <c r="E15" s="4" t="inlineStr">
        <is>
          <t>Hyderabad</t>
        </is>
      </c>
      <c r="F15" s="4" t="inlineStr">
        <is>
          <t>Ecom Express</t>
        </is>
      </c>
      <c r="G15" s="4" t="inlineStr">
        <is>
          <t>Delivered</t>
        </is>
      </c>
      <c r="H15" s="4" t="n">
        <v>98</v>
      </c>
      <c r="I15" s="7" t="n">
        <v>1808.45</v>
      </c>
      <c r="J15" s="4" t="inlineStr">
        <is>
          <t>TRK271426</t>
        </is>
      </c>
    </row>
    <row r="16">
      <c r="A16" s="4" t="inlineStr">
        <is>
          <t>SHP1012</t>
        </is>
      </c>
      <c r="B16" s="4" t="inlineStr">
        <is>
          <t>CUST012</t>
        </is>
      </c>
      <c r="C16" s="6" t="n">
        <v>46242</v>
      </c>
      <c r="D16" s="4" t="inlineStr">
        <is>
          <t>Hyderabad</t>
        </is>
      </c>
      <c r="E16" s="4" t="inlineStr">
        <is>
          <t>Mumbai</t>
        </is>
      </c>
      <c r="F16" s="4" t="inlineStr">
        <is>
          <t>BlueDart</t>
        </is>
      </c>
      <c r="G16" s="4" t="inlineStr">
        <is>
          <t>In Transit</t>
        </is>
      </c>
      <c r="H16" s="4" t="n">
        <v>78</v>
      </c>
      <c r="I16" s="7" t="n">
        <v>2167.78</v>
      </c>
      <c r="J16" s="4" t="inlineStr">
        <is>
          <t>TRK525975</t>
        </is>
      </c>
    </row>
    <row r="17">
      <c r="A17" s="4" t="inlineStr">
        <is>
          <t>SHP1013</t>
        </is>
      </c>
      <c r="B17" s="4" t="inlineStr">
        <is>
          <t>CUST001</t>
        </is>
      </c>
      <c r="C17" s="6" t="n">
        <v>46097</v>
      </c>
      <c r="D17" s="4" t="inlineStr">
        <is>
          <t>Mumbai</t>
        </is>
      </c>
      <c r="E17" s="4" t="inlineStr">
        <is>
          <t>Delhi</t>
        </is>
      </c>
      <c r="F17" s="4" t="inlineStr">
        <is>
          <t>FedEx</t>
        </is>
      </c>
      <c r="G17" s="4" t="inlineStr">
        <is>
          <t>Delivered</t>
        </is>
      </c>
      <c r="H17" s="4" t="n">
        <v>68</v>
      </c>
      <c r="I17" s="7" t="n">
        <v>2244.52</v>
      </c>
      <c r="J17" s="4" t="inlineStr">
        <is>
          <t>TRK681049</t>
        </is>
      </c>
    </row>
    <row r="18">
      <c r="A18" s="4" t="inlineStr">
        <is>
          <t>SHP1014</t>
        </is>
      </c>
      <c r="B18" s="4" t="inlineStr">
        <is>
          <t>CUST002</t>
        </is>
      </c>
      <c r="C18" s="6" t="n">
        <v>46064</v>
      </c>
      <c r="D18" s="4" t="inlineStr">
        <is>
          <t>Pune</t>
        </is>
      </c>
      <c r="E18" s="4" t="inlineStr">
        <is>
          <t>Ahmedabad</t>
        </is>
      </c>
      <c r="F18" s="4" t="inlineStr">
        <is>
          <t>Ecom Express</t>
        </is>
      </c>
      <c r="G18" s="4" t="inlineStr">
        <is>
          <t>In Transit</t>
        </is>
      </c>
      <c r="H18" s="4" t="n">
        <v>83</v>
      </c>
      <c r="I18" s="7" t="n">
        <v>2653.4</v>
      </c>
      <c r="J18" s="4" t="inlineStr">
        <is>
          <t>TRK989196</t>
        </is>
      </c>
    </row>
    <row r="19">
      <c r="A19" s="4" t="inlineStr">
        <is>
          <t>SHP1015</t>
        </is>
      </c>
      <c r="B19" s="4" t="inlineStr">
        <is>
          <t>CUST003</t>
        </is>
      </c>
      <c r="C19" s="6" t="n">
        <v>46129</v>
      </c>
      <c r="D19" s="4" t="inlineStr">
        <is>
          <t>Bengaluru</t>
        </is>
      </c>
      <c r="E19" s="4" t="inlineStr">
        <is>
          <t>Delhi</t>
        </is>
      </c>
      <c r="F19" s="4" t="inlineStr">
        <is>
          <t>Ecom Express</t>
        </is>
      </c>
      <c r="G19" s="4" t="inlineStr">
        <is>
          <t>In Transit</t>
        </is>
      </c>
      <c r="H19" s="4" t="n">
        <v>115</v>
      </c>
      <c r="I19" s="7" t="n">
        <v>3276.6</v>
      </c>
      <c r="J19" s="4" t="inlineStr">
        <is>
          <t>TRK389354</t>
        </is>
      </c>
    </row>
    <row r="20">
      <c r="A20" s="4" t="inlineStr">
        <is>
          <t>SHP1016</t>
        </is>
      </c>
      <c r="B20" s="4" t="inlineStr">
        <is>
          <t>CUST004</t>
        </is>
      </c>
      <c r="C20" s="6" t="n">
        <v>46175</v>
      </c>
      <c r="D20" s="4" t="inlineStr">
        <is>
          <t>Chennai</t>
        </is>
      </c>
      <c r="E20" s="4" t="inlineStr">
        <is>
          <t>Bengaluru</t>
        </is>
      </c>
      <c r="F20" s="4" t="inlineStr">
        <is>
          <t>DHL</t>
        </is>
      </c>
      <c r="G20" s="4" t="inlineStr">
        <is>
          <t>Delivered</t>
        </is>
      </c>
      <c r="H20" s="4" t="n">
        <v>57</v>
      </c>
      <c r="I20" s="7" t="n">
        <v>1094.42</v>
      </c>
      <c r="J20" s="4" t="inlineStr">
        <is>
          <t>TRK553710</t>
        </is>
      </c>
    </row>
    <row r="21">
      <c r="A21" s="4" t="inlineStr">
        <is>
          <t>SHP1017</t>
        </is>
      </c>
      <c r="B21" s="4" t="inlineStr">
        <is>
          <t>CUST005</t>
        </is>
      </c>
      <c r="C21" s="6" t="n">
        <v>46049</v>
      </c>
      <c r="D21" s="4" t="inlineStr">
        <is>
          <t>Ahmedabad</t>
        </is>
      </c>
      <c r="E21" s="4" t="inlineStr">
        <is>
          <t>Mumbai</t>
        </is>
      </c>
      <c r="F21" s="4" t="inlineStr">
        <is>
          <t>Delhivery</t>
        </is>
      </c>
      <c r="G21" s="4" t="inlineStr">
        <is>
          <t>Delivered</t>
        </is>
      </c>
      <c r="H21" s="4" t="n">
        <v>44</v>
      </c>
      <c r="I21" s="7" t="n">
        <v>1267.73</v>
      </c>
      <c r="J21" s="4" t="inlineStr">
        <is>
          <t>TRK766705</t>
        </is>
      </c>
    </row>
    <row r="22">
      <c r="A22" s="4" t="inlineStr">
        <is>
          <t>SHP1018</t>
        </is>
      </c>
      <c r="B22" s="4" t="inlineStr">
        <is>
          <t>CUST006</t>
        </is>
      </c>
      <c r="C22" s="6" t="n">
        <v>46254</v>
      </c>
      <c r="D22" s="4" t="inlineStr">
        <is>
          <t>Pune</t>
        </is>
      </c>
      <c r="E22" s="4" t="inlineStr">
        <is>
          <t>Pune</t>
        </is>
      </c>
      <c r="F22" s="4" t="inlineStr">
        <is>
          <t>Delhivery</t>
        </is>
      </c>
      <c r="G22" s="4" t="inlineStr">
        <is>
          <t>In Transit</t>
        </is>
      </c>
      <c r="H22" s="4" t="n">
        <v>116</v>
      </c>
      <c r="I22" s="7" t="n">
        <v>3236.79</v>
      </c>
      <c r="J22" s="4" t="inlineStr">
        <is>
          <t>TRK156453</t>
        </is>
      </c>
    </row>
    <row r="23">
      <c r="A23" s="4" t="inlineStr">
        <is>
          <t>SHP1019</t>
        </is>
      </c>
      <c r="B23" s="4" t="inlineStr">
        <is>
          <t>CUST007</t>
        </is>
      </c>
      <c r="C23" s="6" t="n">
        <v>46246</v>
      </c>
      <c r="D23" s="4" t="inlineStr">
        <is>
          <t>Bengaluru</t>
        </is>
      </c>
      <c r="E23" s="4" t="inlineStr">
        <is>
          <t>Pune</t>
        </is>
      </c>
      <c r="F23" s="4" t="inlineStr">
        <is>
          <t>Ecom Express</t>
        </is>
      </c>
      <c r="G23" s="4" t="inlineStr">
        <is>
          <t>In Transit</t>
        </is>
      </c>
      <c r="H23" s="4" t="n">
        <v>11</v>
      </c>
      <c r="I23" s="7" t="n">
        <v>551.9400000000001</v>
      </c>
      <c r="J23" s="4" t="inlineStr">
        <is>
          <t>TRK556730</t>
        </is>
      </c>
    </row>
    <row r="24">
      <c r="A24" s="4" t="inlineStr">
        <is>
          <t>SHP1020</t>
        </is>
      </c>
      <c r="B24" s="4" t="inlineStr">
        <is>
          <t>CUST008</t>
        </is>
      </c>
      <c r="C24" s="6" t="n">
        <v>46053</v>
      </c>
      <c r="D24" s="4" t="inlineStr">
        <is>
          <t>Bengaluru</t>
        </is>
      </c>
      <c r="E24" s="4" t="inlineStr">
        <is>
          <t>Kolkata</t>
        </is>
      </c>
      <c r="F24" s="4" t="inlineStr">
        <is>
          <t>Delhivery</t>
        </is>
      </c>
      <c r="G24" s="4" t="inlineStr">
        <is>
          <t>Delayed</t>
        </is>
      </c>
      <c r="H24" s="4" t="n">
        <v>87</v>
      </c>
      <c r="I24" s="7" t="n">
        <v>1911.89</v>
      </c>
      <c r="J24" s="4" t="inlineStr">
        <is>
          <t>TRK660702</t>
        </is>
      </c>
    </row>
    <row r="25">
      <c r="A25" s="4" t="inlineStr">
        <is>
          <t>SHP1021</t>
        </is>
      </c>
      <c r="B25" s="4" t="inlineStr">
        <is>
          <t>CUST009</t>
        </is>
      </c>
      <c r="C25" s="6" t="n">
        <v>46176</v>
      </c>
      <c r="D25" s="4" t="inlineStr">
        <is>
          <t>Delhi</t>
        </is>
      </c>
      <c r="E25" s="4" t="inlineStr">
        <is>
          <t>Bengaluru</t>
        </is>
      </c>
      <c r="F25" s="4" t="inlineStr">
        <is>
          <t>FedEx</t>
        </is>
      </c>
      <c r="G25" s="4" t="inlineStr">
        <is>
          <t>Delivered</t>
        </is>
      </c>
      <c r="H25" s="4" t="n">
        <v>67</v>
      </c>
      <c r="I25" s="7" t="n">
        <v>1884.37</v>
      </c>
      <c r="J25" s="4" t="inlineStr">
        <is>
          <t>TRK523148</t>
        </is>
      </c>
    </row>
    <row r="26">
      <c r="A26" s="4" t="inlineStr">
        <is>
          <t>SHP1022</t>
        </is>
      </c>
      <c r="B26" s="4" t="inlineStr">
        <is>
          <t>CUST010</t>
        </is>
      </c>
      <c r="C26" s="6" t="n">
        <v>46233</v>
      </c>
      <c r="D26" s="4" t="inlineStr">
        <is>
          <t>Hyderabad</t>
        </is>
      </c>
      <c r="E26" s="4" t="inlineStr">
        <is>
          <t>Bengaluru</t>
        </is>
      </c>
      <c r="F26" s="4" t="inlineStr">
        <is>
          <t>DHL</t>
        </is>
      </c>
      <c r="G26" s="4" t="inlineStr">
        <is>
          <t>In Transit</t>
        </is>
      </c>
      <c r="H26" s="4" t="n">
        <v>4</v>
      </c>
      <c r="I26" s="7" t="n">
        <v>467.76</v>
      </c>
      <c r="J26" s="4" t="inlineStr">
        <is>
          <t>TRK989928</t>
        </is>
      </c>
    </row>
    <row r="27">
      <c r="A27" s="4" t="inlineStr">
        <is>
          <t>SHP1023</t>
        </is>
      </c>
      <c r="B27" s="4" t="inlineStr">
        <is>
          <t>CUST011</t>
        </is>
      </c>
      <c r="C27" s="6" t="n">
        <v>46185</v>
      </c>
      <c r="D27" s="4" t="inlineStr">
        <is>
          <t>Kolkata</t>
        </is>
      </c>
      <c r="E27" s="4" t="inlineStr">
        <is>
          <t>Pune</t>
        </is>
      </c>
      <c r="F27" s="4" t="inlineStr">
        <is>
          <t>FedEx</t>
        </is>
      </c>
      <c r="G27" s="4" t="inlineStr">
        <is>
          <t>Delivered</t>
        </is>
      </c>
      <c r="H27" s="4" t="n">
        <v>75</v>
      </c>
      <c r="I27" s="7" t="n">
        <v>1915.39</v>
      </c>
      <c r="J27" s="4" t="inlineStr">
        <is>
          <t>TRK578217</t>
        </is>
      </c>
    </row>
    <row r="28">
      <c r="A28" s="4" t="inlineStr">
        <is>
          <t>SHP1024</t>
        </is>
      </c>
      <c r="B28" s="4" t="inlineStr">
        <is>
          <t>CUST012</t>
        </is>
      </c>
      <c r="C28" s="6" t="n">
        <v>46125</v>
      </c>
      <c r="D28" s="4" t="inlineStr">
        <is>
          <t>Delhi</t>
        </is>
      </c>
      <c r="E28" s="4" t="inlineStr">
        <is>
          <t>Chennai</t>
        </is>
      </c>
      <c r="F28" s="4" t="inlineStr">
        <is>
          <t>Delhivery</t>
        </is>
      </c>
      <c r="G28" s="4" t="inlineStr">
        <is>
          <t>Delivered</t>
        </is>
      </c>
      <c r="H28" s="4" t="n">
        <v>92</v>
      </c>
      <c r="I28" s="7" t="n">
        <v>1978.68</v>
      </c>
      <c r="J28" s="4" t="inlineStr">
        <is>
          <t>TRK380112</t>
        </is>
      </c>
    </row>
    <row r="29">
      <c r="A29" s="4" t="inlineStr">
        <is>
          <t>SHP1025</t>
        </is>
      </c>
      <c r="B29" s="4" t="inlineStr">
        <is>
          <t>CUST001</t>
        </is>
      </c>
      <c r="C29" s="6" t="n">
        <v>46245</v>
      </c>
      <c r="D29" s="4" t="inlineStr">
        <is>
          <t>Bengaluru</t>
        </is>
      </c>
      <c r="E29" s="4" t="inlineStr">
        <is>
          <t>Pune</t>
        </is>
      </c>
      <c r="F29" s="4" t="inlineStr">
        <is>
          <t>Delhivery</t>
        </is>
      </c>
      <c r="G29" s="4" t="inlineStr">
        <is>
          <t>Delivered</t>
        </is>
      </c>
      <c r="H29" s="4" t="n">
        <v>115</v>
      </c>
      <c r="I29" s="7" t="n">
        <v>2060.61</v>
      </c>
      <c r="J29" s="4" t="inlineStr">
        <is>
          <t>TRK597839</t>
        </is>
      </c>
    </row>
    <row r="30">
      <c r="A30" s="4" t="inlineStr">
        <is>
          <t>SHP1026</t>
        </is>
      </c>
      <c r="B30" s="4" t="inlineStr">
        <is>
          <t>CUST002</t>
        </is>
      </c>
      <c r="C30" s="6" t="n">
        <v>46080</v>
      </c>
      <c r="D30" s="4" t="inlineStr">
        <is>
          <t>Mumbai</t>
        </is>
      </c>
      <c r="E30" s="4" t="inlineStr">
        <is>
          <t>Mumbai</t>
        </is>
      </c>
      <c r="F30" s="4" t="inlineStr">
        <is>
          <t>FedEx</t>
        </is>
      </c>
      <c r="G30" s="4" t="inlineStr">
        <is>
          <t>In Transit</t>
        </is>
      </c>
      <c r="H30" s="4" t="n">
        <v>69</v>
      </c>
      <c r="I30" s="7" t="n">
        <v>1986.02</v>
      </c>
      <c r="J30" s="4" t="inlineStr">
        <is>
          <t>TRK967348</t>
        </is>
      </c>
    </row>
    <row r="31">
      <c r="A31" s="4" t="inlineStr">
        <is>
          <t>SHP1027</t>
        </is>
      </c>
      <c r="B31" s="4" t="inlineStr">
        <is>
          <t>CUST003</t>
        </is>
      </c>
      <c r="C31" s="6" t="n">
        <v>46186</v>
      </c>
      <c r="D31" s="4" t="inlineStr">
        <is>
          <t>Delhi</t>
        </is>
      </c>
      <c r="E31" s="4" t="inlineStr">
        <is>
          <t>Bengaluru</t>
        </is>
      </c>
      <c r="F31" s="4" t="inlineStr">
        <is>
          <t>Delhivery</t>
        </is>
      </c>
      <c r="G31" s="4" t="inlineStr">
        <is>
          <t>Delivered</t>
        </is>
      </c>
      <c r="H31" s="4" t="n">
        <v>73</v>
      </c>
      <c r="I31" s="7" t="n">
        <v>1299.42</v>
      </c>
      <c r="J31" s="4" t="inlineStr">
        <is>
          <t>TRK945798</t>
        </is>
      </c>
    </row>
    <row r="32">
      <c r="A32" s="4" t="inlineStr">
        <is>
          <t>SHP1028</t>
        </is>
      </c>
      <c r="B32" s="4" t="inlineStr">
        <is>
          <t>CUST004</t>
        </is>
      </c>
      <c r="C32" s="6" t="n">
        <v>46210</v>
      </c>
      <c r="D32" s="4" t="inlineStr">
        <is>
          <t>Kolkata</t>
        </is>
      </c>
      <c r="E32" s="4" t="inlineStr">
        <is>
          <t>Pune</t>
        </is>
      </c>
      <c r="F32" s="4" t="inlineStr">
        <is>
          <t>Delhivery</t>
        </is>
      </c>
      <c r="G32" s="4" t="inlineStr">
        <is>
          <t>In Transit</t>
        </is>
      </c>
      <c r="H32" s="4" t="n">
        <v>29</v>
      </c>
      <c r="I32" s="7" t="n">
        <v>1055.14</v>
      </c>
      <c r="J32" s="4" t="inlineStr">
        <is>
          <t>TRK386153</t>
        </is>
      </c>
    </row>
    <row r="33">
      <c r="A33" s="4" t="inlineStr">
        <is>
          <t>SHP1029</t>
        </is>
      </c>
      <c r="B33" s="4" t="inlineStr">
        <is>
          <t>CUST005</t>
        </is>
      </c>
      <c r="C33" s="6" t="n">
        <v>46155</v>
      </c>
      <c r="D33" s="4" t="inlineStr">
        <is>
          <t>Mumbai</t>
        </is>
      </c>
      <c r="E33" s="4" t="inlineStr">
        <is>
          <t>Ahmedabad</t>
        </is>
      </c>
      <c r="F33" s="4" t="inlineStr">
        <is>
          <t>BlueDart</t>
        </is>
      </c>
      <c r="G33" s="4" t="inlineStr">
        <is>
          <t>In Transit</t>
        </is>
      </c>
      <c r="H33" s="4" t="n">
        <v>85</v>
      </c>
      <c r="I33" s="7" t="n">
        <v>2566.91</v>
      </c>
      <c r="J33" s="4" t="inlineStr">
        <is>
          <t>TRK226131</t>
        </is>
      </c>
    </row>
    <row r="34">
      <c r="A34" s="4" t="inlineStr">
        <is>
          <t>SHP1030</t>
        </is>
      </c>
      <c r="B34" s="4" t="inlineStr">
        <is>
          <t>CUST006</t>
        </is>
      </c>
      <c r="C34" s="6" t="n">
        <v>46080</v>
      </c>
      <c r="D34" s="4" t="inlineStr">
        <is>
          <t>Ahmedabad</t>
        </is>
      </c>
      <c r="E34" s="4" t="inlineStr">
        <is>
          <t>Ahmedabad</t>
        </is>
      </c>
      <c r="F34" s="4" t="inlineStr">
        <is>
          <t>DHL</t>
        </is>
      </c>
      <c r="G34" s="4" t="inlineStr">
        <is>
          <t>Delivered</t>
        </is>
      </c>
      <c r="H34" s="4" t="n">
        <v>6</v>
      </c>
      <c r="I34" s="7" t="n">
        <v>564.61</v>
      </c>
      <c r="J34" s="4" t="inlineStr">
        <is>
          <t>TRK391943</t>
        </is>
      </c>
    </row>
    <row r="35">
      <c r="A35" s="4" t="inlineStr">
        <is>
          <t>SHP1031</t>
        </is>
      </c>
      <c r="B35" s="4" t="inlineStr">
        <is>
          <t>CUST007</t>
        </is>
      </c>
      <c r="C35" s="6" t="n">
        <v>46235</v>
      </c>
      <c r="D35" s="4" t="inlineStr">
        <is>
          <t>Delhi</t>
        </is>
      </c>
      <c r="E35" s="4" t="inlineStr">
        <is>
          <t>Chennai</t>
        </is>
      </c>
      <c r="F35" s="4" t="inlineStr">
        <is>
          <t>BlueDart</t>
        </is>
      </c>
      <c r="G35" s="4" t="inlineStr">
        <is>
          <t>Delivered</t>
        </is>
      </c>
      <c r="H35" s="4" t="n">
        <v>101</v>
      </c>
      <c r="I35" s="7" t="n">
        <v>2916.25</v>
      </c>
      <c r="J35" s="4" t="inlineStr">
        <is>
          <t>TRK880450</t>
        </is>
      </c>
    </row>
    <row r="36">
      <c r="A36" s="4" t="inlineStr">
        <is>
          <t>SHP1032</t>
        </is>
      </c>
      <c r="B36" s="4" t="inlineStr">
        <is>
          <t>CUST008</t>
        </is>
      </c>
      <c r="C36" s="6" t="n">
        <v>46185</v>
      </c>
      <c r="D36" s="4" t="inlineStr">
        <is>
          <t>Bengaluru</t>
        </is>
      </c>
      <c r="E36" s="4" t="inlineStr">
        <is>
          <t>Bengaluru</t>
        </is>
      </c>
      <c r="F36" s="4" t="inlineStr">
        <is>
          <t>Ecom Express</t>
        </is>
      </c>
      <c r="G36" s="4" t="inlineStr">
        <is>
          <t>In Transit</t>
        </is>
      </c>
      <c r="H36" s="4" t="n">
        <v>38</v>
      </c>
      <c r="I36" s="7" t="n">
        <v>985.17</v>
      </c>
      <c r="J36" s="4" t="inlineStr">
        <is>
          <t>TRK860802</t>
        </is>
      </c>
    </row>
    <row r="37">
      <c r="A37" s="4" t="inlineStr">
        <is>
          <t>SHP1033</t>
        </is>
      </c>
      <c r="B37" s="4" t="inlineStr">
        <is>
          <t>CUST009</t>
        </is>
      </c>
      <c r="C37" s="6" t="n">
        <v>46214</v>
      </c>
      <c r="D37" s="4" t="inlineStr">
        <is>
          <t>Delhi</t>
        </is>
      </c>
      <c r="E37" s="4" t="inlineStr">
        <is>
          <t>Ahmedabad</t>
        </is>
      </c>
      <c r="F37" s="4" t="inlineStr">
        <is>
          <t>Ecom Express</t>
        </is>
      </c>
      <c r="G37" s="4" t="inlineStr">
        <is>
          <t>Delayed</t>
        </is>
      </c>
      <c r="H37" s="4" t="n">
        <v>5</v>
      </c>
      <c r="I37" s="7" t="n">
        <v>539.1900000000001</v>
      </c>
      <c r="J37" s="4" t="inlineStr">
        <is>
          <t>TRK854434</t>
        </is>
      </c>
    </row>
    <row r="38">
      <c r="A38" s="4" t="inlineStr">
        <is>
          <t>SHP1034</t>
        </is>
      </c>
      <c r="B38" s="4" t="inlineStr">
        <is>
          <t>CUST010</t>
        </is>
      </c>
      <c r="C38" s="6" t="n">
        <v>46200</v>
      </c>
      <c r="D38" s="4" t="inlineStr">
        <is>
          <t>Bengaluru</t>
        </is>
      </c>
      <c r="E38" s="4" t="inlineStr">
        <is>
          <t>Bengaluru</t>
        </is>
      </c>
      <c r="F38" s="4" t="inlineStr">
        <is>
          <t>Delhivery</t>
        </is>
      </c>
      <c r="G38" s="4" t="inlineStr">
        <is>
          <t>In Transit</t>
        </is>
      </c>
      <c r="H38" s="4" t="n">
        <v>118</v>
      </c>
      <c r="I38" s="7" t="n">
        <v>2606.67</v>
      </c>
      <c r="J38" s="4" t="inlineStr">
        <is>
          <t>TRK447216</t>
        </is>
      </c>
    </row>
    <row r="39">
      <c r="A39" s="4" t="inlineStr">
        <is>
          <t>SHP1035</t>
        </is>
      </c>
      <c r="B39" s="4" t="inlineStr">
        <is>
          <t>CUST011</t>
        </is>
      </c>
      <c r="C39" s="6" t="n">
        <v>46113</v>
      </c>
      <c r="D39" s="4" t="inlineStr">
        <is>
          <t>Ahmedabad</t>
        </is>
      </c>
      <c r="E39" s="4" t="inlineStr">
        <is>
          <t>Pune</t>
        </is>
      </c>
      <c r="F39" s="4" t="inlineStr">
        <is>
          <t>FedEx</t>
        </is>
      </c>
      <c r="G39" s="4" t="inlineStr">
        <is>
          <t>In Transit</t>
        </is>
      </c>
      <c r="H39" s="4" t="n">
        <v>23</v>
      </c>
      <c r="I39" s="7" t="n">
        <v>791.52</v>
      </c>
      <c r="J39" s="4" t="inlineStr">
        <is>
          <t>TRK537031</t>
        </is>
      </c>
    </row>
    <row r="40">
      <c r="A40" s="4" t="inlineStr">
        <is>
          <t>SHP1036</t>
        </is>
      </c>
      <c r="B40" s="4" t="inlineStr">
        <is>
          <t>CUST012</t>
        </is>
      </c>
      <c r="C40" s="6" t="n">
        <v>46211</v>
      </c>
      <c r="D40" s="4" t="inlineStr">
        <is>
          <t>Bengaluru</t>
        </is>
      </c>
      <c r="E40" s="4" t="inlineStr">
        <is>
          <t>Pune</t>
        </is>
      </c>
      <c r="F40" s="4" t="inlineStr">
        <is>
          <t>BlueDart</t>
        </is>
      </c>
      <c r="G40" s="4" t="inlineStr">
        <is>
          <t>In Transit</t>
        </is>
      </c>
      <c r="H40" s="4" t="n">
        <v>41</v>
      </c>
      <c r="I40" s="7" t="n">
        <v>1201.51</v>
      </c>
      <c r="J40" s="4" t="inlineStr">
        <is>
          <t>TRK867194</t>
        </is>
      </c>
    </row>
    <row r="41">
      <c r="A41" s="4" t="inlineStr">
        <is>
          <t>SHP1037</t>
        </is>
      </c>
      <c r="B41" s="4" t="inlineStr">
        <is>
          <t>CUST001</t>
        </is>
      </c>
      <c r="C41" s="6" t="n">
        <v>46205</v>
      </c>
      <c r="D41" s="4" t="inlineStr">
        <is>
          <t>Mumbai</t>
        </is>
      </c>
      <c r="E41" s="4" t="inlineStr">
        <is>
          <t>Bengaluru</t>
        </is>
      </c>
      <c r="F41" s="4" t="inlineStr">
        <is>
          <t>FedEx</t>
        </is>
      </c>
      <c r="G41" s="4" t="inlineStr">
        <is>
          <t>In Transit</t>
        </is>
      </c>
      <c r="H41" s="4" t="n">
        <v>120</v>
      </c>
      <c r="I41" s="7" t="n">
        <v>3631.77</v>
      </c>
      <c r="J41" s="4" t="inlineStr">
        <is>
          <t>TRK339964</t>
        </is>
      </c>
    </row>
    <row r="42">
      <c r="A42" s="4" t="inlineStr">
        <is>
          <t>SHP1038</t>
        </is>
      </c>
      <c r="B42" s="4" t="inlineStr">
        <is>
          <t>CUST002</t>
        </is>
      </c>
      <c r="C42" s="6" t="n">
        <v>46121</v>
      </c>
      <c r="D42" s="4" t="inlineStr">
        <is>
          <t>Chennai</t>
        </is>
      </c>
      <c r="E42" s="4" t="inlineStr">
        <is>
          <t>Ahmedabad</t>
        </is>
      </c>
      <c r="F42" s="4" t="inlineStr">
        <is>
          <t>BlueDart</t>
        </is>
      </c>
      <c r="G42" s="4" t="inlineStr">
        <is>
          <t>In Transit</t>
        </is>
      </c>
      <c r="H42" s="4" t="n">
        <v>106</v>
      </c>
      <c r="I42" s="7" t="n">
        <v>3159.05</v>
      </c>
      <c r="J42" s="4" t="inlineStr">
        <is>
          <t>TRK325907</t>
        </is>
      </c>
    </row>
    <row r="43">
      <c r="A43" s="4" t="inlineStr">
        <is>
          <t>SHP1039</t>
        </is>
      </c>
      <c r="B43" s="4" t="inlineStr">
        <is>
          <t>CUST003</t>
        </is>
      </c>
      <c r="C43" s="6" t="n">
        <v>46042</v>
      </c>
      <c r="D43" s="4" t="inlineStr">
        <is>
          <t>Mumbai</t>
        </is>
      </c>
      <c r="E43" s="4" t="inlineStr">
        <is>
          <t>Mumbai</t>
        </is>
      </c>
      <c r="F43" s="4" t="inlineStr">
        <is>
          <t>DHL</t>
        </is>
      </c>
      <c r="G43" s="4" t="inlineStr">
        <is>
          <t>In Transit</t>
        </is>
      </c>
      <c r="H43" s="4" t="n">
        <v>50</v>
      </c>
      <c r="I43" s="7" t="n">
        <v>1454.51</v>
      </c>
      <c r="J43" s="4" t="inlineStr">
        <is>
          <t>TRK327193</t>
        </is>
      </c>
    </row>
    <row r="44">
      <c r="A44" s="4" t="inlineStr">
        <is>
          <t>SHP1040</t>
        </is>
      </c>
      <c r="B44" s="4" t="inlineStr">
        <is>
          <t>CUST004</t>
        </is>
      </c>
      <c r="C44" s="6" t="n">
        <v>46211</v>
      </c>
      <c r="D44" s="4" t="inlineStr">
        <is>
          <t>Kolkata</t>
        </is>
      </c>
      <c r="E44" s="4" t="inlineStr">
        <is>
          <t>Kolkata</t>
        </is>
      </c>
      <c r="F44" s="4" t="inlineStr">
        <is>
          <t>Ecom Express</t>
        </is>
      </c>
      <c r="G44" s="4" t="inlineStr">
        <is>
          <t>Delayed</t>
        </is>
      </c>
      <c r="H44" s="4" t="n">
        <v>86</v>
      </c>
      <c r="I44" s="7" t="n">
        <v>2598.21</v>
      </c>
      <c r="J44" s="4" t="inlineStr">
        <is>
          <t>TRK438946</t>
        </is>
      </c>
    </row>
    <row r="45">
      <c r="A45" s="4" t="inlineStr">
        <is>
          <t>SHP1041</t>
        </is>
      </c>
      <c r="B45" s="4" t="inlineStr">
        <is>
          <t>CUST005</t>
        </is>
      </c>
      <c r="C45" s="6" t="n">
        <v>46220</v>
      </c>
      <c r="D45" s="4" t="inlineStr">
        <is>
          <t>Ahmedabad</t>
        </is>
      </c>
      <c r="E45" s="4" t="inlineStr">
        <is>
          <t>Hyderabad</t>
        </is>
      </c>
      <c r="F45" s="4" t="inlineStr">
        <is>
          <t>Delhivery</t>
        </is>
      </c>
      <c r="G45" s="4" t="inlineStr">
        <is>
          <t>Delivered</t>
        </is>
      </c>
      <c r="H45" s="4" t="n">
        <v>21</v>
      </c>
      <c r="I45" s="7" t="n">
        <v>825.36</v>
      </c>
      <c r="J45" s="4" t="inlineStr">
        <is>
          <t>TRK673108</t>
        </is>
      </c>
    </row>
    <row r="46">
      <c r="A46" s="4" t="inlineStr">
        <is>
          <t>SHP1042</t>
        </is>
      </c>
      <c r="B46" s="4" t="inlineStr">
        <is>
          <t>CUST006</t>
        </is>
      </c>
      <c r="C46" s="6" t="n">
        <v>46115</v>
      </c>
      <c r="D46" s="4" t="inlineStr">
        <is>
          <t>Pune</t>
        </is>
      </c>
      <c r="E46" s="4" t="inlineStr">
        <is>
          <t>Mumbai</t>
        </is>
      </c>
      <c r="F46" s="4" t="inlineStr">
        <is>
          <t>Ecom Express</t>
        </is>
      </c>
      <c r="G46" s="4" t="inlineStr">
        <is>
          <t>Delayed</t>
        </is>
      </c>
      <c r="H46" s="4" t="n">
        <v>68</v>
      </c>
      <c r="I46" s="7" t="n">
        <v>1705.84</v>
      </c>
      <c r="J46" s="4" t="inlineStr">
        <is>
          <t>TRK291111</t>
        </is>
      </c>
    </row>
    <row r="47">
      <c r="A47" s="4" t="inlineStr">
        <is>
          <t>SHP1043</t>
        </is>
      </c>
      <c r="B47" s="4" t="inlineStr">
        <is>
          <t>CUST007</t>
        </is>
      </c>
      <c r="C47" s="6" t="n">
        <v>46166</v>
      </c>
      <c r="D47" s="4" t="inlineStr">
        <is>
          <t>Mumbai</t>
        </is>
      </c>
      <c r="E47" s="4" t="inlineStr">
        <is>
          <t>Hyderabad</t>
        </is>
      </c>
      <c r="F47" s="4" t="inlineStr">
        <is>
          <t>DHL</t>
        </is>
      </c>
      <c r="G47" s="4" t="inlineStr">
        <is>
          <t>In Transit</t>
        </is>
      </c>
      <c r="H47" s="4" t="n">
        <v>79</v>
      </c>
      <c r="I47" s="7" t="n">
        <v>2162.38</v>
      </c>
      <c r="J47" s="4" t="inlineStr">
        <is>
          <t>TRK572185</t>
        </is>
      </c>
    </row>
    <row r="48">
      <c r="A48" s="4" t="inlineStr">
        <is>
          <t>SHP1044</t>
        </is>
      </c>
      <c r="B48" s="4" t="inlineStr">
        <is>
          <t>CUST008</t>
        </is>
      </c>
      <c r="C48" s="6" t="n">
        <v>46046</v>
      </c>
      <c r="D48" s="4" t="inlineStr">
        <is>
          <t>Pune</t>
        </is>
      </c>
      <c r="E48" s="4" t="inlineStr">
        <is>
          <t>Ahmedabad</t>
        </is>
      </c>
      <c r="F48" s="4" t="inlineStr">
        <is>
          <t>BlueDart</t>
        </is>
      </c>
      <c r="G48" s="4" t="inlineStr">
        <is>
          <t>In Transit</t>
        </is>
      </c>
      <c r="H48" s="4" t="n">
        <v>105</v>
      </c>
      <c r="I48" s="7" t="n">
        <v>1831.15</v>
      </c>
      <c r="J48" s="4" t="inlineStr">
        <is>
          <t>TRK268091</t>
        </is>
      </c>
    </row>
    <row r="49">
      <c r="A49" s="4" t="inlineStr">
        <is>
          <t>SHP1045</t>
        </is>
      </c>
      <c r="B49" s="4" t="inlineStr">
        <is>
          <t>CUST009</t>
        </is>
      </c>
      <c r="C49" s="6" t="n">
        <v>46100</v>
      </c>
      <c r="D49" s="4" t="inlineStr">
        <is>
          <t>Hyderabad</t>
        </is>
      </c>
      <c r="E49" s="4" t="inlineStr">
        <is>
          <t>Chennai</t>
        </is>
      </c>
      <c r="F49" s="4" t="inlineStr">
        <is>
          <t>BlueDart</t>
        </is>
      </c>
      <c r="G49" s="4" t="inlineStr">
        <is>
          <t>In Transit</t>
        </is>
      </c>
      <c r="H49" s="4" t="n">
        <v>19</v>
      </c>
      <c r="I49" s="7" t="n">
        <v>654.11</v>
      </c>
      <c r="J49" s="4" t="inlineStr">
        <is>
          <t>TRK554215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8" customWidth="1" min="4" max="4"/>
    <col width="18" customWidth="1" min="5" max="5"/>
  </cols>
  <sheetData>
    <row r="1">
      <c r="A1" s="1" t="inlineStr">
        <is>
          <t>MASTER DATA — CITY ZONES &amp; FREIGHT RATES</t>
        </is>
      </c>
    </row>
    <row r="2">
      <c r="A2" s="2" t="inlineStr">
        <is>
          <t>Lookup table for XLOOKUP practice.</t>
        </is>
      </c>
    </row>
    <row r="3"/>
    <row r="4">
      <c r="A4" s="8" t="inlineStr">
        <is>
          <t>City</t>
        </is>
      </c>
      <c r="B4" s="8" t="inlineStr">
        <is>
          <t>Zone</t>
        </is>
      </c>
      <c r="C4" s="8" t="inlineStr">
        <is>
          <t>Base Rate</t>
        </is>
      </c>
      <c r="D4" s="8" t="inlineStr">
        <is>
          <t>Priority Rate</t>
        </is>
      </c>
      <c r="E4" s="8" t="inlineStr">
        <is>
          <t>Regional Hub</t>
        </is>
      </c>
    </row>
    <row r="5">
      <c r="A5" s="4" t="inlineStr">
        <is>
          <t>Mumbai</t>
        </is>
      </c>
      <c r="B5" s="4" t="inlineStr">
        <is>
          <t>West</t>
        </is>
      </c>
      <c r="C5" s="4" t="n">
        <v>484</v>
      </c>
      <c r="D5" s="4" t="n">
        <v>734</v>
      </c>
      <c r="E5" s="4" t="inlineStr">
        <is>
          <t>Bengaluru</t>
        </is>
      </c>
    </row>
    <row r="6">
      <c r="A6" s="4" t="inlineStr">
        <is>
          <t>Delhi</t>
        </is>
      </c>
      <c r="B6" s="4" t="inlineStr">
        <is>
          <t>North</t>
        </is>
      </c>
      <c r="C6" s="4" t="n">
        <v>665</v>
      </c>
      <c r="D6" s="4" t="n">
        <v>1066</v>
      </c>
      <c r="E6" s="4" t="inlineStr">
        <is>
          <t>Delhi</t>
        </is>
      </c>
    </row>
    <row r="7">
      <c r="A7" s="4" t="inlineStr">
        <is>
          <t>Bengaluru</t>
        </is>
      </c>
      <c r="B7" s="4" t="inlineStr">
        <is>
          <t>South</t>
        </is>
      </c>
      <c r="C7" s="4" t="n">
        <v>629</v>
      </c>
      <c r="D7" s="4" t="n">
        <v>832</v>
      </c>
      <c r="E7" s="4" t="inlineStr">
        <is>
          <t>Delhi</t>
        </is>
      </c>
    </row>
    <row r="8">
      <c r="A8" s="4" t="inlineStr">
        <is>
          <t>Pune</t>
        </is>
      </c>
      <c r="B8" s="4" t="inlineStr">
        <is>
          <t>West</t>
        </is>
      </c>
      <c r="C8" s="4" t="n">
        <v>708</v>
      </c>
      <c r="D8" s="4" t="n">
        <v>986</v>
      </c>
      <c r="E8" s="4" t="inlineStr">
        <is>
          <t>Bengaluru</t>
        </is>
      </c>
    </row>
    <row r="9">
      <c r="A9" s="4" t="inlineStr">
        <is>
          <t>Hyderabad</t>
        </is>
      </c>
      <c r="B9" s="4" t="inlineStr">
        <is>
          <t>South</t>
        </is>
      </c>
      <c r="C9" s="4" t="n">
        <v>728</v>
      </c>
      <c r="D9" s="4" t="n">
        <v>992</v>
      </c>
      <c r="E9" s="4" t="inlineStr">
        <is>
          <t>Bengaluru</t>
        </is>
      </c>
    </row>
    <row r="10">
      <c r="A10" s="4" t="inlineStr">
        <is>
          <t>Chennai</t>
        </is>
      </c>
      <c r="B10" s="4" t="inlineStr">
        <is>
          <t>South</t>
        </is>
      </c>
      <c r="C10" s="4" t="n">
        <v>492</v>
      </c>
      <c r="D10" s="4" t="n">
        <v>993</v>
      </c>
      <c r="E10" s="4" t="inlineStr">
        <is>
          <t>Delhi</t>
        </is>
      </c>
    </row>
    <row r="11">
      <c r="A11" s="4" t="inlineStr">
        <is>
          <t>Kolkata</t>
        </is>
      </c>
      <c r="B11" s="4" t="inlineStr">
        <is>
          <t>East</t>
        </is>
      </c>
      <c r="C11" s="4" t="n">
        <v>544</v>
      </c>
      <c r="D11" s="4" t="n">
        <v>714</v>
      </c>
      <c r="E11" s="4" t="inlineStr">
        <is>
          <t>Mumbai</t>
        </is>
      </c>
    </row>
    <row r="12">
      <c r="A12" s="4" t="inlineStr">
        <is>
          <t>Ahmedabad</t>
        </is>
      </c>
      <c r="B12" s="4" t="inlineStr">
        <is>
          <t>West</t>
        </is>
      </c>
      <c r="C12" s="4" t="n">
        <v>474</v>
      </c>
      <c r="D12" s="4" t="n">
        <v>1024</v>
      </c>
      <c r="E12" s="4" t="inlineStr">
        <is>
          <t>Delhi</t>
        </is>
      </c>
    </row>
  </sheetData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5" customWidth="1" min="3" max="3"/>
    <col width="4" customWidth="1" min="4" max="4"/>
    <col width="24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PRACTICE WORKSPACE — XLOOKUP</t>
        </is>
      </c>
    </row>
    <row r="2">
      <c r="A2" s="2" t="inlineStr">
        <is>
          <t>Use the source sheets. Yellow cells are your inputs.</t>
        </is>
      </c>
    </row>
    <row r="3"/>
    <row r="4">
      <c r="A4" s="8" t="inlineStr">
        <is>
          <t>Field</t>
        </is>
      </c>
      <c r="B4" s="8" t="inlineStr">
        <is>
          <t>Value</t>
        </is>
      </c>
      <c r="C4" s="8" t="inlineStr">
        <is>
          <t>Instruction</t>
        </is>
      </c>
      <c r="E4" s="9" t="inlineStr">
        <is>
          <t>HARD SCENARIO</t>
        </is>
      </c>
    </row>
    <row r="5">
      <c r="A5" s="4" t="inlineStr">
        <is>
          <t>Shipment ID</t>
        </is>
      </c>
      <c r="B5" s="4" t="inlineStr">
        <is>
          <t>SHP1008</t>
        </is>
      </c>
      <c r="C5" s="4" t="inlineStr">
        <is>
          <t>Change to any ID.</t>
        </is>
      </c>
      <c r="E5" s="4" t="inlineStr">
        <is>
          <t>Selected Customer</t>
        </is>
      </c>
      <c r="F5" s="4" t="inlineStr">
        <is>
          <t>CUST003</t>
        </is>
      </c>
    </row>
    <row r="6">
      <c r="A6" s="4" t="inlineStr">
        <is>
          <t>Customer</t>
        </is>
      </c>
      <c r="B6" s="4" t="inlineStr">
        <is>
          <t>CUST003</t>
        </is>
      </c>
      <c r="C6" s="4" t="inlineStr">
        <is>
          <t>Use this for latest-match practice.</t>
        </is>
      </c>
      <c r="E6" s="4" t="inlineStr">
        <is>
          <t>Latest Shipment ID</t>
        </is>
      </c>
      <c r="F6" s="4" t="inlineStr"/>
    </row>
    <row r="7">
      <c r="A7" s="4" t="inlineStr">
        <is>
          <t>Destination</t>
        </is>
      </c>
      <c r="B7" s="4" t="inlineStr">
        <is>
          <t>Mumbai</t>
        </is>
      </c>
      <c r="C7" s="4" t="inlineStr">
        <is>
          <t>Use Master Data.</t>
        </is>
      </c>
      <c r="E7" s="4" t="inlineStr">
        <is>
          <t>Latest Carrier</t>
        </is>
      </c>
      <c r="F7" s="4" t="inlineStr"/>
    </row>
    <row r="8">
      <c r="A8" s="4" t="inlineStr">
        <is>
          <t>Carrier</t>
        </is>
      </c>
      <c r="B8" s="4" t="inlineStr"/>
      <c r="C8" s="4" t="inlineStr">
        <is>
          <t>XLOOKUP</t>
        </is>
      </c>
      <c r="E8" s="4" t="inlineStr">
        <is>
          <t>Latest Zone</t>
        </is>
      </c>
      <c r="F8" s="4" t="inlineStr"/>
    </row>
    <row r="9">
      <c r="A9" s="4" t="inlineStr">
        <is>
          <t>Freight Cost</t>
        </is>
      </c>
      <c r="B9" s="4" t="inlineStr"/>
      <c r="C9" s="4" t="inlineStr">
        <is>
          <t>XLOOKUP with not-found</t>
        </is>
      </c>
    </row>
    <row r="10">
      <c r="A10" s="4" t="inlineStr">
        <is>
          <t>Zone</t>
        </is>
      </c>
      <c r="B10" s="4" t="inlineStr"/>
      <c r="C10" s="4" t="inlineStr">
        <is>
          <t>XLOOKUP Master Data</t>
        </is>
      </c>
    </row>
    <row r="11">
      <c r="A11" s="4" t="inlineStr">
        <is>
          <t>Latest Shipment for Customer</t>
        </is>
      </c>
      <c r="B11" s="4" t="inlineStr"/>
      <c r="C11" s="4" t="inlineStr">
        <is>
          <t>XLOOKUP last match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8" customWidth="1" min="2" max="2"/>
    <col width="42" customWidth="1" min="3" max="3"/>
  </cols>
  <sheetData>
    <row r="1">
      <c r="A1" s="1" t="inlineStr">
        <is>
          <t>SOLUTION — ADVANCED XLOOKUP</t>
        </is>
      </c>
    </row>
    <row r="2">
      <c r="A2" s="2" t="inlineStr">
        <is>
          <t>Worked formulas and patterns.</t>
        </is>
      </c>
    </row>
    <row r="3"/>
    <row r="4">
      <c r="A4" s="3" t="inlineStr">
        <is>
          <t>Question</t>
        </is>
      </c>
      <c r="B4" s="3" t="inlineStr">
        <is>
          <t>Formula</t>
        </is>
      </c>
      <c r="C4" s="3" t="inlineStr">
        <is>
          <t>Purpose</t>
        </is>
      </c>
    </row>
    <row r="5">
      <c r="A5" s="4" t="inlineStr">
        <is>
          <t>Q1</t>
        </is>
      </c>
      <c r="B5" s="4">
        <f>XLOOKUP(PRACTICE!$B$5,'SHIPMENT DATA'!$A$5:$A$49,'SHIPMENT DATA'!$F$5:$F$49,"Not Found")</f>
        <v/>
      </c>
      <c r="C5" s="4" t="inlineStr">
        <is>
          <t>Carrier lookup</t>
        </is>
      </c>
    </row>
    <row r="6">
      <c r="A6" s="4" t="inlineStr">
        <is>
          <t>Q2</t>
        </is>
      </c>
      <c r="B6" s="4">
        <f>XLOOKUP(PRACTICE!$B$5,'SHIPMENT DATA'!$A$5:$A$49,'SHIPMENT DATA'!$I$5:$I$49,"Not Found")</f>
        <v/>
      </c>
      <c r="C6" s="4" t="inlineStr">
        <is>
          <t>Error handling</t>
        </is>
      </c>
    </row>
    <row r="7">
      <c r="A7" s="4" t="inlineStr">
        <is>
          <t>Q3</t>
        </is>
      </c>
      <c r="B7" s="4">
        <f>XLOOKUP(PRACTICE!$B$6,'SHIPMENT DATA'!$B$5:$B$49,'SHIPMENT DATA'!$A$5:$A$49,"Not Found",0,-1)</f>
        <v/>
      </c>
      <c r="C7" s="4" t="inlineStr">
        <is>
          <t>Last matching shipment</t>
        </is>
      </c>
    </row>
    <row r="8">
      <c r="A8" s="4" t="inlineStr">
        <is>
          <t>Q4</t>
        </is>
      </c>
      <c r="B8" s="4">
        <f>XLOOKUP(PRACTICE!$B$7,'MASTER DATA'!$A$5:$A$12,'MASTER DATA'!$B$5:$B$12,"Not Found")</f>
        <v/>
      </c>
      <c r="C8" s="4" t="inlineStr">
        <is>
          <t>Cross-sheet lookup</t>
        </is>
      </c>
    </row>
    <row r="9">
      <c r="A9" s="4" t="inlineStr">
        <is>
          <t>Q5</t>
        </is>
      </c>
      <c r="B9" s="4">
        <f>XLOOKUP(PRACTICE!$B$5,'SHIPMENT DATA'!$A$5:$A$49,'SHIPMENT DATA'!$F$5:$J$49,"Not Found")</f>
        <v/>
      </c>
      <c r="C9" s="4" t="inlineStr">
        <is>
          <t>Multiple adjacent returns</t>
        </is>
      </c>
    </row>
    <row r="10">
      <c r="A10" s="4" t="inlineStr">
        <is>
          <t>Hard</t>
        </is>
      </c>
      <c r="B10" s="4">
        <f>XLOOKUP(PRACTICE!$F$5,'SHIPMENT DATA'!$B$5:$B$49,'SHIPMENT DATA'!$A$5:$A$49,"Not Found",0,-1)</f>
        <v/>
      </c>
      <c r="C10" s="4" t="inlineStr">
        <is>
          <t>Latest shipment ID</t>
        </is>
      </c>
    </row>
    <row r="11"/>
    <row r="12"/>
    <row r="13"/>
    <row r="14">
      <c r="A14" s="10" t="inlineStr">
        <is>
          <t>XLOOKUP ADVANCED CHECK</t>
        </is>
      </c>
    </row>
    <row r="15">
      <c r="A15" s="4" t="inlineStr">
        <is>
          <t>Test an invalid Shipment ID. The formula should return Not Found rather than an Excel error.</t>
        </is>
      </c>
    </row>
    <row r="16"/>
  </sheetData>
  <mergeCells count="3">
    <mergeCell ref="A15:F16"/>
    <mergeCell ref="A2:H2"/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2026-08-31T05:44:47Z</dcterms:created>
  <dcterms:modified xmlns:dcterms="http://purl.org/dc/terms/" xmlns:xsi="http://www.w3.org/2001/XMLSchema-instance" xsi:type="dcterms:W3CDTF">2026-08-31T05:44:47Z</dcterms:modified>
</cp:coreProperties>
</file>