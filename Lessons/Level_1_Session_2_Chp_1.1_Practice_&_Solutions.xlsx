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"/>
    </mc:Choice>
  </mc:AlternateContent>
  <xr:revisionPtr revIDLastSave="0" documentId="13_ncr:1_{C5EEDD32-EC61-47BF-A6F9-BF77036DB9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actice" sheetId="1" r:id="rId1"/>
    <sheet name="Solution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2" l="1"/>
  <c r="F70" i="2" s="1"/>
  <c r="D69" i="2"/>
  <c r="F69" i="2" s="1"/>
  <c r="F68" i="2"/>
  <c r="D68" i="2"/>
  <c r="D67" i="2"/>
  <c r="F67" i="2" s="1"/>
  <c r="E60" i="2"/>
  <c r="E59" i="2"/>
  <c r="E58" i="2"/>
  <c r="E57" i="2"/>
  <c r="E56" i="2"/>
  <c r="E55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G36" i="2"/>
  <c r="E36" i="2"/>
  <c r="C36" i="2"/>
  <c r="G35" i="2"/>
  <c r="E35" i="2"/>
  <c r="C35" i="2"/>
  <c r="G34" i="2"/>
  <c r="E34" i="2"/>
  <c r="C34" i="2"/>
  <c r="G33" i="2"/>
  <c r="E33" i="2"/>
  <c r="C33" i="2"/>
  <c r="E28" i="2"/>
  <c r="F28" i="2" s="1"/>
  <c r="E27" i="2"/>
  <c r="F27" i="2" s="1"/>
  <c r="E26" i="2"/>
  <c r="F26" i="2" s="1"/>
  <c r="E25" i="2"/>
  <c r="F25" i="2" s="1"/>
  <c r="F20" i="2"/>
  <c r="E20" i="2"/>
  <c r="F19" i="2"/>
  <c r="E19" i="2"/>
  <c r="F18" i="2"/>
  <c r="E18" i="2"/>
  <c r="F17" i="2"/>
  <c r="E17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</calcChain>
</file>

<file path=xl/sharedStrings.xml><?xml version="1.0" encoding="utf-8"?>
<sst xmlns="http://schemas.openxmlformats.org/spreadsheetml/2006/main" count="198" uniqueCount="80">
  <si>
    <t>Excel Mastery — Session 2 | Chapter 1</t>
  </si>
  <si>
    <t>Basic Formulas Practice | Complete the yellow cells, then check the Solutions sheet.</t>
  </si>
  <si>
    <t>Learning rule: use cell references and copy formulas down wherever possible.</t>
  </si>
  <si>
    <t>1. SUM, AVERAGE, COUNT, MIN, MAX</t>
  </si>
  <si>
    <t>Product</t>
  </si>
  <si>
    <t>Jan Sales</t>
  </si>
  <si>
    <t>Feb Sales</t>
  </si>
  <si>
    <t>Mar Sales</t>
  </si>
  <si>
    <t>Total</t>
  </si>
  <si>
    <t>Average</t>
  </si>
  <si>
    <t>Count</t>
  </si>
  <si>
    <t>Min / Max</t>
  </si>
  <si>
    <t>Laptop</t>
  </si>
  <si>
    <t>Printer</t>
  </si>
  <si>
    <t>Monitor</t>
  </si>
  <si>
    <t>Keyboard</t>
  </si>
  <si>
    <t>Mouse</t>
  </si>
  <si>
    <t>Tasks: Total = SUM(B:D) | Average = AVERAGE(B:D) | Count = COUNT(B:D) | Min / Max = MIN(B:D) and MAX(B:D).</t>
  </si>
  <si>
    <t>2. Basic Math Operators</t>
  </si>
  <si>
    <t>Item</t>
  </si>
  <si>
    <t>Qty</t>
  </si>
  <si>
    <t>Unit Price</t>
  </si>
  <si>
    <t>Discount %</t>
  </si>
  <si>
    <t>Net Amount</t>
  </si>
  <si>
    <t>Your Formula</t>
  </si>
  <si>
    <t>Net Amount = Qty × Unit Price × (1 − Discount %). Use *, -, and parentheses.</t>
  </si>
  <si>
    <t>3. Relative &amp; Absolute References</t>
  </si>
  <si>
    <t>GST Rate</t>
  </si>
  <si>
    <t>GST Amount</t>
  </si>
  <si>
    <t>Gross Amount</t>
  </si>
  <si>
    <t>Pen</t>
  </si>
  <si>
    <t>Notebook</t>
  </si>
  <si>
    <t>Pencil</t>
  </si>
  <si>
    <t>Eraser</t>
  </si>
  <si>
    <t>Use $ to lock the GST rate: GST Amount = Unit Price × $D$25. Gross Amount = Qty × Unit Price + GST Amount × Qty.</t>
  </si>
  <si>
    <t>4. IF — Real-World Decision Examples</t>
  </si>
  <si>
    <t>Employee</t>
  </si>
  <si>
    <t>Marks</t>
  </si>
  <si>
    <t>Pass / Fail</t>
  </si>
  <si>
    <t>Sales</t>
  </si>
  <si>
    <t>Commission</t>
  </si>
  <si>
    <t>Attendance Days</t>
  </si>
  <si>
    <t>Attendance Status</t>
  </si>
  <si>
    <t>Ravi</t>
  </si>
  <si>
    <t>Priya</t>
  </si>
  <si>
    <t>Amit</t>
  </si>
  <si>
    <t>Neha</t>
  </si>
  <si>
    <t>C: =IF(B33&gt;=35,"Pass","Fail") | E: =IF(D33&gt;=10000,D33*5%,0) | G: =IF(F33&gt;=20,"Present","Absent")</t>
  </si>
  <si>
    <t>5. COUNTIF — Total Frequency vs Running Occurrence</t>
  </si>
  <si>
    <t>Row</t>
  </si>
  <si>
    <t>Serial No.</t>
  </si>
  <si>
    <t>Total Frequency</t>
  </si>
  <si>
    <t>Occurrence #</t>
  </si>
  <si>
    <t>SN1001</t>
  </si>
  <si>
    <t>SN1002</t>
  </si>
  <si>
    <t>SN1003</t>
  </si>
  <si>
    <t>SN1004</t>
  </si>
  <si>
    <t>Total Frequency: =COUNTIF($B$43:$B$50,B43) | Running Occurrence: =COUNTIF($B$43:B43,B43)</t>
  </si>
  <si>
    <t>6. SUMIF — Real-World Sales by Product</t>
  </si>
  <si>
    <t>Date</t>
  </si>
  <si>
    <t>Region</t>
  </si>
  <si>
    <t>Sales Amount</t>
  </si>
  <si>
    <t>Product Total</t>
  </si>
  <si>
    <t>01-May-2026</t>
  </si>
  <si>
    <t>North</t>
  </si>
  <si>
    <t>South</t>
  </si>
  <si>
    <t>02-May-2026</t>
  </si>
  <si>
    <t>East</t>
  </si>
  <si>
    <t>03-May-2026</t>
  </si>
  <si>
    <t>West</t>
  </si>
  <si>
    <t>Calculate Product Total using SUMIF. Example: =SUMIF($B$55:$B$60,B55,$D$55:$D$60)</t>
  </si>
  <si>
    <t>7. Mini Business Challenge</t>
  </si>
  <si>
    <t>Units</t>
  </si>
  <si>
    <t>Target</t>
  </si>
  <si>
    <t>Target Status</t>
  </si>
  <si>
    <t>Sales = Units × Unit Price. Target Status = IF(Sales&gt;=Target,"Target Met","Below Target"). Bonus: SUM, AVERAGE, MIN, MAX on Sales.</t>
  </si>
  <si>
    <t>Excel Mastery — Session 2 | Chapter 1 — SOLUTIONS</t>
  </si>
  <si>
    <t>Same row/column structure as Practice. Green cells contain the live solution formulas.</t>
  </si>
  <si>
    <t>GREEN CELLS = SOLUTION FORMULAS</t>
  </si>
  <si>
    <t>Practice and Solutions align row-for-row.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</si>
</sst>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1B5E20"/>
      <name val="Calibri"/>
    </font>
    <font>
      <b/>
      <sz val="11"/>
      <color rgb="FF1B5E20"/>
      <name val="Calibri"/>
    </font>
    <font>
      <b/>
      <sz val="13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1B5E2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2CC"/>
      </patternFill>
    </fill>
    <fill>
      <patternFill patternType="solid">
        <fgColor rgb="FF1565C0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C6282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9" fontId="6" fillId="2" borderId="1" xfId="0" applyNumberFormat="1" applyFont="1" applyFill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0" borderId="0" xfId="0" applyFont="1"/>
    <xf numFmtId="0" fontId="7" fillId="0" borderId="0" xfId="0" applyFont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164" fontId="3" fillId="8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4" width="20" customWidth="1"/>
    <col min="5" max="8" width="24" customWidth="1"/>
  </cols>
  <sheetData>
    <row r="1" spans="1:8" ht="31.95" customHeight="1" x14ac:dyDescent="0.3">
      <c r="A1" s="23" t="s">
        <v>0</v>
      </c>
      <c r="B1" s="16"/>
      <c r="C1" s="16"/>
      <c r="D1" s="16"/>
      <c r="E1" s="16"/>
      <c r="F1" s="16"/>
      <c r="G1" s="16"/>
      <c r="H1" s="16"/>
    </row>
    <row r="2" spans="1:8" x14ac:dyDescent="0.3">
      <c r="A2" s="19" t="s">
        <v>1</v>
      </c>
      <c r="B2" s="16"/>
      <c r="C2" s="16"/>
      <c r="D2" s="16"/>
      <c r="E2" s="16"/>
      <c r="F2" s="16"/>
      <c r="G2" s="16"/>
      <c r="H2" s="16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5" t="s">
        <v>2</v>
      </c>
      <c r="B4" s="16"/>
      <c r="C4" s="16"/>
      <c r="D4" s="16"/>
      <c r="E4" s="16"/>
      <c r="F4" s="16"/>
      <c r="G4" s="16"/>
      <c r="H4" s="16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4" customHeight="1" x14ac:dyDescent="0.3">
      <c r="A6" s="21" t="s">
        <v>3</v>
      </c>
      <c r="B6" s="16"/>
      <c r="C6" s="16"/>
      <c r="D6" s="16"/>
      <c r="E6" s="16"/>
      <c r="F6" s="16"/>
      <c r="G6" s="16"/>
      <c r="H6" s="16"/>
    </row>
    <row r="7" spans="1:8" x14ac:dyDescent="0.3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</row>
    <row r="8" spans="1:8" x14ac:dyDescent="0.3">
      <c r="A8" s="3" t="s">
        <v>12</v>
      </c>
      <c r="B8" s="4">
        <v>45000</v>
      </c>
      <c r="C8" s="4">
        <v>52000</v>
      </c>
      <c r="D8" s="4">
        <v>48000</v>
      </c>
      <c r="E8" s="5"/>
      <c r="F8" s="5"/>
      <c r="G8" s="5"/>
      <c r="H8" s="5"/>
    </row>
    <row r="9" spans="1:8" x14ac:dyDescent="0.3">
      <c r="A9" s="3" t="s">
        <v>13</v>
      </c>
      <c r="B9" s="4">
        <v>12000</v>
      </c>
      <c r="C9" s="4">
        <v>15000</v>
      </c>
      <c r="D9" s="4">
        <v>13000</v>
      </c>
      <c r="E9" s="5"/>
      <c r="F9" s="5"/>
      <c r="G9" s="5"/>
      <c r="H9" s="5"/>
    </row>
    <row r="10" spans="1:8" x14ac:dyDescent="0.3">
      <c r="A10" s="3" t="s">
        <v>14</v>
      </c>
      <c r="B10" s="4">
        <v>8500</v>
      </c>
      <c r="C10" s="4">
        <v>9200</v>
      </c>
      <c r="D10" s="4">
        <v>8800</v>
      </c>
      <c r="E10" s="5"/>
      <c r="F10" s="5"/>
      <c r="G10" s="5"/>
      <c r="H10" s="5"/>
    </row>
    <row r="11" spans="1:8" x14ac:dyDescent="0.3">
      <c r="A11" s="3" t="s">
        <v>15</v>
      </c>
      <c r="B11" s="4">
        <v>3200</v>
      </c>
      <c r="C11" s="4">
        <v>4100</v>
      </c>
      <c r="D11" s="4">
        <v>3900</v>
      </c>
      <c r="E11" s="5"/>
      <c r="F11" s="5"/>
      <c r="G11" s="5"/>
      <c r="H11" s="5"/>
    </row>
    <row r="12" spans="1:8" x14ac:dyDescent="0.3">
      <c r="A12" s="3" t="s">
        <v>16</v>
      </c>
      <c r="B12" s="4">
        <v>1800</v>
      </c>
      <c r="C12" s="4">
        <v>2100</v>
      </c>
      <c r="D12" s="4">
        <v>2300</v>
      </c>
      <c r="E12" s="5"/>
      <c r="F12" s="5"/>
      <c r="G12" s="5"/>
      <c r="H12" s="5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7" t="s">
        <v>17</v>
      </c>
      <c r="B14" s="16"/>
      <c r="C14" s="16"/>
      <c r="D14" s="16"/>
      <c r="E14" s="16"/>
      <c r="F14" s="16"/>
      <c r="G14" s="16"/>
      <c r="H14" s="16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ht="24" customHeight="1" x14ac:dyDescent="0.3">
      <c r="A16" s="20" t="s">
        <v>18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2" t="s">
        <v>19</v>
      </c>
      <c r="B17" s="2" t="s">
        <v>20</v>
      </c>
      <c r="C17" s="2" t="s">
        <v>21</v>
      </c>
      <c r="D17" s="6" t="s">
        <v>22</v>
      </c>
      <c r="E17" s="2" t="s">
        <v>23</v>
      </c>
      <c r="F17" s="2" t="s">
        <v>24</v>
      </c>
      <c r="G17" s="1"/>
      <c r="H17" s="1"/>
    </row>
    <row r="18" spans="1:8" x14ac:dyDescent="0.3">
      <c r="A18" s="3" t="s">
        <v>12</v>
      </c>
      <c r="B18" s="4">
        <v>3</v>
      </c>
      <c r="C18" s="4">
        <v>45000</v>
      </c>
      <c r="D18" s="7">
        <v>0.05</v>
      </c>
      <c r="E18" s="5"/>
      <c r="F18" s="5"/>
      <c r="G18" s="1"/>
      <c r="H18" s="1"/>
    </row>
    <row r="19" spans="1:8" x14ac:dyDescent="0.3">
      <c r="A19" s="3" t="s">
        <v>13</v>
      </c>
      <c r="B19" s="4">
        <v>2</v>
      </c>
      <c r="C19" s="4">
        <v>12500</v>
      </c>
      <c r="D19" s="7">
        <v>0.1</v>
      </c>
      <c r="E19" s="5"/>
      <c r="F19" s="5"/>
      <c r="G19" s="1"/>
      <c r="H19" s="1"/>
    </row>
    <row r="20" spans="1:8" x14ac:dyDescent="0.3">
      <c r="A20" s="3" t="s">
        <v>14</v>
      </c>
      <c r="B20" s="4">
        <v>4</v>
      </c>
      <c r="C20" s="4">
        <v>8500</v>
      </c>
      <c r="D20" s="7">
        <v>0</v>
      </c>
      <c r="E20" s="5"/>
      <c r="F20" s="5"/>
      <c r="G20" s="1"/>
      <c r="H20" s="1"/>
    </row>
    <row r="21" spans="1:8" x14ac:dyDescent="0.3">
      <c r="A21" s="3" t="s">
        <v>15</v>
      </c>
      <c r="B21" s="4">
        <v>10</v>
      </c>
      <c r="C21" s="4">
        <v>750</v>
      </c>
      <c r="D21" s="4">
        <v>0.05</v>
      </c>
      <c r="E21" s="5"/>
      <c r="F21" s="5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7" t="s">
        <v>25</v>
      </c>
      <c r="B23" s="16"/>
      <c r="C23" s="16"/>
      <c r="D23" s="16"/>
      <c r="E23" s="16"/>
      <c r="F23" s="16"/>
      <c r="G23" s="16"/>
      <c r="H23" s="16"/>
    </row>
    <row r="24" spans="1:8" ht="24" customHeight="1" x14ac:dyDescent="0.3">
      <c r="A24" s="18" t="s">
        <v>26</v>
      </c>
      <c r="B24" s="16"/>
      <c r="C24" s="16"/>
      <c r="D24" s="16"/>
      <c r="E24" s="16"/>
      <c r="F24" s="16"/>
      <c r="G24" s="16"/>
      <c r="H24" s="16"/>
    </row>
    <row r="25" spans="1:8" x14ac:dyDescent="0.3">
      <c r="A25" s="2" t="s">
        <v>4</v>
      </c>
      <c r="B25" s="2" t="s">
        <v>20</v>
      </c>
      <c r="C25" s="2" t="s">
        <v>21</v>
      </c>
      <c r="D25" s="6" t="s">
        <v>27</v>
      </c>
      <c r="E25" s="2" t="s">
        <v>28</v>
      </c>
      <c r="F25" s="2" t="s">
        <v>29</v>
      </c>
      <c r="G25" s="1"/>
      <c r="H25" s="1"/>
    </row>
    <row r="26" spans="1:8" x14ac:dyDescent="0.3">
      <c r="A26" s="3" t="s">
        <v>30</v>
      </c>
      <c r="B26" s="4">
        <v>10</v>
      </c>
      <c r="C26" s="4">
        <v>15</v>
      </c>
      <c r="D26" s="7">
        <v>0.18</v>
      </c>
      <c r="E26" s="5"/>
      <c r="F26" s="5"/>
      <c r="G26" s="1"/>
      <c r="H26" s="1"/>
    </row>
    <row r="27" spans="1:8" x14ac:dyDescent="0.3">
      <c r="A27" s="3" t="s">
        <v>31</v>
      </c>
      <c r="B27" s="4">
        <v>5</v>
      </c>
      <c r="C27" s="4">
        <v>60</v>
      </c>
      <c r="D27" s="7">
        <v>0.18</v>
      </c>
      <c r="E27" s="5"/>
      <c r="F27" s="5"/>
      <c r="G27" s="1"/>
      <c r="H27" s="1"/>
    </row>
    <row r="28" spans="1:8" x14ac:dyDescent="0.3">
      <c r="A28" s="3" t="s">
        <v>32</v>
      </c>
      <c r="B28" s="4">
        <v>20</v>
      </c>
      <c r="C28" s="4">
        <v>5</v>
      </c>
      <c r="D28" s="7">
        <v>0.18</v>
      </c>
      <c r="E28" s="5"/>
      <c r="F28" s="5"/>
      <c r="G28" s="1"/>
      <c r="H28" s="1"/>
    </row>
    <row r="29" spans="1:8" x14ac:dyDescent="0.3">
      <c r="A29" s="3" t="s">
        <v>33</v>
      </c>
      <c r="B29" s="4">
        <v>15</v>
      </c>
      <c r="C29" s="4">
        <v>10</v>
      </c>
      <c r="D29" s="4">
        <v>0.18</v>
      </c>
      <c r="E29" s="5"/>
      <c r="F29" s="5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7" t="s">
        <v>34</v>
      </c>
      <c r="B31" s="16"/>
      <c r="C31" s="16"/>
      <c r="D31" s="16"/>
      <c r="E31" s="16"/>
      <c r="F31" s="16"/>
      <c r="G31" s="16"/>
      <c r="H31" s="16"/>
    </row>
    <row r="32" spans="1:8" ht="24" customHeight="1" x14ac:dyDescent="0.3">
      <c r="A32" s="24" t="s">
        <v>35</v>
      </c>
      <c r="B32" s="16"/>
      <c r="C32" s="16"/>
      <c r="D32" s="16"/>
      <c r="E32" s="16"/>
      <c r="F32" s="16"/>
      <c r="G32" s="16"/>
      <c r="H32" s="16"/>
    </row>
    <row r="33" spans="1:8" x14ac:dyDescent="0.3">
      <c r="A33" s="2" t="s">
        <v>36</v>
      </c>
      <c r="B33" s="2" t="s">
        <v>37</v>
      </c>
      <c r="C33" s="2" t="s">
        <v>38</v>
      </c>
      <c r="D33" s="2" t="s">
        <v>39</v>
      </c>
      <c r="E33" s="8" t="s">
        <v>40</v>
      </c>
      <c r="F33" s="2" t="s">
        <v>41</v>
      </c>
      <c r="G33" s="2" t="s">
        <v>42</v>
      </c>
      <c r="H33" s="1"/>
    </row>
    <row r="34" spans="1:8" x14ac:dyDescent="0.3">
      <c r="A34" s="3" t="s">
        <v>43</v>
      </c>
      <c r="B34" s="4">
        <v>78</v>
      </c>
      <c r="C34" s="5"/>
      <c r="D34" s="4">
        <v>12000</v>
      </c>
      <c r="E34" s="9"/>
      <c r="F34" s="4">
        <v>24</v>
      </c>
      <c r="G34" s="5"/>
      <c r="H34" s="1"/>
    </row>
    <row r="35" spans="1:8" x14ac:dyDescent="0.3">
      <c r="A35" s="3" t="s">
        <v>44</v>
      </c>
      <c r="B35" s="4">
        <v>32</v>
      </c>
      <c r="C35" s="5"/>
      <c r="D35" s="4">
        <v>8000</v>
      </c>
      <c r="E35" s="9"/>
      <c r="F35" s="4">
        <v>18</v>
      </c>
      <c r="G35" s="5"/>
      <c r="H35" s="1"/>
    </row>
    <row r="36" spans="1:8" x14ac:dyDescent="0.3">
      <c r="A36" s="3" t="s">
        <v>45</v>
      </c>
      <c r="B36" s="4">
        <v>55</v>
      </c>
      <c r="C36" s="5"/>
      <c r="D36" s="4">
        <v>20000</v>
      </c>
      <c r="E36" s="9"/>
      <c r="F36" s="4">
        <v>20</v>
      </c>
      <c r="G36" s="5"/>
      <c r="H36" s="1"/>
    </row>
    <row r="37" spans="1:8" x14ac:dyDescent="0.3">
      <c r="A37" s="3" t="s">
        <v>46</v>
      </c>
      <c r="B37" s="4">
        <v>28</v>
      </c>
      <c r="C37" s="5"/>
      <c r="D37" s="4">
        <v>6500</v>
      </c>
      <c r="E37" s="5"/>
      <c r="F37" s="4">
        <v>15</v>
      </c>
      <c r="G37" s="5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7" t="s">
        <v>47</v>
      </c>
      <c r="B39" s="16"/>
      <c r="C39" s="16"/>
      <c r="D39" s="16"/>
      <c r="E39" s="16"/>
      <c r="F39" s="16"/>
      <c r="G39" s="16"/>
      <c r="H39" s="16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ht="24" customHeight="1" x14ac:dyDescent="0.3">
      <c r="A42" s="22" t="s">
        <v>48</v>
      </c>
      <c r="B42" s="16"/>
      <c r="C42" s="16"/>
      <c r="D42" s="16"/>
      <c r="E42" s="16"/>
      <c r="F42" s="16"/>
      <c r="G42" s="16"/>
      <c r="H42" s="16"/>
    </row>
    <row r="43" spans="1:8" x14ac:dyDescent="0.3">
      <c r="A43" s="2" t="s">
        <v>49</v>
      </c>
      <c r="B43" s="2" t="s">
        <v>50</v>
      </c>
      <c r="C43" s="2" t="s">
        <v>51</v>
      </c>
      <c r="D43" s="2" t="s">
        <v>52</v>
      </c>
      <c r="E43" s="1"/>
      <c r="F43" s="1"/>
      <c r="G43" s="1"/>
      <c r="H43" s="1"/>
    </row>
    <row r="44" spans="1:8" x14ac:dyDescent="0.3">
      <c r="A44" s="3">
        <v>1</v>
      </c>
      <c r="B44" s="3" t="s">
        <v>53</v>
      </c>
      <c r="C44" s="5"/>
      <c r="D44" s="5"/>
      <c r="E44" s="1"/>
      <c r="F44" s="1"/>
      <c r="G44" s="1"/>
      <c r="H44" s="1"/>
    </row>
    <row r="45" spans="1:8" x14ac:dyDescent="0.3">
      <c r="A45" s="3">
        <v>2</v>
      </c>
      <c r="B45" s="3" t="s">
        <v>54</v>
      </c>
      <c r="C45" s="5"/>
      <c r="D45" s="5"/>
      <c r="E45" s="1"/>
      <c r="F45" s="1"/>
      <c r="G45" s="1"/>
      <c r="H45" s="1"/>
    </row>
    <row r="46" spans="1:8" x14ac:dyDescent="0.3">
      <c r="A46" s="3">
        <v>3</v>
      </c>
      <c r="B46" s="3" t="s">
        <v>54</v>
      </c>
      <c r="C46" s="5"/>
      <c r="D46" s="5"/>
      <c r="E46" s="1"/>
      <c r="F46" s="1"/>
      <c r="G46" s="1"/>
      <c r="H46" s="1"/>
    </row>
    <row r="47" spans="1:8" x14ac:dyDescent="0.3">
      <c r="A47" s="3">
        <v>4</v>
      </c>
      <c r="B47" s="3" t="s">
        <v>55</v>
      </c>
      <c r="C47" s="5"/>
      <c r="D47" s="5"/>
      <c r="E47" s="1"/>
      <c r="F47" s="1"/>
      <c r="G47" s="1"/>
      <c r="H47" s="1"/>
    </row>
    <row r="48" spans="1:8" x14ac:dyDescent="0.3">
      <c r="A48" s="3">
        <v>5</v>
      </c>
      <c r="B48" s="3" t="s">
        <v>55</v>
      </c>
      <c r="C48" s="5"/>
      <c r="D48" s="5"/>
      <c r="E48" s="1"/>
      <c r="F48" s="1"/>
      <c r="G48" s="1"/>
      <c r="H48" s="1"/>
    </row>
    <row r="49" spans="1:8" x14ac:dyDescent="0.3">
      <c r="A49" s="3">
        <v>6</v>
      </c>
      <c r="B49" s="3" t="s">
        <v>55</v>
      </c>
      <c r="C49" s="5"/>
      <c r="D49" s="5"/>
      <c r="E49" s="1"/>
      <c r="F49" s="1"/>
      <c r="G49" s="1"/>
      <c r="H49" s="1"/>
    </row>
    <row r="50" spans="1:8" x14ac:dyDescent="0.3">
      <c r="A50" s="3">
        <v>7</v>
      </c>
      <c r="B50" s="3" t="s">
        <v>56</v>
      </c>
      <c r="C50" s="5"/>
      <c r="D50" s="5"/>
      <c r="E50" s="1"/>
      <c r="F50" s="1"/>
      <c r="G50" s="1"/>
      <c r="H50" s="1"/>
    </row>
    <row r="51" spans="1:8" x14ac:dyDescent="0.3">
      <c r="A51" s="3">
        <v>8</v>
      </c>
      <c r="B51" s="3" t="s">
        <v>55</v>
      </c>
      <c r="C51" s="5"/>
      <c r="D51" s="5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7" t="s">
        <v>57</v>
      </c>
      <c r="B53" s="16"/>
      <c r="C53" s="16"/>
      <c r="D53" s="16"/>
      <c r="E53" s="16"/>
      <c r="F53" s="16"/>
      <c r="G53" s="16"/>
      <c r="H53" s="16"/>
    </row>
    <row r="54" spans="1:8" ht="24" customHeight="1" x14ac:dyDescent="0.3">
      <c r="A54" s="21" t="s">
        <v>58</v>
      </c>
      <c r="B54" s="16"/>
      <c r="C54" s="16"/>
      <c r="D54" s="16"/>
      <c r="E54" s="16"/>
      <c r="F54" s="16"/>
      <c r="G54" s="16"/>
      <c r="H54" s="16"/>
    </row>
    <row r="55" spans="1:8" x14ac:dyDescent="0.3">
      <c r="A55" s="2" t="s">
        <v>59</v>
      </c>
      <c r="B55" s="2" t="s">
        <v>4</v>
      </c>
      <c r="C55" s="2" t="s">
        <v>60</v>
      </c>
      <c r="D55" s="8" t="s">
        <v>61</v>
      </c>
      <c r="E55" s="2" t="s">
        <v>62</v>
      </c>
      <c r="F55" s="1"/>
      <c r="G55" s="1"/>
      <c r="H55" s="1"/>
    </row>
    <row r="56" spans="1:8" x14ac:dyDescent="0.3">
      <c r="A56" s="3" t="s">
        <v>63</v>
      </c>
      <c r="B56" s="3" t="s">
        <v>30</v>
      </c>
      <c r="C56" s="3" t="s">
        <v>64</v>
      </c>
      <c r="D56" s="10">
        <v>1200</v>
      </c>
      <c r="E56" s="5"/>
      <c r="F56" s="1"/>
      <c r="G56" s="1"/>
      <c r="H56" s="1"/>
    </row>
    <row r="57" spans="1:8" x14ac:dyDescent="0.3">
      <c r="A57" s="3" t="s">
        <v>63</v>
      </c>
      <c r="B57" s="3" t="s">
        <v>31</v>
      </c>
      <c r="C57" s="3" t="s">
        <v>65</v>
      </c>
      <c r="D57" s="10">
        <v>2500</v>
      </c>
      <c r="E57" s="5"/>
      <c r="F57" s="1"/>
      <c r="G57" s="1"/>
      <c r="H57" s="1"/>
    </row>
    <row r="58" spans="1:8" x14ac:dyDescent="0.3">
      <c r="A58" s="3" t="s">
        <v>66</v>
      </c>
      <c r="B58" s="3" t="s">
        <v>30</v>
      </c>
      <c r="C58" s="3" t="s">
        <v>64</v>
      </c>
      <c r="D58" s="10">
        <v>800</v>
      </c>
      <c r="E58" s="5"/>
      <c r="F58" s="1"/>
      <c r="G58" s="1"/>
      <c r="H58" s="1"/>
    </row>
    <row r="59" spans="1:8" x14ac:dyDescent="0.3">
      <c r="A59" s="3" t="s">
        <v>66</v>
      </c>
      <c r="B59" s="3" t="s">
        <v>32</v>
      </c>
      <c r="C59" s="3" t="s">
        <v>67</v>
      </c>
      <c r="D59" s="10">
        <v>600</v>
      </c>
      <c r="E59" s="5"/>
      <c r="F59" s="1"/>
      <c r="G59" s="1"/>
      <c r="H59" s="1"/>
    </row>
    <row r="60" spans="1:8" x14ac:dyDescent="0.3">
      <c r="A60" s="3" t="s">
        <v>68</v>
      </c>
      <c r="B60" s="3" t="s">
        <v>31</v>
      </c>
      <c r="C60" s="3" t="s">
        <v>69</v>
      </c>
      <c r="D60" s="10">
        <v>1500</v>
      </c>
      <c r="E60" s="5"/>
      <c r="F60" s="1"/>
      <c r="G60" s="1"/>
      <c r="H60" s="1"/>
    </row>
    <row r="61" spans="1:8" x14ac:dyDescent="0.3">
      <c r="A61" s="3" t="s">
        <v>68</v>
      </c>
      <c r="B61" s="3" t="s">
        <v>30</v>
      </c>
      <c r="C61" s="3" t="s">
        <v>69</v>
      </c>
      <c r="D61" s="4">
        <v>1000</v>
      </c>
      <c r="E61" s="5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7" t="s">
        <v>70</v>
      </c>
      <c r="B63" s="16"/>
      <c r="C63" s="16"/>
      <c r="D63" s="16"/>
      <c r="E63" s="16"/>
      <c r="F63" s="16"/>
      <c r="G63" s="16"/>
      <c r="H63" s="16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ht="24" customHeight="1" x14ac:dyDescent="0.3">
      <c r="A66" s="20" t="s">
        <v>71</v>
      </c>
      <c r="B66" s="16"/>
      <c r="C66" s="16"/>
      <c r="D66" s="16"/>
      <c r="E66" s="16"/>
      <c r="F66" s="16"/>
      <c r="G66" s="16"/>
      <c r="H66" s="16"/>
    </row>
    <row r="67" spans="1:8" x14ac:dyDescent="0.3">
      <c r="A67" s="2" t="s">
        <v>4</v>
      </c>
      <c r="B67" s="2" t="s">
        <v>72</v>
      </c>
      <c r="C67" s="8" t="s">
        <v>21</v>
      </c>
      <c r="D67" s="8" t="s">
        <v>39</v>
      </c>
      <c r="E67" s="8" t="s">
        <v>73</v>
      </c>
      <c r="F67" s="2" t="s">
        <v>74</v>
      </c>
      <c r="G67" s="1"/>
      <c r="H67" s="1"/>
    </row>
    <row r="68" spans="1:8" x14ac:dyDescent="0.3">
      <c r="A68" s="3" t="s">
        <v>12</v>
      </c>
      <c r="B68" s="4">
        <v>8</v>
      </c>
      <c r="C68" s="10">
        <v>45000</v>
      </c>
      <c r="D68" s="9"/>
      <c r="E68" s="10">
        <v>300000</v>
      </c>
      <c r="F68" s="5"/>
      <c r="G68" s="1"/>
      <c r="H68" s="1"/>
    </row>
    <row r="69" spans="1:8" x14ac:dyDescent="0.3">
      <c r="A69" s="3" t="s">
        <v>13</v>
      </c>
      <c r="B69" s="4">
        <v>12</v>
      </c>
      <c r="C69" s="10">
        <v>12500</v>
      </c>
      <c r="D69" s="9"/>
      <c r="E69" s="10">
        <v>100000</v>
      </c>
      <c r="F69" s="5"/>
      <c r="G69" s="1"/>
      <c r="H69" s="1"/>
    </row>
    <row r="70" spans="1:8" x14ac:dyDescent="0.3">
      <c r="A70" s="3" t="s">
        <v>14</v>
      </c>
      <c r="B70" s="4">
        <v>15</v>
      </c>
      <c r="C70" s="10">
        <v>8500</v>
      </c>
      <c r="D70" s="9"/>
      <c r="E70" s="10">
        <v>120000</v>
      </c>
      <c r="F70" s="5"/>
      <c r="G70" s="1"/>
      <c r="H70" s="1"/>
    </row>
    <row r="71" spans="1:8" x14ac:dyDescent="0.3">
      <c r="A71" s="3" t="s">
        <v>15</v>
      </c>
      <c r="B71" s="4">
        <v>40</v>
      </c>
      <c r="C71" s="4">
        <v>750</v>
      </c>
      <c r="D71" s="5"/>
      <c r="E71" s="4">
        <v>25000</v>
      </c>
      <c r="F71" s="5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7" t="s">
        <v>75</v>
      </c>
      <c r="B73" s="16"/>
      <c r="C73" s="16"/>
      <c r="D73" s="16"/>
      <c r="E73" s="16"/>
      <c r="F73" s="16"/>
      <c r="G73" s="16"/>
      <c r="H73" s="16"/>
    </row>
  </sheetData>
  <mergeCells count="17">
    <mergeCell ref="A1:H1"/>
    <mergeCell ref="A23:H23"/>
    <mergeCell ref="A32:H32"/>
    <mergeCell ref="A31:H31"/>
    <mergeCell ref="A6:H6"/>
    <mergeCell ref="A54:H54"/>
    <mergeCell ref="A63:H63"/>
    <mergeCell ref="A42:H42"/>
    <mergeCell ref="A73:H73"/>
    <mergeCell ref="A14:H14"/>
    <mergeCell ref="A66:H66"/>
    <mergeCell ref="A4:H4"/>
    <mergeCell ref="A39:H39"/>
    <mergeCell ref="A53:H53"/>
    <mergeCell ref="A24:H24"/>
    <mergeCell ref="A2:H2"/>
    <mergeCell ref="A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showGridLines="0" tabSelected="1" workbookViewId="0">
      <pane ySplit="5" topLeftCell="A6" activePane="bottomLeft" state="frozen"/>
      <selection pane="bottomLeft" activeCell="B4" sqref="B4"/>
    </sheetView>
  </sheetViews>
  <sheetFormatPr defaultRowHeight="14.4" x14ac:dyDescent="0.3"/>
  <cols>
    <col min="1" max="1" width="20" style="36" customWidth="1"/>
    <col min="2" max="4" width="20" customWidth="1"/>
    <col min="5" max="8" width="24" customWidth="1"/>
  </cols>
  <sheetData>
    <row r="1" spans="1:8" ht="31.95" customHeight="1" x14ac:dyDescent="0.3">
      <c r="A1" s="25" t="s">
        <v>76</v>
      </c>
    </row>
    <row r="2" spans="1:8" x14ac:dyDescent="0.3">
      <c r="A2" s="26" t="s">
        <v>77</v>
      </c>
    </row>
    <row r="3" spans="1:8" x14ac:dyDescent="0.3">
      <c r="A3" s="27"/>
      <c r="B3" s="1"/>
      <c r="C3" s="1"/>
      <c r="D3" s="1"/>
      <c r="E3" s="1"/>
      <c r="F3" s="1"/>
      <c r="G3" s="1"/>
      <c r="H3" s="1"/>
    </row>
    <row r="4" spans="1:8" x14ac:dyDescent="0.3">
      <c r="A4" s="28" t="s">
        <v>2</v>
      </c>
      <c r="H4" s="11" t="s">
        <v>78</v>
      </c>
    </row>
    <row r="5" spans="1:8" ht="28.8" x14ac:dyDescent="0.3">
      <c r="A5" s="27"/>
      <c r="B5" s="1"/>
      <c r="C5" s="1"/>
      <c r="D5" s="1"/>
      <c r="E5" s="1"/>
      <c r="F5" s="1"/>
      <c r="G5" s="1"/>
      <c r="H5" s="12" t="s">
        <v>79</v>
      </c>
    </row>
    <row r="6" spans="1:8" ht="24" customHeight="1" x14ac:dyDescent="0.3">
      <c r="A6" s="29" t="s">
        <v>3</v>
      </c>
    </row>
    <row r="7" spans="1:8" x14ac:dyDescent="0.3">
      <c r="A7" s="30" t="s">
        <v>4</v>
      </c>
      <c r="B7" s="2" t="s">
        <v>5</v>
      </c>
      <c r="C7" s="2" t="s">
        <v>6</v>
      </c>
      <c r="D7" s="2" t="s">
        <v>7</v>
      </c>
      <c r="E7" s="13">
        <f>SUM(B7:D7)</f>
        <v>0</v>
      </c>
      <c r="F7" s="13" t="e">
        <f>AVERAGE(B7:D7)</f>
        <v>#DIV/0!</v>
      </c>
      <c r="G7" s="13">
        <f>COUNT(B7:D7)</f>
        <v>0</v>
      </c>
      <c r="H7" s="13" t="str">
        <f>MIN(B7:D7)&amp;" / "&amp;MAX(B7:D7)</f>
        <v>0 / 0</v>
      </c>
    </row>
    <row r="8" spans="1:8" x14ac:dyDescent="0.3">
      <c r="A8" s="31" t="s">
        <v>12</v>
      </c>
      <c r="B8" s="4">
        <v>45000</v>
      </c>
      <c r="C8" s="4">
        <v>52000</v>
      </c>
      <c r="D8" s="4">
        <v>48000</v>
      </c>
      <c r="E8" s="13">
        <f>SUM(B8:D8)</f>
        <v>145000</v>
      </c>
      <c r="F8" s="13">
        <f>AVERAGE(B8:D8)</f>
        <v>48333.333333333336</v>
      </c>
      <c r="G8" s="13">
        <f>COUNT(B8:D8)</f>
        <v>3</v>
      </c>
      <c r="H8" s="13" t="str">
        <f>MIN(B8:D8)&amp;" / "&amp;MAX(B8:D8)</f>
        <v>45000 / 52000</v>
      </c>
    </row>
    <row r="9" spans="1:8" x14ac:dyDescent="0.3">
      <c r="A9" s="31" t="s">
        <v>13</v>
      </c>
      <c r="B9" s="4">
        <v>12000</v>
      </c>
      <c r="C9" s="4">
        <v>15000</v>
      </c>
      <c r="D9" s="4">
        <v>13000</v>
      </c>
      <c r="E9" s="13">
        <f>SUM(B9:D9)</f>
        <v>40000</v>
      </c>
      <c r="F9" s="13">
        <f>AVERAGE(B9:D9)</f>
        <v>13333.333333333334</v>
      </c>
      <c r="G9" s="13">
        <f>COUNT(B9:D9)</f>
        <v>3</v>
      </c>
      <c r="H9" s="13" t="str">
        <f>MIN(B9:D9)&amp;" / "&amp;MAX(B9:D9)</f>
        <v>12000 / 15000</v>
      </c>
    </row>
    <row r="10" spans="1:8" x14ac:dyDescent="0.3">
      <c r="A10" s="31" t="s">
        <v>14</v>
      </c>
      <c r="B10" s="4">
        <v>8500</v>
      </c>
      <c r="C10" s="4">
        <v>9200</v>
      </c>
      <c r="D10" s="4">
        <v>8800</v>
      </c>
      <c r="E10" s="13">
        <f>SUM(B10:D10)</f>
        <v>26500</v>
      </c>
      <c r="F10" s="13">
        <f>AVERAGE(B10:D10)</f>
        <v>8833.3333333333339</v>
      </c>
      <c r="G10" s="13">
        <f>COUNT(B10:D10)</f>
        <v>3</v>
      </c>
      <c r="H10" s="13" t="str">
        <f>MIN(B10:D10)&amp;" / "&amp;MAX(B10:D10)</f>
        <v>8500 / 9200</v>
      </c>
    </row>
    <row r="11" spans="1:8" x14ac:dyDescent="0.3">
      <c r="A11" s="31" t="s">
        <v>15</v>
      </c>
      <c r="B11" s="4">
        <v>3200</v>
      </c>
      <c r="C11" s="4">
        <v>4100</v>
      </c>
      <c r="D11" s="4">
        <v>3900</v>
      </c>
      <c r="E11" s="13">
        <f>SUM(B11:D11)</f>
        <v>11200</v>
      </c>
      <c r="F11" s="13">
        <f>AVERAGE(B11:D11)</f>
        <v>3733.3333333333335</v>
      </c>
      <c r="G11" s="13">
        <f>COUNT(B11:D11)</f>
        <v>3</v>
      </c>
      <c r="H11" s="13" t="str">
        <f>MIN(B11:D11)&amp;" / "&amp;MAX(B11:D11)</f>
        <v>3200 / 4100</v>
      </c>
    </row>
    <row r="12" spans="1:8" x14ac:dyDescent="0.3">
      <c r="A12" s="31" t="s">
        <v>16</v>
      </c>
      <c r="B12" s="4">
        <v>1800</v>
      </c>
      <c r="C12" s="4">
        <v>2100</v>
      </c>
      <c r="D12" s="4">
        <v>2300</v>
      </c>
      <c r="E12" s="5"/>
      <c r="F12" s="5"/>
      <c r="G12" s="5"/>
      <c r="H12" s="5"/>
    </row>
    <row r="13" spans="1:8" x14ac:dyDescent="0.3">
      <c r="A13" s="27"/>
      <c r="B13" s="1"/>
      <c r="C13" s="1"/>
      <c r="D13" s="1"/>
      <c r="E13" s="1"/>
      <c r="F13" s="1"/>
      <c r="G13" s="1"/>
      <c r="H13" s="1"/>
    </row>
    <row r="14" spans="1:8" x14ac:dyDescent="0.3">
      <c r="A14" s="27" t="s">
        <v>17</v>
      </c>
    </row>
    <row r="15" spans="1:8" x14ac:dyDescent="0.3">
      <c r="A15" s="27"/>
      <c r="B15" s="1"/>
      <c r="C15" s="1"/>
      <c r="D15" s="1"/>
      <c r="E15" s="1"/>
      <c r="F15" s="1"/>
      <c r="G15" s="1"/>
      <c r="H15" s="1"/>
    </row>
    <row r="16" spans="1:8" ht="24" customHeight="1" x14ac:dyDescent="0.3">
      <c r="A16" s="32" t="s">
        <v>18</v>
      </c>
    </row>
    <row r="17" spans="1:8" x14ac:dyDescent="0.3">
      <c r="A17" s="30" t="s">
        <v>19</v>
      </c>
      <c r="B17" s="2" t="s">
        <v>20</v>
      </c>
      <c r="C17" s="2" t="s">
        <v>21</v>
      </c>
      <c r="D17" s="6" t="s">
        <v>22</v>
      </c>
      <c r="E17" s="13" t="e">
        <f>B17*C17*(1-D17)</f>
        <v>#VALUE!</v>
      </c>
      <c r="F17" s="13" t="e">
        <f>B17*C17*(1-D17)</f>
        <v>#VALUE!</v>
      </c>
      <c r="G17" s="1"/>
      <c r="H17" s="1"/>
    </row>
    <row r="18" spans="1:8" x14ac:dyDescent="0.3">
      <c r="A18" s="31" t="s">
        <v>12</v>
      </c>
      <c r="B18" s="4">
        <v>3</v>
      </c>
      <c r="C18" s="4">
        <v>45000</v>
      </c>
      <c r="D18" s="7">
        <v>0.05</v>
      </c>
      <c r="E18" s="13">
        <f>B18*C18*(1-D18)</f>
        <v>128250</v>
      </c>
      <c r="F18" s="13">
        <f>B18*C18*(1-D18)</f>
        <v>128250</v>
      </c>
      <c r="G18" s="1"/>
      <c r="H18" s="1"/>
    </row>
    <row r="19" spans="1:8" x14ac:dyDescent="0.3">
      <c r="A19" s="31" t="s">
        <v>13</v>
      </c>
      <c r="B19" s="4">
        <v>2</v>
      </c>
      <c r="C19" s="4">
        <v>12500</v>
      </c>
      <c r="D19" s="7">
        <v>0.1</v>
      </c>
      <c r="E19" s="13">
        <f>B19*C19*(1-D19)</f>
        <v>22500</v>
      </c>
      <c r="F19" s="13">
        <f>B19*C19*(1-D19)</f>
        <v>22500</v>
      </c>
      <c r="G19" s="1"/>
      <c r="H19" s="1"/>
    </row>
    <row r="20" spans="1:8" x14ac:dyDescent="0.3">
      <c r="A20" s="31" t="s">
        <v>14</v>
      </c>
      <c r="B20" s="4">
        <v>4</v>
      </c>
      <c r="C20" s="4">
        <v>8500</v>
      </c>
      <c r="D20" s="7">
        <v>0</v>
      </c>
      <c r="E20" s="13">
        <f>B20*C20*(1-D20)</f>
        <v>34000</v>
      </c>
      <c r="F20" s="13">
        <f>B20*C20*(1-D20)</f>
        <v>34000</v>
      </c>
      <c r="G20" s="1"/>
      <c r="H20" s="1"/>
    </row>
    <row r="21" spans="1:8" x14ac:dyDescent="0.3">
      <c r="A21" s="31" t="s">
        <v>15</v>
      </c>
      <c r="B21" s="4">
        <v>10</v>
      </c>
      <c r="C21" s="4">
        <v>750</v>
      </c>
      <c r="D21" s="4">
        <v>0.05</v>
      </c>
      <c r="E21" s="5"/>
      <c r="F21" s="5"/>
      <c r="G21" s="1"/>
      <c r="H21" s="1"/>
    </row>
    <row r="22" spans="1:8" x14ac:dyDescent="0.3">
      <c r="A22" s="27"/>
      <c r="B22" s="1"/>
      <c r="C22" s="1"/>
      <c r="D22" s="1"/>
      <c r="E22" s="1"/>
      <c r="F22" s="1"/>
      <c r="G22" s="1"/>
      <c r="H22" s="1"/>
    </row>
    <row r="23" spans="1:8" x14ac:dyDescent="0.3">
      <c r="A23" s="27" t="s">
        <v>25</v>
      </c>
    </row>
    <row r="24" spans="1:8" ht="24" customHeight="1" x14ac:dyDescent="0.3">
      <c r="A24" s="33" t="s">
        <v>26</v>
      </c>
    </row>
    <row r="25" spans="1:8" x14ac:dyDescent="0.3">
      <c r="A25" s="30" t="s">
        <v>4</v>
      </c>
      <c r="B25" s="2" t="s">
        <v>20</v>
      </c>
      <c r="C25" s="2" t="s">
        <v>21</v>
      </c>
      <c r="D25" s="6" t="s">
        <v>27</v>
      </c>
      <c r="E25" s="13" t="e">
        <f>C25*$D$25</f>
        <v>#VALUE!</v>
      </c>
      <c r="F25" s="13" t="e">
        <f>B25*C25+B25*E25</f>
        <v>#VALUE!</v>
      </c>
      <c r="G25" s="1"/>
      <c r="H25" s="1"/>
    </row>
    <row r="26" spans="1:8" x14ac:dyDescent="0.3">
      <c r="A26" s="31" t="s">
        <v>30</v>
      </c>
      <c r="B26" s="4">
        <v>10</v>
      </c>
      <c r="C26" s="4">
        <v>15</v>
      </c>
      <c r="D26" s="7">
        <v>0.18</v>
      </c>
      <c r="E26" s="13" t="e">
        <f>C26*$D$25</f>
        <v>#VALUE!</v>
      </c>
      <c r="F26" s="13" t="e">
        <f>B26*C26+B26*E26</f>
        <v>#VALUE!</v>
      </c>
      <c r="G26" s="1"/>
      <c r="H26" s="1"/>
    </row>
    <row r="27" spans="1:8" x14ac:dyDescent="0.3">
      <c r="A27" s="31" t="s">
        <v>31</v>
      </c>
      <c r="B27" s="4">
        <v>5</v>
      </c>
      <c r="C27" s="4">
        <v>60</v>
      </c>
      <c r="D27" s="7">
        <v>0.18</v>
      </c>
      <c r="E27" s="13" t="e">
        <f>C27*$D$25</f>
        <v>#VALUE!</v>
      </c>
      <c r="F27" s="13" t="e">
        <f>B27*C27+B27*E27</f>
        <v>#VALUE!</v>
      </c>
      <c r="G27" s="1"/>
      <c r="H27" s="1"/>
    </row>
    <row r="28" spans="1:8" x14ac:dyDescent="0.3">
      <c r="A28" s="31" t="s">
        <v>32</v>
      </c>
      <c r="B28" s="4">
        <v>20</v>
      </c>
      <c r="C28" s="4">
        <v>5</v>
      </c>
      <c r="D28" s="7">
        <v>0.18</v>
      </c>
      <c r="E28" s="13" t="e">
        <f>C28*$D$25</f>
        <v>#VALUE!</v>
      </c>
      <c r="F28" s="13" t="e">
        <f>B28*C28+B28*E28</f>
        <v>#VALUE!</v>
      </c>
      <c r="G28" s="1"/>
      <c r="H28" s="1"/>
    </row>
    <row r="29" spans="1:8" x14ac:dyDescent="0.3">
      <c r="A29" s="31" t="s">
        <v>33</v>
      </c>
      <c r="B29" s="4">
        <v>15</v>
      </c>
      <c r="C29" s="4">
        <v>10</v>
      </c>
      <c r="D29" s="4">
        <v>0.18</v>
      </c>
      <c r="E29" s="5"/>
      <c r="F29" s="5"/>
      <c r="G29" s="1"/>
      <c r="H29" s="1"/>
    </row>
    <row r="30" spans="1:8" x14ac:dyDescent="0.3">
      <c r="A30" s="27"/>
      <c r="B30" s="1"/>
      <c r="C30" s="1"/>
      <c r="D30" s="1"/>
      <c r="E30" s="1"/>
      <c r="F30" s="1"/>
      <c r="G30" s="1"/>
      <c r="H30" s="1"/>
    </row>
    <row r="31" spans="1:8" x14ac:dyDescent="0.3">
      <c r="A31" s="27" t="s">
        <v>34</v>
      </c>
    </row>
    <row r="32" spans="1:8" ht="24" customHeight="1" x14ac:dyDescent="0.3">
      <c r="A32" s="34" t="s">
        <v>35</v>
      </c>
    </row>
    <row r="33" spans="1:8" x14ac:dyDescent="0.3">
      <c r="A33" s="30" t="s">
        <v>36</v>
      </c>
      <c r="B33" s="2" t="s">
        <v>37</v>
      </c>
      <c r="C33" s="13" t="str">
        <f>IF(B33&gt;=35,"Pass","Fail")</f>
        <v>Pass</v>
      </c>
      <c r="D33" s="2" t="s">
        <v>39</v>
      </c>
      <c r="E33" s="14" t="e">
        <f>IF(D33&gt;=10000,D33*5%,0)</f>
        <v>#VALUE!</v>
      </c>
      <c r="F33" s="2" t="s">
        <v>41</v>
      </c>
      <c r="G33" s="13" t="str">
        <f>IF(F33&gt;=20,"Present","Absent")</f>
        <v>Present</v>
      </c>
      <c r="H33" s="1"/>
    </row>
    <row r="34" spans="1:8" x14ac:dyDescent="0.3">
      <c r="A34" s="31" t="s">
        <v>43</v>
      </c>
      <c r="B34" s="4">
        <v>78</v>
      </c>
      <c r="C34" s="13" t="str">
        <f>IF(B34&gt;=35,"Pass","Fail")</f>
        <v>Pass</v>
      </c>
      <c r="D34" s="4">
        <v>12000</v>
      </c>
      <c r="E34" s="14">
        <f>IF(D34&gt;=10000,D34*5%,0)</f>
        <v>600</v>
      </c>
      <c r="F34" s="4">
        <v>24</v>
      </c>
      <c r="G34" s="13" t="str">
        <f>IF(F34&gt;=20,"Present","Absent")</f>
        <v>Present</v>
      </c>
      <c r="H34" s="1"/>
    </row>
    <row r="35" spans="1:8" x14ac:dyDescent="0.3">
      <c r="A35" s="31" t="s">
        <v>44</v>
      </c>
      <c r="B35" s="4">
        <v>32</v>
      </c>
      <c r="C35" s="13" t="str">
        <f>IF(B35&gt;=35,"Pass","Fail")</f>
        <v>Fail</v>
      </c>
      <c r="D35" s="4">
        <v>8000</v>
      </c>
      <c r="E35" s="14">
        <f>IF(D35&gt;=10000,D35*5%,0)</f>
        <v>0</v>
      </c>
      <c r="F35" s="4">
        <v>18</v>
      </c>
      <c r="G35" s="13" t="str">
        <f>IF(F35&gt;=20,"Present","Absent")</f>
        <v>Absent</v>
      </c>
      <c r="H35" s="1"/>
    </row>
    <row r="36" spans="1:8" x14ac:dyDescent="0.3">
      <c r="A36" s="31" t="s">
        <v>45</v>
      </c>
      <c r="B36" s="4">
        <v>55</v>
      </c>
      <c r="C36" s="13" t="str">
        <f>IF(B36&gt;=35,"Pass","Fail")</f>
        <v>Pass</v>
      </c>
      <c r="D36" s="4">
        <v>20000</v>
      </c>
      <c r="E36" s="14">
        <f>IF(D36&gt;=10000,D36*5%,0)</f>
        <v>1000</v>
      </c>
      <c r="F36" s="4">
        <v>20</v>
      </c>
      <c r="G36" s="13" t="str">
        <f>IF(F36&gt;=20,"Present","Absent")</f>
        <v>Present</v>
      </c>
      <c r="H36" s="1"/>
    </row>
    <row r="37" spans="1:8" x14ac:dyDescent="0.3">
      <c r="A37" s="31" t="s">
        <v>46</v>
      </c>
      <c r="B37" s="4">
        <v>28</v>
      </c>
      <c r="C37" s="5"/>
      <c r="D37" s="4">
        <v>6500</v>
      </c>
      <c r="E37" s="5"/>
      <c r="F37" s="4">
        <v>15</v>
      </c>
      <c r="G37" s="5"/>
      <c r="H37" s="1"/>
    </row>
    <row r="38" spans="1:8" x14ac:dyDescent="0.3">
      <c r="A38" s="27"/>
      <c r="B38" s="1"/>
      <c r="C38" s="1"/>
      <c r="D38" s="1"/>
      <c r="E38" s="1"/>
      <c r="F38" s="1"/>
      <c r="G38" s="1"/>
      <c r="H38" s="1"/>
    </row>
    <row r="39" spans="1:8" x14ac:dyDescent="0.3">
      <c r="A39" s="27" t="s">
        <v>47</v>
      </c>
    </row>
    <row r="40" spans="1:8" x14ac:dyDescent="0.3">
      <c r="A40" s="27"/>
      <c r="B40" s="1"/>
      <c r="C40" s="1"/>
      <c r="D40" s="1"/>
      <c r="E40" s="1"/>
      <c r="F40" s="1"/>
      <c r="G40" s="1"/>
      <c r="H40" s="1"/>
    </row>
    <row r="41" spans="1:8" x14ac:dyDescent="0.3">
      <c r="A41" s="27"/>
      <c r="B41" s="1"/>
      <c r="C41" s="1"/>
      <c r="D41" s="1"/>
      <c r="E41" s="1"/>
      <c r="F41" s="1"/>
      <c r="G41" s="1"/>
      <c r="H41" s="1"/>
    </row>
    <row r="42" spans="1:8" ht="24" customHeight="1" x14ac:dyDescent="0.3">
      <c r="A42" s="35" t="s">
        <v>48</v>
      </c>
    </row>
    <row r="43" spans="1:8" x14ac:dyDescent="0.3">
      <c r="A43" s="30" t="s">
        <v>49</v>
      </c>
      <c r="B43" s="2" t="s">
        <v>50</v>
      </c>
      <c r="C43" s="13">
        <f t="shared" ref="C43:C50" si="0">COUNTIF($B$43:$B$50,B43)</f>
        <v>1</v>
      </c>
      <c r="D43" s="13">
        <f>COUNTIF($B$43:B43,B43)</f>
        <v>1</v>
      </c>
      <c r="E43" s="1"/>
      <c r="F43" s="1"/>
      <c r="G43" s="1"/>
      <c r="H43" s="1"/>
    </row>
    <row r="44" spans="1:8" x14ac:dyDescent="0.3">
      <c r="A44" s="31">
        <v>1</v>
      </c>
      <c r="B44" s="3" t="s">
        <v>53</v>
      </c>
      <c r="C44" s="13">
        <f t="shared" si="0"/>
        <v>1</v>
      </c>
      <c r="D44" s="13">
        <f>COUNTIF($B$43:B44,B44)</f>
        <v>1</v>
      </c>
      <c r="E44" s="1"/>
      <c r="F44" s="1"/>
      <c r="G44" s="1"/>
      <c r="H44" s="1"/>
    </row>
    <row r="45" spans="1:8" x14ac:dyDescent="0.3">
      <c r="A45" s="31">
        <v>2</v>
      </c>
      <c r="B45" s="3" t="s">
        <v>54</v>
      </c>
      <c r="C45" s="13">
        <f t="shared" si="0"/>
        <v>2</v>
      </c>
      <c r="D45" s="13">
        <f>COUNTIF($B$43:B45,B45)</f>
        <v>1</v>
      </c>
      <c r="E45" s="1"/>
      <c r="F45" s="1"/>
      <c r="G45" s="1"/>
      <c r="H45" s="1"/>
    </row>
    <row r="46" spans="1:8" x14ac:dyDescent="0.3">
      <c r="A46" s="31">
        <v>3</v>
      </c>
      <c r="B46" s="3" t="s">
        <v>54</v>
      </c>
      <c r="C46" s="13">
        <f t="shared" si="0"/>
        <v>2</v>
      </c>
      <c r="D46" s="13">
        <f>COUNTIF($B$43:B46,B46)</f>
        <v>2</v>
      </c>
      <c r="E46" s="1"/>
      <c r="F46" s="1"/>
      <c r="G46" s="1"/>
      <c r="H46" s="1"/>
    </row>
    <row r="47" spans="1:8" x14ac:dyDescent="0.3">
      <c r="A47" s="31">
        <v>4</v>
      </c>
      <c r="B47" s="3" t="s">
        <v>55</v>
      </c>
      <c r="C47" s="13">
        <f t="shared" si="0"/>
        <v>3</v>
      </c>
      <c r="D47" s="13">
        <f>COUNTIF($B$43:B47,B47)</f>
        <v>1</v>
      </c>
      <c r="E47" s="1"/>
      <c r="F47" s="1"/>
      <c r="G47" s="1"/>
      <c r="H47" s="1"/>
    </row>
    <row r="48" spans="1:8" x14ac:dyDescent="0.3">
      <c r="A48" s="31">
        <v>5</v>
      </c>
      <c r="B48" s="3" t="s">
        <v>55</v>
      </c>
      <c r="C48" s="13">
        <f t="shared" si="0"/>
        <v>3</v>
      </c>
      <c r="D48" s="13">
        <f>COUNTIF($B$43:B48,B48)</f>
        <v>2</v>
      </c>
      <c r="E48" s="1"/>
      <c r="F48" s="1"/>
      <c r="G48" s="1"/>
      <c r="H48" s="1"/>
    </row>
    <row r="49" spans="1:8" x14ac:dyDescent="0.3">
      <c r="A49" s="31">
        <v>6</v>
      </c>
      <c r="B49" s="3" t="s">
        <v>55</v>
      </c>
      <c r="C49" s="13">
        <f t="shared" si="0"/>
        <v>3</v>
      </c>
      <c r="D49" s="13">
        <f>COUNTIF($B$43:B49,B49)</f>
        <v>3</v>
      </c>
      <c r="E49" s="1"/>
      <c r="F49" s="1"/>
      <c r="G49" s="1"/>
      <c r="H49" s="1"/>
    </row>
    <row r="50" spans="1:8" x14ac:dyDescent="0.3">
      <c r="A50" s="31">
        <v>7</v>
      </c>
      <c r="B50" s="3" t="s">
        <v>56</v>
      </c>
      <c r="C50" s="13">
        <f t="shared" si="0"/>
        <v>1</v>
      </c>
      <c r="D50" s="13">
        <f>COUNTIF($B$43:B50,B50)</f>
        <v>1</v>
      </c>
      <c r="E50" s="1"/>
      <c r="F50" s="1"/>
      <c r="G50" s="1"/>
      <c r="H50" s="1"/>
    </row>
    <row r="51" spans="1:8" x14ac:dyDescent="0.3">
      <c r="A51" s="31">
        <v>8</v>
      </c>
      <c r="B51" s="3" t="s">
        <v>55</v>
      </c>
      <c r="C51" s="5"/>
      <c r="D51" s="5"/>
      <c r="E51" s="1"/>
      <c r="F51" s="1"/>
      <c r="G51" s="1"/>
      <c r="H51" s="1"/>
    </row>
    <row r="52" spans="1:8" x14ac:dyDescent="0.3">
      <c r="A52" s="27"/>
      <c r="B52" s="1"/>
      <c r="C52" s="1"/>
      <c r="D52" s="1"/>
      <c r="E52" s="1"/>
      <c r="F52" s="1"/>
      <c r="G52" s="1"/>
      <c r="H52" s="1"/>
    </row>
    <row r="53" spans="1:8" x14ac:dyDescent="0.3">
      <c r="A53" s="27" t="s">
        <v>57</v>
      </c>
    </row>
    <row r="54" spans="1:8" ht="24" customHeight="1" x14ac:dyDescent="0.3">
      <c r="A54" s="29" t="s">
        <v>58</v>
      </c>
    </row>
    <row r="55" spans="1:8" x14ac:dyDescent="0.3">
      <c r="A55" s="30" t="s">
        <v>59</v>
      </c>
      <c r="B55" s="2" t="s">
        <v>4</v>
      </c>
      <c r="C55" s="2" t="s">
        <v>60</v>
      </c>
      <c r="D55" s="8" t="s">
        <v>61</v>
      </c>
      <c r="E55" s="13">
        <f t="shared" ref="E55:E60" si="1">SUMIF($B$55:$B$60,B55,$D$55:$D$60)</f>
        <v>0</v>
      </c>
      <c r="F55" s="1"/>
      <c r="G55" s="1"/>
      <c r="H55" s="1"/>
    </row>
    <row r="56" spans="1:8" x14ac:dyDescent="0.3">
      <c r="A56" s="31" t="s">
        <v>63</v>
      </c>
      <c r="B56" s="3" t="s">
        <v>30</v>
      </c>
      <c r="C56" s="3" t="s">
        <v>64</v>
      </c>
      <c r="D56" s="10">
        <v>1200</v>
      </c>
      <c r="E56" s="13">
        <f t="shared" si="1"/>
        <v>2000</v>
      </c>
      <c r="F56" s="1"/>
      <c r="G56" s="1"/>
      <c r="H56" s="1"/>
    </row>
    <row r="57" spans="1:8" x14ac:dyDescent="0.3">
      <c r="A57" s="31" t="s">
        <v>63</v>
      </c>
      <c r="B57" s="3" t="s">
        <v>31</v>
      </c>
      <c r="C57" s="3" t="s">
        <v>65</v>
      </c>
      <c r="D57" s="10">
        <v>2500</v>
      </c>
      <c r="E57" s="13">
        <f t="shared" si="1"/>
        <v>4000</v>
      </c>
      <c r="F57" s="1"/>
      <c r="G57" s="1"/>
      <c r="H57" s="1"/>
    </row>
    <row r="58" spans="1:8" x14ac:dyDescent="0.3">
      <c r="A58" s="31" t="s">
        <v>66</v>
      </c>
      <c r="B58" s="3" t="s">
        <v>30</v>
      </c>
      <c r="C58" s="3" t="s">
        <v>64</v>
      </c>
      <c r="D58" s="10">
        <v>800</v>
      </c>
      <c r="E58" s="13">
        <f t="shared" si="1"/>
        <v>2000</v>
      </c>
      <c r="F58" s="1"/>
      <c r="G58" s="1"/>
      <c r="H58" s="1"/>
    </row>
    <row r="59" spans="1:8" x14ac:dyDescent="0.3">
      <c r="A59" s="31" t="s">
        <v>66</v>
      </c>
      <c r="B59" s="3" t="s">
        <v>32</v>
      </c>
      <c r="C59" s="3" t="s">
        <v>67</v>
      </c>
      <c r="D59" s="10">
        <v>600</v>
      </c>
      <c r="E59" s="13">
        <f t="shared" si="1"/>
        <v>600</v>
      </c>
      <c r="F59" s="1"/>
      <c r="G59" s="1"/>
      <c r="H59" s="1"/>
    </row>
    <row r="60" spans="1:8" x14ac:dyDescent="0.3">
      <c r="A60" s="31" t="s">
        <v>68</v>
      </c>
      <c r="B60" s="3" t="s">
        <v>31</v>
      </c>
      <c r="C60" s="3" t="s">
        <v>69</v>
      </c>
      <c r="D60" s="10">
        <v>1500</v>
      </c>
      <c r="E60" s="13">
        <f t="shared" si="1"/>
        <v>4000</v>
      </c>
      <c r="F60" s="1"/>
      <c r="G60" s="1"/>
      <c r="H60" s="1"/>
    </row>
    <row r="61" spans="1:8" x14ac:dyDescent="0.3">
      <c r="A61" s="31" t="s">
        <v>68</v>
      </c>
      <c r="B61" s="3" t="s">
        <v>30</v>
      </c>
      <c r="C61" s="3" t="s">
        <v>69</v>
      </c>
      <c r="D61" s="4">
        <v>1000</v>
      </c>
      <c r="E61" s="5"/>
      <c r="F61" s="1"/>
      <c r="G61" s="1"/>
      <c r="H61" s="1"/>
    </row>
    <row r="62" spans="1:8" x14ac:dyDescent="0.3">
      <c r="A62" s="27"/>
      <c r="B62" s="1"/>
      <c r="C62" s="1"/>
      <c r="D62" s="1"/>
      <c r="E62" s="1"/>
      <c r="F62" s="1"/>
      <c r="G62" s="1"/>
      <c r="H62" s="1"/>
    </row>
    <row r="63" spans="1:8" x14ac:dyDescent="0.3">
      <c r="A63" s="27" t="s">
        <v>70</v>
      </c>
    </row>
    <row r="64" spans="1:8" x14ac:dyDescent="0.3">
      <c r="A64" s="27"/>
      <c r="B64" s="1"/>
      <c r="C64" s="1"/>
      <c r="D64" s="1"/>
      <c r="E64" s="1"/>
      <c r="F64" s="1"/>
      <c r="G64" s="1"/>
      <c r="H64" s="1"/>
    </row>
    <row r="65" spans="1:8" x14ac:dyDescent="0.3">
      <c r="A65" s="27"/>
      <c r="B65" s="1"/>
      <c r="C65" s="1"/>
      <c r="D65" s="1"/>
      <c r="E65" s="1"/>
      <c r="F65" s="1"/>
      <c r="G65" s="1"/>
      <c r="H65" s="1"/>
    </row>
    <row r="66" spans="1:8" ht="24" customHeight="1" x14ac:dyDescent="0.3">
      <c r="A66" s="32" t="s">
        <v>71</v>
      </c>
    </row>
    <row r="67" spans="1:8" x14ac:dyDescent="0.3">
      <c r="A67" s="30" t="s">
        <v>4</v>
      </c>
      <c r="B67" s="2" t="s">
        <v>72</v>
      </c>
      <c r="C67" s="8" t="s">
        <v>21</v>
      </c>
      <c r="D67" s="14" t="e">
        <f>B67*C67</f>
        <v>#VALUE!</v>
      </c>
      <c r="E67" s="8" t="s">
        <v>73</v>
      </c>
      <c r="F67" s="13" t="e">
        <f>IF(D67&gt;=E67,"Target Met","Below Target")</f>
        <v>#VALUE!</v>
      </c>
      <c r="G67" s="1"/>
      <c r="H67" s="1"/>
    </row>
    <row r="68" spans="1:8" x14ac:dyDescent="0.3">
      <c r="A68" s="31" t="s">
        <v>12</v>
      </c>
      <c r="B68" s="4">
        <v>8</v>
      </c>
      <c r="C68" s="10">
        <v>45000</v>
      </c>
      <c r="D68" s="14">
        <f>B68*C68</f>
        <v>360000</v>
      </c>
      <c r="E68" s="10">
        <v>300000</v>
      </c>
      <c r="F68" s="13" t="str">
        <f>IF(D68&gt;=E68,"Target Met","Below Target")</f>
        <v>Target Met</v>
      </c>
      <c r="G68" s="1"/>
      <c r="H68" s="1"/>
    </row>
    <row r="69" spans="1:8" x14ac:dyDescent="0.3">
      <c r="A69" s="31" t="s">
        <v>13</v>
      </c>
      <c r="B69" s="4">
        <v>12</v>
      </c>
      <c r="C69" s="10">
        <v>12500</v>
      </c>
      <c r="D69" s="14">
        <f>B69*C69</f>
        <v>150000</v>
      </c>
      <c r="E69" s="10">
        <v>100000</v>
      </c>
      <c r="F69" s="13" t="str">
        <f>IF(D69&gt;=E69,"Target Met","Below Target")</f>
        <v>Target Met</v>
      </c>
      <c r="G69" s="1"/>
      <c r="H69" s="1"/>
    </row>
    <row r="70" spans="1:8" x14ac:dyDescent="0.3">
      <c r="A70" s="31" t="s">
        <v>14</v>
      </c>
      <c r="B70" s="4">
        <v>15</v>
      </c>
      <c r="C70" s="10">
        <v>8500</v>
      </c>
      <c r="D70" s="14">
        <f>B70*C70</f>
        <v>127500</v>
      </c>
      <c r="E70" s="10">
        <v>120000</v>
      </c>
      <c r="F70" s="13" t="str">
        <f>IF(D70&gt;=E70,"Target Met","Below Target")</f>
        <v>Target Met</v>
      </c>
      <c r="G70" s="1"/>
      <c r="H70" s="1"/>
    </row>
    <row r="71" spans="1:8" x14ac:dyDescent="0.3">
      <c r="A71" s="31" t="s">
        <v>15</v>
      </c>
      <c r="B71" s="4">
        <v>40</v>
      </c>
      <c r="C71" s="4">
        <v>750</v>
      </c>
      <c r="D71" s="5"/>
      <c r="E71" s="4">
        <v>25000</v>
      </c>
      <c r="F71" s="5"/>
      <c r="G71" s="1"/>
      <c r="H71" s="1"/>
    </row>
    <row r="72" spans="1:8" x14ac:dyDescent="0.3">
      <c r="A72" s="27"/>
      <c r="B72" s="1"/>
      <c r="C72" s="1"/>
      <c r="D72" s="1"/>
      <c r="E72" s="1"/>
      <c r="F72" s="1"/>
      <c r="G72" s="1"/>
      <c r="H72" s="1"/>
    </row>
    <row r="73" spans="1:8" x14ac:dyDescent="0.3">
      <c r="A73" s="2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Kawaljeetsingh Ladhar</cp:lastModifiedBy>
  <dcterms:created xsi:type="dcterms:W3CDTF">2026-08-25T07:28:55Z</dcterms:created>
  <dcterms:modified xsi:type="dcterms:W3CDTF">2026-08-25T09:41:49Z</dcterms:modified>
</cp:coreProperties>
</file>