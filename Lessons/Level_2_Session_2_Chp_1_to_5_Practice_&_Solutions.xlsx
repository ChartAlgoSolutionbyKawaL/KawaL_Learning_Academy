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0B6B4F"/>
      <sz val="14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pstoneData" displayName="CapstoneData" ref="A4:O44" headerRowCount="1">
  <autoFilter ref="A4:O44"/>
  <tableColumns count="15">
    <tableColumn id="1" name="Customer ID"/>
    <tableColumn id="2" name="Raw Name"/>
    <tableColumn id="3" name="Raw Email"/>
    <tableColumn id="4" name="Order Ref"/>
    <tableColumn id="5" name="SKU"/>
    <tableColumn id="6" name="Raw Address"/>
    <tableColumn id="7" name="Amount"/>
    <tableColumn id="8" name="Clean Name"/>
    <tableColumn id="9" name="Email"/>
    <tableColumn id="10" name="Region"/>
    <tableColumn id="11" name="Product"/>
    <tableColumn id="12" name="Customer No."/>
    <tableColumn id="13" name="Customer Label"/>
    <tableColumn id="14" name="Clean Address"/>
    <tableColumn id="15" name="Quality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L2 • S2 • MIXED REAL-WORLD CAPSTONE</t>
        </is>
      </c>
    </row>
    <row r="2">
      <c r="A2" t="inlineStr">
        <is>
          <t>All five chapters combined: parse → clean → standardize → combine → validate.</t>
        </is>
      </c>
    </row>
    <row r="4">
      <c r="A4" s="2" t="inlineStr">
        <is>
          <t>Customer ID</t>
        </is>
      </c>
      <c r="B4" s="2" t="inlineStr">
        <is>
          <t>Raw Name</t>
        </is>
      </c>
      <c r="C4" s="2" t="inlineStr">
        <is>
          <t>Raw Email</t>
        </is>
      </c>
      <c r="D4" s="2" t="inlineStr">
        <is>
          <t>Order Ref</t>
        </is>
      </c>
      <c r="E4" s="2" t="inlineStr">
        <is>
          <t>SKU</t>
        </is>
      </c>
      <c r="F4" s="2" t="inlineStr">
        <is>
          <t>Raw Address</t>
        </is>
      </c>
      <c r="G4" s="2" t="inlineStr">
        <is>
          <t>Amount</t>
        </is>
      </c>
      <c r="H4" s="2" t="inlineStr">
        <is>
          <t>Clean Name</t>
        </is>
      </c>
      <c r="I4" s="2" t="inlineStr">
        <is>
          <t>Email</t>
        </is>
      </c>
      <c r="J4" s="2" t="inlineStr">
        <is>
          <t>Region</t>
        </is>
      </c>
      <c r="K4" s="2" t="inlineStr">
        <is>
          <t>Product</t>
        </is>
      </c>
      <c r="L4" s="2" t="inlineStr">
        <is>
          <t>Customer No.</t>
        </is>
      </c>
      <c r="M4" s="2" t="inlineStr">
        <is>
          <t>Customer Label</t>
        </is>
      </c>
      <c r="N4" s="2" t="inlineStr">
        <is>
          <t>Clean Address</t>
        </is>
      </c>
      <c r="O4" s="2" t="inlineStr">
        <is>
          <t>Quality</t>
        </is>
      </c>
    </row>
    <row r="5">
      <c r="A5" t="inlineStr">
        <is>
          <t>CUST-10001</t>
        </is>
      </c>
      <c r="B5" t="inlineStr">
        <is>
          <t xml:space="preserve">priya mehta  </t>
        </is>
      </c>
      <c r="C5" t="inlineStr">
        <is>
          <t>priya.mehta1@example.com</t>
        </is>
      </c>
      <c r="D5" t="inlineStr">
        <is>
          <t>WEB/IND/DEL/20260001</t>
        </is>
      </c>
      <c r="E5" t="inlineStr">
        <is>
          <t>ELX-MON-101</t>
        </is>
      </c>
      <c r="F5" t="inlineStr">
        <is>
          <t xml:space="preserve">  Delhi   Business Park  </t>
        </is>
      </c>
      <c r="G5" t="n">
        <v>2931.25</v>
      </c>
      <c r="H5">
        <f>PROPER(TRIM(CLEAN(B5)))</f>
        <v/>
      </c>
      <c r="I5">
        <f>LOWER(TRIM(CLEAN(C5)))</f>
        <v/>
      </c>
      <c r="J5">
        <f>MID(D5,SEARCH("/",D5,9)+1,3)</f>
        <v/>
      </c>
      <c r="K5">
        <f>MID(E5,5,3)</f>
        <v/>
      </c>
      <c r="L5">
        <f>RIGHT(A5,5)</f>
        <v/>
      </c>
      <c r="M5">
        <f>TEXTJOIN(" | ",TRUE,H5,I5,K5)</f>
        <v/>
      </c>
      <c r="N5">
        <f>TRIM(CLEAN(F5))</f>
        <v/>
      </c>
      <c r="O5">
        <f>IF(AND(LEN(I5)&gt;=15,ISNUMBER(SEARCH("@",I5)),LEN(J5)=3,H5&lt;&gt;"",N5&lt;&gt;""),"READY","REVIEW")</f>
        <v/>
      </c>
    </row>
    <row r="6">
      <c r="A6" t="inlineStr">
        <is>
          <t>CUST-10002</t>
        </is>
      </c>
      <c r="B6" t="inlineStr">
        <is>
          <t xml:space="preserve">amit verma  </t>
        </is>
      </c>
      <c r="C6" t="inlineStr">
        <is>
          <t>amit.verma2@example.com</t>
        </is>
      </c>
      <c r="D6" t="inlineStr">
        <is>
          <t>WEB/IND/BLR/20260002</t>
        </is>
      </c>
      <c r="E6" t="inlineStr">
        <is>
          <t>ELX-KEY-102</t>
        </is>
      </c>
      <c r="F6" t="inlineStr">
        <is>
          <t xml:space="preserve">  Bengaluru   Business Park  </t>
        </is>
      </c>
      <c r="G6" t="n">
        <v>3362.5</v>
      </c>
      <c r="H6">
        <f>PROPER(TRIM(CLEAN(B6)))</f>
        <v/>
      </c>
      <c r="I6">
        <f>LOWER(TRIM(CLEAN(C6)))</f>
        <v/>
      </c>
      <c r="J6">
        <f>MID(D6,SEARCH("/",D6,9)+1,3)</f>
        <v/>
      </c>
      <c r="K6">
        <f>MID(E6,5,3)</f>
        <v/>
      </c>
      <c r="L6">
        <f>RIGHT(A6,5)</f>
        <v/>
      </c>
      <c r="M6">
        <f>TEXTJOIN(" | ",TRUE,H6,I6,K6)</f>
        <v/>
      </c>
      <c r="N6">
        <f>TRIM(CLEAN(F6))</f>
        <v/>
      </c>
      <c r="O6">
        <f>IF(AND(LEN(I6)&gt;=15,ISNUMBER(SEARCH("@",I6)),LEN(J6)=3,H6&lt;&gt;"",N6&lt;&gt;""),"READY","REVIEW")</f>
        <v/>
      </c>
    </row>
    <row r="7">
      <c r="A7" t="inlineStr">
        <is>
          <t>CUST-10003</t>
        </is>
      </c>
      <c r="B7" t="inlineStr">
        <is>
          <t xml:space="preserve">  NEHA KAPOOR  </t>
        </is>
      </c>
      <c r="C7" t="inlineStr">
        <is>
          <t>neha.kapoor3@example.com</t>
        </is>
      </c>
      <c r="D7" t="inlineStr">
        <is>
          <t>WEB/IND/PUN/20260003</t>
        </is>
      </c>
      <c r="E7" t="inlineStr">
        <is>
          <t>ELX-MOU-103</t>
        </is>
      </c>
      <c r="F7" t="inlineStr">
        <is>
          <t xml:space="preserve">  Pune   Business Park  </t>
        </is>
      </c>
      <c r="G7" t="n">
        <v>3793.75</v>
      </c>
      <c r="H7">
        <f>PROPER(TRIM(CLEAN(B7)))</f>
        <v/>
      </c>
      <c r="I7">
        <f>LOWER(TRIM(CLEAN(C7)))</f>
        <v/>
      </c>
      <c r="J7">
        <f>MID(D7,SEARCH("/",D7,9)+1,3)</f>
        <v/>
      </c>
      <c r="K7">
        <f>MID(E7,5,3)</f>
        <v/>
      </c>
      <c r="L7">
        <f>RIGHT(A7,5)</f>
        <v/>
      </c>
      <c r="M7">
        <f>TEXTJOIN(" | ",TRUE,H7,I7,K7)</f>
        <v/>
      </c>
      <c r="N7">
        <f>TRIM(CLEAN(F7))</f>
        <v/>
      </c>
      <c r="O7">
        <f>IF(AND(LEN(I7)&gt;=15,ISNUMBER(SEARCH("@",I7)),LEN(J7)=3,H7&lt;&gt;"",N7&lt;&gt;""),"READY","REVIEW")</f>
        <v/>
      </c>
    </row>
    <row r="8">
      <c r="A8" t="inlineStr">
        <is>
          <t>CUST-10004</t>
        </is>
      </c>
      <c r="B8" t="inlineStr">
        <is>
          <t xml:space="preserve">rahul sharma  </t>
        </is>
      </c>
      <c r="C8" t="inlineStr">
        <is>
          <t>rahul.sharma4@example.com</t>
        </is>
      </c>
      <c r="D8" t="inlineStr">
        <is>
          <t>WEB/IND/MUM/20260004</t>
        </is>
      </c>
      <c r="E8" t="inlineStr">
        <is>
          <t>ELX-LAP-104</t>
        </is>
      </c>
      <c r="F8" t="inlineStr">
        <is>
          <t xml:space="preserve">  Mumbai   Business Park  </t>
        </is>
      </c>
      <c r="G8" t="n">
        <v>4225</v>
      </c>
      <c r="H8">
        <f>PROPER(TRIM(CLEAN(B8)))</f>
        <v/>
      </c>
      <c r="I8">
        <f>LOWER(TRIM(CLEAN(C8)))</f>
        <v/>
      </c>
      <c r="J8">
        <f>MID(D8,SEARCH("/",D8,9)+1,3)</f>
        <v/>
      </c>
      <c r="K8">
        <f>MID(E8,5,3)</f>
        <v/>
      </c>
      <c r="L8">
        <f>RIGHT(A8,5)</f>
        <v/>
      </c>
      <c r="M8">
        <f>TEXTJOIN(" | ",TRUE,H8,I8,K8)</f>
        <v/>
      </c>
      <c r="N8">
        <f>TRIM(CLEAN(F8))</f>
        <v/>
      </c>
      <c r="O8">
        <f>IF(AND(LEN(I8)&gt;=15,ISNUMBER(SEARCH("@",I8)),LEN(J8)=3,H8&lt;&gt;"",N8&lt;&gt;""),"READY","REVIEW")</f>
        <v/>
      </c>
    </row>
    <row r="9">
      <c r="A9" t="inlineStr">
        <is>
          <t>CUST-10005</t>
        </is>
      </c>
      <c r="B9" t="inlineStr">
        <is>
          <t xml:space="preserve">priya mehta  </t>
        </is>
      </c>
      <c r="C9" t="inlineStr">
        <is>
          <t>priya.mehta5@example.com</t>
        </is>
      </c>
      <c r="D9" t="inlineStr">
        <is>
          <t>WEB/IND/DEL/20260005</t>
        </is>
      </c>
      <c r="E9" t="inlineStr">
        <is>
          <t>ELX-MON-105</t>
        </is>
      </c>
      <c r="F9" t="inlineStr">
        <is>
          <t xml:space="preserve">  Delhi   Business Park  </t>
        </is>
      </c>
      <c r="G9" t="n">
        <v>4656.25</v>
      </c>
      <c r="H9">
        <f>PROPER(TRIM(CLEAN(B9)))</f>
        <v/>
      </c>
      <c r="I9">
        <f>LOWER(TRIM(CLEAN(C9)))</f>
        <v/>
      </c>
      <c r="J9">
        <f>MID(D9,SEARCH("/",D9,9)+1,3)</f>
        <v/>
      </c>
      <c r="K9">
        <f>MID(E9,5,3)</f>
        <v/>
      </c>
      <c r="L9">
        <f>RIGHT(A9,5)</f>
        <v/>
      </c>
      <c r="M9">
        <f>TEXTJOIN(" | ",TRUE,H9,I9,K9)</f>
        <v/>
      </c>
      <c r="N9">
        <f>TRIM(CLEAN(F9))</f>
        <v/>
      </c>
      <c r="O9">
        <f>IF(AND(LEN(I9)&gt;=15,ISNUMBER(SEARCH("@",I9)),LEN(J9)=3,H9&lt;&gt;"",N9&lt;&gt;""),"READY","REVIEW")</f>
        <v/>
      </c>
    </row>
    <row r="10">
      <c r="A10" t="inlineStr">
        <is>
          <t>CUST-10006</t>
        </is>
      </c>
      <c r="B10" t="inlineStr">
        <is>
          <t xml:space="preserve">  AMIT VERMA  </t>
        </is>
      </c>
      <c r="C10" t="inlineStr">
        <is>
          <t>amit.verma6@example.com</t>
        </is>
      </c>
      <c r="D10" t="inlineStr">
        <is>
          <t>WEB/IND/BLR/20260006</t>
        </is>
      </c>
      <c r="E10" t="inlineStr">
        <is>
          <t>ELX-KEY-106</t>
        </is>
      </c>
      <c r="F10" t="inlineStr">
        <is>
          <t xml:space="preserve">  Bengaluru   Business Park  </t>
        </is>
      </c>
      <c r="G10" t="n">
        <v>5087.5</v>
      </c>
      <c r="H10">
        <f>PROPER(TRIM(CLEAN(B10)))</f>
        <v/>
      </c>
      <c r="I10">
        <f>LOWER(TRIM(CLEAN(C10)))</f>
        <v/>
      </c>
      <c r="J10">
        <f>MID(D10,SEARCH("/",D10,9)+1,3)</f>
        <v/>
      </c>
      <c r="K10">
        <f>MID(E10,5,3)</f>
        <v/>
      </c>
      <c r="L10">
        <f>RIGHT(A10,5)</f>
        <v/>
      </c>
      <c r="M10">
        <f>TEXTJOIN(" | ",TRUE,H10,I10,K10)</f>
        <v/>
      </c>
      <c r="N10">
        <f>TRIM(CLEAN(F10))</f>
        <v/>
      </c>
      <c r="O10">
        <f>IF(AND(LEN(I10)&gt;=15,ISNUMBER(SEARCH("@",I10)),LEN(J10)=3,H10&lt;&gt;"",N10&lt;&gt;""),"READY","REVIEW")</f>
        <v/>
      </c>
    </row>
    <row r="11">
      <c r="A11" t="inlineStr">
        <is>
          <t>CUST-10007</t>
        </is>
      </c>
      <c r="B11" t="inlineStr">
        <is>
          <t xml:space="preserve">neha kapoor  </t>
        </is>
      </c>
      <c r="C11" t="inlineStr">
        <is>
          <t>neha.kapoor7@example.com</t>
        </is>
      </c>
      <c r="D11" t="inlineStr">
        <is>
          <t>WEB/IND/PUN/20260007</t>
        </is>
      </c>
      <c r="E11" t="inlineStr">
        <is>
          <t>ELX-MOU-107</t>
        </is>
      </c>
      <c r="F11" t="inlineStr">
        <is>
          <t xml:space="preserve">  Pune   Business Park  </t>
        </is>
      </c>
      <c r="G11" t="n">
        <v>5518.75</v>
      </c>
      <c r="H11">
        <f>PROPER(TRIM(CLEAN(B11)))</f>
        <v/>
      </c>
      <c r="I11">
        <f>LOWER(TRIM(CLEAN(C11)))</f>
        <v/>
      </c>
      <c r="J11">
        <f>MID(D11,SEARCH("/",D11,9)+1,3)</f>
        <v/>
      </c>
      <c r="K11">
        <f>MID(E11,5,3)</f>
        <v/>
      </c>
      <c r="L11">
        <f>RIGHT(A11,5)</f>
        <v/>
      </c>
      <c r="M11">
        <f>TEXTJOIN(" | ",TRUE,H11,I11,K11)</f>
        <v/>
      </c>
      <c r="N11">
        <f>TRIM(CLEAN(F11))</f>
        <v/>
      </c>
      <c r="O11">
        <f>IF(AND(LEN(I11)&gt;=15,ISNUMBER(SEARCH("@",I11)),LEN(J11)=3,H11&lt;&gt;"",N11&lt;&gt;""),"READY","REVIEW")</f>
        <v/>
      </c>
    </row>
    <row r="12">
      <c r="A12" t="inlineStr">
        <is>
          <t>CUST-10008</t>
        </is>
      </c>
      <c r="B12" t="inlineStr">
        <is>
          <t xml:space="preserve">rahul sharma  </t>
        </is>
      </c>
      <c r="C12" t="inlineStr">
        <is>
          <t>rahul.sharma8@example.com</t>
        </is>
      </c>
      <c r="D12" t="inlineStr">
        <is>
          <t>WEB/IND/MUM/20260008</t>
        </is>
      </c>
      <c r="E12" t="inlineStr">
        <is>
          <t>ELX-LAP-108</t>
        </is>
      </c>
      <c r="F12" t="inlineStr">
        <is>
          <t xml:space="preserve">  Mumbai   Business Park  </t>
        </is>
      </c>
      <c r="G12" t="n">
        <v>5950</v>
      </c>
      <c r="H12">
        <f>PROPER(TRIM(CLEAN(B12)))</f>
        <v/>
      </c>
      <c r="I12">
        <f>LOWER(TRIM(CLEAN(C12)))</f>
        <v/>
      </c>
      <c r="J12">
        <f>MID(D12,SEARCH("/",D12,9)+1,3)</f>
        <v/>
      </c>
      <c r="K12">
        <f>MID(E12,5,3)</f>
        <v/>
      </c>
      <c r="L12">
        <f>RIGHT(A12,5)</f>
        <v/>
      </c>
      <c r="M12">
        <f>TEXTJOIN(" | ",TRUE,H12,I12,K12)</f>
        <v/>
      </c>
      <c r="N12">
        <f>TRIM(CLEAN(F12))</f>
        <v/>
      </c>
      <c r="O12">
        <f>IF(AND(LEN(I12)&gt;=15,ISNUMBER(SEARCH("@",I12)),LEN(J12)=3,H12&lt;&gt;"",N12&lt;&gt;""),"READY","REVIEW")</f>
        <v/>
      </c>
    </row>
    <row r="13">
      <c r="A13" t="inlineStr">
        <is>
          <t>CUST-10009</t>
        </is>
      </c>
      <c r="B13" t="inlineStr">
        <is>
          <t xml:space="preserve">  PRIYA MEHTA  </t>
        </is>
      </c>
      <c r="C13" t="inlineStr">
        <is>
          <t>priya.mehta9@example.com</t>
        </is>
      </c>
      <c r="D13" t="inlineStr">
        <is>
          <t>WEB/IND/DEL/20260009</t>
        </is>
      </c>
      <c r="E13" t="inlineStr">
        <is>
          <t>ELX-MON-109</t>
        </is>
      </c>
      <c r="F13" t="inlineStr">
        <is>
          <t xml:space="preserve">  Delhi   Business Park  </t>
        </is>
      </c>
      <c r="G13" t="n">
        <v>6381.25</v>
      </c>
      <c r="H13">
        <f>PROPER(TRIM(CLEAN(B13)))</f>
        <v/>
      </c>
      <c r="I13">
        <f>LOWER(TRIM(CLEAN(C13)))</f>
        <v/>
      </c>
      <c r="J13">
        <f>MID(D13,SEARCH("/",D13,9)+1,3)</f>
        <v/>
      </c>
      <c r="K13">
        <f>MID(E13,5,3)</f>
        <v/>
      </c>
      <c r="L13">
        <f>RIGHT(A13,5)</f>
        <v/>
      </c>
      <c r="M13">
        <f>TEXTJOIN(" | ",TRUE,H13,I13,K13)</f>
        <v/>
      </c>
      <c r="N13">
        <f>TRIM(CLEAN(F13))</f>
        <v/>
      </c>
      <c r="O13">
        <f>IF(AND(LEN(I13)&gt;=15,ISNUMBER(SEARCH("@",I13)),LEN(J13)=3,H13&lt;&gt;"",N13&lt;&gt;""),"READY","REVIEW")</f>
        <v/>
      </c>
    </row>
    <row r="14">
      <c r="A14" t="inlineStr">
        <is>
          <t>CUST-10010</t>
        </is>
      </c>
      <c r="B14" t="inlineStr">
        <is>
          <t xml:space="preserve">amit verma  </t>
        </is>
      </c>
      <c r="C14" t="inlineStr">
        <is>
          <t>amit.verma10@example.com</t>
        </is>
      </c>
      <c r="D14" t="inlineStr">
        <is>
          <t>WEB/IND/BLR/20260010</t>
        </is>
      </c>
      <c r="E14" t="inlineStr">
        <is>
          <t>ELX-KEY-110</t>
        </is>
      </c>
      <c r="F14" t="inlineStr">
        <is>
          <t xml:space="preserve">  Bengaluru   Business Park  </t>
        </is>
      </c>
      <c r="G14" t="n">
        <v>6812.5</v>
      </c>
      <c r="H14">
        <f>PROPER(TRIM(CLEAN(B14)))</f>
        <v/>
      </c>
      <c r="I14">
        <f>LOWER(TRIM(CLEAN(C14)))</f>
        <v/>
      </c>
      <c r="J14">
        <f>MID(D14,SEARCH("/",D14,9)+1,3)</f>
        <v/>
      </c>
      <c r="K14">
        <f>MID(E14,5,3)</f>
        <v/>
      </c>
      <c r="L14">
        <f>RIGHT(A14,5)</f>
        <v/>
      </c>
      <c r="M14">
        <f>TEXTJOIN(" | ",TRUE,H14,I14,K14)</f>
        <v/>
      </c>
      <c r="N14">
        <f>TRIM(CLEAN(F14))</f>
        <v/>
      </c>
      <c r="O14">
        <f>IF(AND(LEN(I14)&gt;=15,ISNUMBER(SEARCH("@",I14)),LEN(J14)=3,H14&lt;&gt;"",N14&lt;&gt;""),"READY","REVIEW")</f>
        <v/>
      </c>
    </row>
    <row r="15">
      <c r="A15" t="inlineStr">
        <is>
          <t>CUST-10011</t>
        </is>
      </c>
      <c r="B15" t="inlineStr">
        <is>
          <t xml:space="preserve">neha kapoor  </t>
        </is>
      </c>
      <c r="C15" t="inlineStr">
        <is>
          <t>neha.kapoor11@example.com</t>
        </is>
      </c>
      <c r="D15" t="inlineStr">
        <is>
          <t>WEB/IND/PUN/20260011</t>
        </is>
      </c>
      <c r="E15" t="inlineStr">
        <is>
          <t>ELX-MOU-111</t>
        </is>
      </c>
      <c r="F15" t="inlineStr">
        <is>
          <t xml:space="preserve">  Pune   Business Park  </t>
        </is>
      </c>
      <c r="G15" t="n">
        <v>7243.75</v>
      </c>
      <c r="H15">
        <f>PROPER(TRIM(CLEAN(B15)))</f>
        <v/>
      </c>
      <c r="I15">
        <f>LOWER(TRIM(CLEAN(C15)))</f>
        <v/>
      </c>
      <c r="J15">
        <f>MID(D15,SEARCH("/",D15,9)+1,3)</f>
        <v/>
      </c>
      <c r="K15">
        <f>MID(E15,5,3)</f>
        <v/>
      </c>
      <c r="L15">
        <f>RIGHT(A15,5)</f>
        <v/>
      </c>
      <c r="M15">
        <f>TEXTJOIN(" | ",TRUE,H15,I15,K15)</f>
        <v/>
      </c>
      <c r="N15">
        <f>TRIM(CLEAN(F15))</f>
        <v/>
      </c>
      <c r="O15">
        <f>IF(AND(LEN(I15)&gt;=15,ISNUMBER(SEARCH("@",I15)),LEN(J15)=3,H15&lt;&gt;"",N15&lt;&gt;""),"READY","REVIEW")</f>
        <v/>
      </c>
    </row>
    <row r="16">
      <c r="A16" t="inlineStr">
        <is>
          <t>CUST-10012</t>
        </is>
      </c>
      <c r="B16" t="inlineStr">
        <is>
          <t xml:space="preserve">  RAHUL SHARMA  </t>
        </is>
      </c>
      <c r="C16" t="inlineStr">
        <is>
          <t>rahul.sharma12@example.com</t>
        </is>
      </c>
      <c r="D16" t="inlineStr">
        <is>
          <t>WEB/IND/MUM/20260012</t>
        </is>
      </c>
      <c r="E16" t="inlineStr">
        <is>
          <t>ELX-LAP-112</t>
        </is>
      </c>
      <c r="F16" t="inlineStr">
        <is>
          <t xml:space="preserve">  Mumbai   Business Park  </t>
        </is>
      </c>
      <c r="G16" t="n">
        <v>7675</v>
      </c>
      <c r="H16">
        <f>PROPER(TRIM(CLEAN(B16)))</f>
        <v/>
      </c>
      <c r="I16">
        <f>LOWER(TRIM(CLEAN(C16)))</f>
        <v/>
      </c>
      <c r="J16">
        <f>MID(D16,SEARCH("/",D16,9)+1,3)</f>
        <v/>
      </c>
      <c r="K16">
        <f>MID(E16,5,3)</f>
        <v/>
      </c>
      <c r="L16">
        <f>RIGHT(A16,5)</f>
        <v/>
      </c>
      <c r="M16">
        <f>TEXTJOIN(" | ",TRUE,H16,I16,K16)</f>
        <v/>
      </c>
      <c r="N16">
        <f>TRIM(CLEAN(F16))</f>
        <v/>
      </c>
      <c r="O16">
        <f>IF(AND(LEN(I16)&gt;=15,ISNUMBER(SEARCH("@",I16)),LEN(J16)=3,H16&lt;&gt;"",N16&lt;&gt;""),"READY","REVIEW")</f>
        <v/>
      </c>
    </row>
    <row r="17">
      <c r="A17" t="inlineStr">
        <is>
          <t>CUST-10013</t>
        </is>
      </c>
      <c r="B17" t="inlineStr">
        <is>
          <t xml:space="preserve">priya mehta  </t>
        </is>
      </c>
      <c r="C17" t="inlineStr">
        <is>
          <t>priya.mehta13@example.com</t>
        </is>
      </c>
      <c r="D17" t="inlineStr">
        <is>
          <t>WEB/IND/DEL/20260013</t>
        </is>
      </c>
      <c r="E17" t="inlineStr">
        <is>
          <t>ELX-MON-113</t>
        </is>
      </c>
      <c r="F17" t="inlineStr">
        <is>
          <t xml:space="preserve">  Delhi   Business Park  </t>
        </is>
      </c>
      <c r="G17" t="n">
        <v>8106.25</v>
      </c>
      <c r="H17">
        <f>PROPER(TRIM(CLEAN(B17)))</f>
        <v/>
      </c>
      <c r="I17">
        <f>LOWER(TRIM(CLEAN(C17)))</f>
        <v/>
      </c>
      <c r="J17">
        <f>MID(D17,SEARCH("/",D17,9)+1,3)</f>
        <v/>
      </c>
      <c r="K17">
        <f>MID(E17,5,3)</f>
        <v/>
      </c>
      <c r="L17">
        <f>RIGHT(A17,5)</f>
        <v/>
      </c>
      <c r="M17">
        <f>TEXTJOIN(" | ",TRUE,H17,I17,K17)</f>
        <v/>
      </c>
      <c r="N17">
        <f>TRIM(CLEAN(F17))</f>
        <v/>
      </c>
      <c r="O17">
        <f>IF(AND(LEN(I17)&gt;=15,ISNUMBER(SEARCH("@",I17)),LEN(J17)=3,H17&lt;&gt;"",N17&lt;&gt;""),"READY","REVIEW")</f>
        <v/>
      </c>
    </row>
    <row r="18">
      <c r="A18" t="inlineStr">
        <is>
          <t>CUST-10014</t>
        </is>
      </c>
      <c r="B18" t="inlineStr">
        <is>
          <t xml:space="preserve">amit verma  </t>
        </is>
      </c>
      <c r="C18" t="inlineStr">
        <is>
          <t>amit.verma14@example.com</t>
        </is>
      </c>
      <c r="D18" t="inlineStr">
        <is>
          <t>WEB/IND/BLR/20260014</t>
        </is>
      </c>
      <c r="E18" t="inlineStr">
        <is>
          <t>ELX-KEY-114</t>
        </is>
      </c>
      <c r="F18" t="inlineStr">
        <is>
          <t xml:space="preserve">  Bengaluru   Business Park  </t>
        </is>
      </c>
      <c r="G18" t="n">
        <v>8537.5</v>
      </c>
      <c r="H18">
        <f>PROPER(TRIM(CLEAN(B18)))</f>
        <v/>
      </c>
      <c r="I18">
        <f>LOWER(TRIM(CLEAN(C18)))</f>
        <v/>
      </c>
      <c r="J18">
        <f>MID(D18,SEARCH("/",D18,9)+1,3)</f>
        <v/>
      </c>
      <c r="K18">
        <f>MID(E18,5,3)</f>
        <v/>
      </c>
      <c r="L18">
        <f>RIGHT(A18,5)</f>
        <v/>
      </c>
      <c r="M18">
        <f>TEXTJOIN(" | ",TRUE,H18,I18,K18)</f>
        <v/>
      </c>
      <c r="N18">
        <f>TRIM(CLEAN(F18))</f>
        <v/>
      </c>
      <c r="O18">
        <f>IF(AND(LEN(I18)&gt;=15,ISNUMBER(SEARCH("@",I18)),LEN(J18)=3,H18&lt;&gt;"",N18&lt;&gt;""),"READY","REVIEW")</f>
        <v/>
      </c>
    </row>
    <row r="19">
      <c r="A19" t="inlineStr">
        <is>
          <t>CUST-10015</t>
        </is>
      </c>
      <c r="B19" t="inlineStr">
        <is>
          <t xml:space="preserve">  NEHA KAPOOR  </t>
        </is>
      </c>
      <c r="C19" t="inlineStr">
        <is>
          <t>neha.kapoor15@example.com</t>
        </is>
      </c>
      <c r="D19" t="inlineStr">
        <is>
          <t>WEB/IND/PUN/20260015</t>
        </is>
      </c>
      <c r="E19" t="inlineStr">
        <is>
          <t>ELX-MOU-115</t>
        </is>
      </c>
      <c r="F19" t="inlineStr">
        <is>
          <t xml:space="preserve">  Pune   Business Park  </t>
        </is>
      </c>
      <c r="G19" t="n">
        <v>8968.75</v>
      </c>
      <c r="H19">
        <f>PROPER(TRIM(CLEAN(B19)))</f>
        <v/>
      </c>
      <c r="I19">
        <f>LOWER(TRIM(CLEAN(C19)))</f>
        <v/>
      </c>
      <c r="J19">
        <f>MID(D19,SEARCH("/",D19,9)+1,3)</f>
        <v/>
      </c>
      <c r="K19">
        <f>MID(E19,5,3)</f>
        <v/>
      </c>
      <c r="L19">
        <f>RIGHT(A19,5)</f>
        <v/>
      </c>
      <c r="M19">
        <f>TEXTJOIN(" | ",TRUE,H19,I19,K19)</f>
        <v/>
      </c>
      <c r="N19">
        <f>TRIM(CLEAN(F19))</f>
        <v/>
      </c>
      <c r="O19">
        <f>IF(AND(LEN(I19)&gt;=15,ISNUMBER(SEARCH("@",I19)),LEN(J19)=3,H19&lt;&gt;"",N19&lt;&gt;""),"READY","REVIEW")</f>
        <v/>
      </c>
    </row>
    <row r="20">
      <c r="A20" t="inlineStr">
        <is>
          <t>CUST-10016</t>
        </is>
      </c>
      <c r="B20" t="inlineStr">
        <is>
          <t xml:space="preserve">rahul sharma  </t>
        </is>
      </c>
      <c r="C20" t="inlineStr">
        <is>
          <t>rahul.sharma16@example.com</t>
        </is>
      </c>
      <c r="D20" t="inlineStr">
        <is>
          <t>WEB/IND/MUM/20260016</t>
        </is>
      </c>
      <c r="E20" t="inlineStr">
        <is>
          <t>ELX-LAP-116</t>
        </is>
      </c>
      <c r="F20" t="inlineStr">
        <is>
          <t xml:space="preserve">  Mumbai   Business Park  </t>
        </is>
      </c>
      <c r="G20" t="n">
        <v>9400</v>
      </c>
      <c r="H20">
        <f>PROPER(TRIM(CLEAN(B20)))</f>
        <v/>
      </c>
      <c r="I20">
        <f>LOWER(TRIM(CLEAN(C20)))</f>
        <v/>
      </c>
      <c r="J20">
        <f>MID(D20,SEARCH("/",D20,9)+1,3)</f>
        <v/>
      </c>
      <c r="K20">
        <f>MID(E20,5,3)</f>
        <v/>
      </c>
      <c r="L20">
        <f>RIGHT(A20,5)</f>
        <v/>
      </c>
      <c r="M20">
        <f>TEXTJOIN(" | ",TRUE,H20,I20,K20)</f>
        <v/>
      </c>
      <c r="N20">
        <f>TRIM(CLEAN(F20))</f>
        <v/>
      </c>
      <c r="O20">
        <f>IF(AND(LEN(I20)&gt;=15,ISNUMBER(SEARCH("@",I20)),LEN(J20)=3,H20&lt;&gt;"",N20&lt;&gt;""),"READY","REVIEW")</f>
        <v/>
      </c>
    </row>
    <row r="21">
      <c r="A21" t="inlineStr">
        <is>
          <t>CUST-10017</t>
        </is>
      </c>
      <c r="B21" t="inlineStr">
        <is>
          <t xml:space="preserve">priya mehta  </t>
        </is>
      </c>
      <c r="C21" t="inlineStr">
        <is>
          <t>priya.mehta17@example.com</t>
        </is>
      </c>
      <c r="D21" t="inlineStr">
        <is>
          <t>WEB/IND/DEL/20260017</t>
        </is>
      </c>
      <c r="E21" t="inlineStr">
        <is>
          <t>ELX-MON-117</t>
        </is>
      </c>
      <c r="F21" t="inlineStr">
        <is>
          <t xml:space="preserve">  Delhi   Business Park  </t>
        </is>
      </c>
      <c r="G21" t="n">
        <v>9831.25</v>
      </c>
      <c r="H21">
        <f>PROPER(TRIM(CLEAN(B21)))</f>
        <v/>
      </c>
      <c r="I21">
        <f>LOWER(TRIM(CLEAN(C21)))</f>
        <v/>
      </c>
      <c r="J21">
        <f>MID(D21,SEARCH("/",D21,9)+1,3)</f>
        <v/>
      </c>
      <c r="K21">
        <f>MID(E21,5,3)</f>
        <v/>
      </c>
      <c r="L21">
        <f>RIGHT(A21,5)</f>
        <v/>
      </c>
      <c r="M21">
        <f>TEXTJOIN(" | ",TRUE,H21,I21,K21)</f>
        <v/>
      </c>
      <c r="N21">
        <f>TRIM(CLEAN(F21))</f>
        <v/>
      </c>
      <c r="O21">
        <f>IF(AND(LEN(I21)&gt;=15,ISNUMBER(SEARCH("@",I21)),LEN(J21)=3,H21&lt;&gt;"",N21&lt;&gt;""),"READY","REVIEW")</f>
        <v/>
      </c>
    </row>
    <row r="22">
      <c r="A22" t="inlineStr">
        <is>
          <t>CUST-10018</t>
        </is>
      </c>
      <c r="B22" t="inlineStr">
        <is>
          <t xml:space="preserve">  AMIT VERMA  </t>
        </is>
      </c>
      <c r="C22" t="inlineStr">
        <is>
          <t>amit.verma18@example.com</t>
        </is>
      </c>
      <c r="D22" t="inlineStr">
        <is>
          <t>WEB/IND/BLR/20260018</t>
        </is>
      </c>
      <c r="E22" t="inlineStr">
        <is>
          <t>ELX-KEY-118</t>
        </is>
      </c>
      <c r="F22" t="inlineStr">
        <is>
          <t xml:space="preserve">  Bengaluru   Business Park  </t>
        </is>
      </c>
      <c r="G22" t="n">
        <v>10262.5</v>
      </c>
      <c r="H22">
        <f>PROPER(TRIM(CLEAN(B22)))</f>
        <v/>
      </c>
      <c r="I22">
        <f>LOWER(TRIM(CLEAN(C22)))</f>
        <v/>
      </c>
      <c r="J22">
        <f>MID(D22,SEARCH("/",D22,9)+1,3)</f>
        <v/>
      </c>
      <c r="K22">
        <f>MID(E22,5,3)</f>
        <v/>
      </c>
      <c r="L22">
        <f>RIGHT(A22,5)</f>
        <v/>
      </c>
      <c r="M22">
        <f>TEXTJOIN(" | ",TRUE,H22,I22,K22)</f>
        <v/>
      </c>
      <c r="N22">
        <f>TRIM(CLEAN(F22))</f>
        <v/>
      </c>
      <c r="O22">
        <f>IF(AND(LEN(I22)&gt;=15,ISNUMBER(SEARCH("@",I22)),LEN(J22)=3,H22&lt;&gt;"",N22&lt;&gt;""),"READY","REVIEW")</f>
        <v/>
      </c>
    </row>
    <row r="23">
      <c r="A23" t="inlineStr">
        <is>
          <t>CUST-10019</t>
        </is>
      </c>
      <c r="B23" t="inlineStr">
        <is>
          <t xml:space="preserve">neha kapoor  </t>
        </is>
      </c>
      <c r="C23" t="inlineStr">
        <is>
          <t>neha.kapoor19@example.com</t>
        </is>
      </c>
      <c r="D23" t="inlineStr">
        <is>
          <t>WEB/IND/PUN/20260019</t>
        </is>
      </c>
      <c r="E23" t="inlineStr">
        <is>
          <t>ELX-MOU-119</t>
        </is>
      </c>
      <c r="F23" t="inlineStr">
        <is>
          <t xml:space="preserve">  Pune   Business Park  </t>
        </is>
      </c>
      <c r="G23" t="n">
        <v>10693.75</v>
      </c>
      <c r="H23">
        <f>PROPER(TRIM(CLEAN(B23)))</f>
        <v/>
      </c>
      <c r="I23">
        <f>LOWER(TRIM(CLEAN(C23)))</f>
        <v/>
      </c>
      <c r="J23">
        <f>MID(D23,SEARCH("/",D23,9)+1,3)</f>
        <v/>
      </c>
      <c r="K23">
        <f>MID(E23,5,3)</f>
        <v/>
      </c>
      <c r="L23">
        <f>RIGHT(A23,5)</f>
        <v/>
      </c>
      <c r="M23">
        <f>TEXTJOIN(" | ",TRUE,H23,I23,K23)</f>
        <v/>
      </c>
      <c r="N23">
        <f>TRIM(CLEAN(F23))</f>
        <v/>
      </c>
      <c r="O23">
        <f>IF(AND(LEN(I23)&gt;=15,ISNUMBER(SEARCH("@",I23)),LEN(J23)=3,H23&lt;&gt;"",N23&lt;&gt;""),"READY","REVIEW")</f>
        <v/>
      </c>
    </row>
    <row r="24">
      <c r="A24" t="inlineStr">
        <is>
          <t>CUST-10020</t>
        </is>
      </c>
      <c r="B24" t="inlineStr">
        <is>
          <t xml:space="preserve">rahul sharma  </t>
        </is>
      </c>
      <c r="C24" t="inlineStr">
        <is>
          <t>rahul.sharma20@example.com</t>
        </is>
      </c>
      <c r="D24" t="inlineStr">
        <is>
          <t>WEB/IND/MUM/20260020</t>
        </is>
      </c>
      <c r="E24" t="inlineStr">
        <is>
          <t>ELX-LAP-120</t>
        </is>
      </c>
      <c r="F24" t="inlineStr">
        <is>
          <t xml:space="preserve">  Mumbai   Business Park  </t>
        </is>
      </c>
      <c r="G24" t="n">
        <v>11125</v>
      </c>
      <c r="H24">
        <f>PROPER(TRIM(CLEAN(B24)))</f>
        <v/>
      </c>
      <c r="I24">
        <f>LOWER(TRIM(CLEAN(C24)))</f>
        <v/>
      </c>
      <c r="J24">
        <f>MID(D24,SEARCH("/",D24,9)+1,3)</f>
        <v/>
      </c>
      <c r="K24">
        <f>MID(E24,5,3)</f>
        <v/>
      </c>
      <c r="L24">
        <f>RIGHT(A24,5)</f>
        <v/>
      </c>
      <c r="M24">
        <f>TEXTJOIN(" | ",TRUE,H24,I24,K24)</f>
        <v/>
      </c>
      <c r="N24">
        <f>TRIM(CLEAN(F24))</f>
        <v/>
      </c>
      <c r="O24">
        <f>IF(AND(LEN(I24)&gt;=15,ISNUMBER(SEARCH("@",I24)),LEN(J24)=3,H24&lt;&gt;"",N24&lt;&gt;""),"READY","REVIEW")</f>
        <v/>
      </c>
    </row>
    <row r="25">
      <c r="A25" t="inlineStr">
        <is>
          <t>CUST-10021</t>
        </is>
      </c>
      <c r="B25" t="inlineStr">
        <is>
          <t xml:space="preserve">  PRIYA MEHTA  </t>
        </is>
      </c>
      <c r="C25" t="inlineStr">
        <is>
          <t>priya.mehta21@example.com</t>
        </is>
      </c>
      <c r="D25" t="inlineStr">
        <is>
          <t>WEB/IND/DEL/20260021</t>
        </is>
      </c>
      <c r="E25" t="inlineStr">
        <is>
          <t>ELX-MON-121</t>
        </is>
      </c>
      <c r="F25" t="inlineStr">
        <is>
          <t xml:space="preserve">  Delhi   Business Park  </t>
        </is>
      </c>
      <c r="G25" t="n">
        <v>11556.25</v>
      </c>
      <c r="H25">
        <f>PROPER(TRIM(CLEAN(B25)))</f>
        <v/>
      </c>
      <c r="I25">
        <f>LOWER(TRIM(CLEAN(C25)))</f>
        <v/>
      </c>
      <c r="J25">
        <f>MID(D25,SEARCH("/",D25,9)+1,3)</f>
        <v/>
      </c>
      <c r="K25">
        <f>MID(E25,5,3)</f>
        <v/>
      </c>
      <c r="L25">
        <f>RIGHT(A25,5)</f>
        <v/>
      </c>
      <c r="M25">
        <f>TEXTJOIN(" | ",TRUE,H25,I25,K25)</f>
        <v/>
      </c>
      <c r="N25">
        <f>TRIM(CLEAN(F25))</f>
        <v/>
      </c>
      <c r="O25">
        <f>IF(AND(LEN(I25)&gt;=15,ISNUMBER(SEARCH("@",I25)),LEN(J25)=3,H25&lt;&gt;"",N25&lt;&gt;""),"READY","REVIEW")</f>
        <v/>
      </c>
    </row>
    <row r="26">
      <c r="A26" t="inlineStr">
        <is>
          <t>CUST-10022</t>
        </is>
      </c>
      <c r="B26" t="inlineStr">
        <is>
          <t xml:space="preserve">amit verma  </t>
        </is>
      </c>
      <c r="C26" t="inlineStr">
        <is>
          <t>amit.verma22@example.com</t>
        </is>
      </c>
      <c r="D26" t="inlineStr">
        <is>
          <t>WEB/IND/BLR/20260022</t>
        </is>
      </c>
      <c r="E26" t="inlineStr">
        <is>
          <t>ELX-KEY-122</t>
        </is>
      </c>
      <c r="F26" t="inlineStr">
        <is>
          <t xml:space="preserve">  Bengaluru   Business Park  </t>
        </is>
      </c>
      <c r="G26" t="n">
        <v>11987.5</v>
      </c>
      <c r="H26">
        <f>PROPER(TRIM(CLEAN(B26)))</f>
        <v/>
      </c>
      <c r="I26">
        <f>LOWER(TRIM(CLEAN(C26)))</f>
        <v/>
      </c>
      <c r="J26">
        <f>MID(D26,SEARCH("/",D26,9)+1,3)</f>
        <v/>
      </c>
      <c r="K26">
        <f>MID(E26,5,3)</f>
        <v/>
      </c>
      <c r="L26">
        <f>RIGHT(A26,5)</f>
        <v/>
      </c>
      <c r="M26">
        <f>TEXTJOIN(" | ",TRUE,H26,I26,K26)</f>
        <v/>
      </c>
      <c r="N26">
        <f>TRIM(CLEAN(F26))</f>
        <v/>
      </c>
      <c r="O26">
        <f>IF(AND(LEN(I26)&gt;=15,ISNUMBER(SEARCH("@",I26)),LEN(J26)=3,H26&lt;&gt;"",N26&lt;&gt;""),"READY","REVIEW")</f>
        <v/>
      </c>
    </row>
    <row r="27">
      <c r="A27" t="inlineStr">
        <is>
          <t>CUST-10023</t>
        </is>
      </c>
      <c r="B27" t="inlineStr">
        <is>
          <t xml:space="preserve">neha kapoor  </t>
        </is>
      </c>
      <c r="C27" t="inlineStr">
        <is>
          <t>neha.kapoor23@example.com</t>
        </is>
      </c>
      <c r="D27" t="inlineStr">
        <is>
          <t>WEB/IND/PUN/20260023</t>
        </is>
      </c>
      <c r="E27" t="inlineStr">
        <is>
          <t>ELX-MOU-123</t>
        </is>
      </c>
      <c r="F27" t="inlineStr">
        <is>
          <t xml:space="preserve">  Pune   Business Park  </t>
        </is>
      </c>
      <c r="G27" t="n">
        <v>12418.75</v>
      </c>
      <c r="H27">
        <f>PROPER(TRIM(CLEAN(B27)))</f>
        <v/>
      </c>
      <c r="I27">
        <f>LOWER(TRIM(CLEAN(C27)))</f>
        <v/>
      </c>
      <c r="J27">
        <f>MID(D27,SEARCH("/",D27,9)+1,3)</f>
        <v/>
      </c>
      <c r="K27">
        <f>MID(E27,5,3)</f>
        <v/>
      </c>
      <c r="L27">
        <f>RIGHT(A27,5)</f>
        <v/>
      </c>
      <c r="M27">
        <f>TEXTJOIN(" | ",TRUE,H27,I27,K27)</f>
        <v/>
      </c>
      <c r="N27">
        <f>TRIM(CLEAN(F27))</f>
        <v/>
      </c>
      <c r="O27">
        <f>IF(AND(LEN(I27)&gt;=15,ISNUMBER(SEARCH("@",I27)),LEN(J27)=3,H27&lt;&gt;"",N27&lt;&gt;""),"READY","REVIEW")</f>
        <v/>
      </c>
    </row>
    <row r="28">
      <c r="A28" t="inlineStr">
        <is>
          <t>CUST-10024</t>
        </is>
      </c>
      <c r="B28" t="inlineStr">
        <is>
          <t xml:space="preserve">  RAHUL SHARMA  </t>
        </is>
      </c>
      <c r="C28" t="inlineStr">
        <is>
          <t>rahul.sharma24@example.com</t>
        </is>
      </c>
      <c r="D28" t="inlineStr">
        <is>
          <t>WEB/IND/MUM/20260024</t>
        </is>
      </c>
      <c r="E28" t="inlineStr">
        <is>
          <t>ELX-LAP-124</t>
        </is>
      </c>
      <c r="F28" t="inlineStr">
        <is>
          <t xml:space="preserve">  Mumbai   Business Park  </t>
        </is>
      </c>
      <c r="G28" t="n">
        <v>12850</v>
      </c>
      <c r="H28">
        <f>PROPER(TRIM(CLEAN(B28)))</f>
        <v/>
      </c>
      <c r="I28">
        <f>LOWER(TRIM(CLEAN(C28)))</f>
        <v/>
      </c>
      <c r="J28">
        <f>MID(D28,SEARCH("/",D28,9)+1,3)</f>
        <v/>
      </c>
      <c r="K28">
        <f>MID(E28,5,3)</f>
        <v/>
      </c>
      <c r="L28">
        <f>RIGHT(A28,5)</f>
        <v/>
      </c>
      <c r="M28">
        <f>TEXTJOIN(" | ",TRUE,H28,I28,K28)</f>
        <v/>
      </c>
      <c r="N28">
        <f>TRIM(CLEAN(F28))</f>
        <v/>
      </c>
      <c r="O28">
        <f>IF(AND(LEN(I28)&gt;=15,ISNUMBER(SEARCH("@",I28)),LEN(J28)=3,H28&lt;&gt;"",N28&lt;&gt;""),"READY","REVIEW")</f>
        <v/>
      </c>
    </row>
    <row r="29">
      <c r="A29" t="inlineStr">
        <is>
          <t>CUST-10025</t>
        </is>
      </c>
      <c r="B29" t="inlineStr">
        <is>
          <t xml:space="preserve">priya mehta  </t>
        </is>
      </c>
      <c r="C29" t="inlineStr">
        <is>
          <t>priya.mehta25@example.com</t>
        </is>
      </c>
      <c r="D29" t="inlineStr">
        <is>
          <t>WEB/IND/DEL/20260025</t>
        </is>
      </c>
      <c r="E29" t="inlineStr">
        <is>
          <t>ELX-MON-125</t>
        </is>
      </c>
      <c r="F29" t="inlineStr">
        <is>
          <t xml:space="preserve">  Delhi   Business Park  </t>
        </is>
      </c>
      <c r="G29" t="n">
        <v>13281.25</v>
      </c>
      <c r="H29">
        <f>PROPER(TRIM(CLEAN(B29)))</f>
        <v/>
      </c>
      <c r="I29">
        <f>LOWER(TRIM(CLEAN(C29)))</f>
        <v/>
      </c>
      <c r="J29">
        <f>MID(D29,SEARCH("/",D29,9)+1,3)</f>
        <v/>
      </c>
      <c r="K29">
        <f>MID(E29,5,3)</f>
        <v/>
      </c>
      <c r="L29">
        <f>RIGHT(A29,5)</f>
        <v/>
      </c>
      <c r="M29">
        <f>TEXTJOIN(" | ",TRUE,H29,I29,K29)</f>
        <v/>
      </c>
      <c r="N29">
        <f>TRIM(CLEAN(F29))</f>
        <v/>
      </c>
      <c r="O29">
        <f>IF(AND(LEN(I29)&gt;=15,ISNUMBER(SEARCH("@",I29)),LEN(J29)=3,H29&lt;&gt;"",N29&lt;&gt;""),"READY","REVIEW")</f>
        <v/>
      </c>
    </row>
    <row r="30">
      <c r="A30" t="inlineStr">
        <is>
          <t>CUST-10026</t>
        </is>
      </c>
      <c r="B30" t="inlineStr">
        <is>
          <t xml:space="preserve">amit verma  </t>
        </is>
      </c>
      <c r="C30" t="inlineStr">
        <is>
          <t>amit.verma26@example.com</t>
        </is>
      </c>
      <c r="D30" t="inlineStr">
        <is>
          <t>WEB/IND/BLR/20260026</t>
        </is>
      </c>
      <c r="E30" t="inlineStr">
        <is>
          <t>ELX-KEY-126</t>
        </is>
      </c>
      <c r="F30" t="inlineStr">
        <is>
          <t xml:space="preserve">  Bengaluru   Business Park  </t>
        </is>
      </c>
      <c r="G30" t="n">
        <v>13712.5</v>
      </c>
      <c r="H30">
        <f>PROPER(TRIM(CLEAN(B30)))</f>
        <v/>
      </c>
      <c r="I30">
        <f>LOWER(TRIM(CLEAN(C30)))</f>
        <v/>
      </c>
      <c r="J30">
        <f>MID(D30,SEARCH("/",D30,9)+1,3)</f>
        <v/>
      </c>
      <c r="K30">
        <f>MID(E30,5,3)</f>
        <v/>
      </c>
      <c r="L30">
        <f>RIGHT(A30,5)</f>
        <v/>
      </c>
      <c r="M30">
        <f>TEXTJOIN(" | ",TRUE,H30,I30,K30)</f>
        <v/>
      </c>
      <c r="N30">
        <f>TRIM(CLEAN(F30))</f>
        <v/>
      </c>
      <c r="O30">
        <f>IF(AND(LEN(I30)&gt;=15,ISNUMBER(SEARCH("@",I30)),LEN(J30)=3,H30&lt;&gt;"",N30&lt;&gt;""),"READY","REVIEW")</f>
        <v/>
      </c>
    </row>
    <row r="31">
      <c r="A31" t="inlineStr">
        <is>
          <t>CUST-10027</t>
        </is>
      </c>
      <c r="B31" t="inlineStr">
        <is>
          <t xml:space="preserve">  NEHA KAPOOR  </t>
        </is>
      </c>
      <c r="C31" t="inlineStr">
        <is>
          <t>neha.kapoor27@example.com</t>
        </is>
      </c>
      <c r="D31" t="inlineStr">
        <is>
          <t>WEB/IND/PUN/20260027</t>
        </is>
      </c>
      <c r="E31" t="inlineStr">
        <is>
          <t>ELX-MOU-127</t>
        </is>
      </c>
      <c r="F31" t="inlineStr">
        <is>
          <t xml:space="preserve">  Pune   Business Park  </t>
        </is>
      </c>
      <c r="G31" t="n">
        <v>14143.75</v>
      </c>
      <c r="H31">
        <f>PROPER(TRIM(CLEAN(B31)))</f>
        <v/>
      </c>
      <c r="I31">
        <f>LOWER(TRIM(CLEAN(C31)))</f>
        <v/>
      </c>
      <c r="J31">
        <f>MID(D31,SEARCH("/",D31,9)+1,3)</f>
        <v/>
      </c>
      <c r="K31">
        <f>MID(E31,5,3)</f>
        <v/>
      </c>
      <c r="L31">
        <f>RIGHT(A31,5)</f>
        <v/>
      </c>
      <c r="M31">
        <f>TEXTJOIN(" | ",TRUE,H31,I31,K31)</f>
        <v/>
      </c>
      <c r="N31">
        <f>TRIM(CLEAN(F31))</f>
        <v/>
      </c>
      <c r="O31">
        <f>IF(AND(LEN(I31)&gt;=15,ISNUMBER(SEARCH("@",I31)),LEN(J31)=3,H31&lt;&gt;"",N31&lt;&gt;""),"READY","REVIEW")</f>
        <v/>
      </c>
    </row>
    <row r="32">
      <c r="A32" t="inlineStr">
        <is>
          <t>CUST-10028</t>
        </is>
      </c>
      <c r="B32" t="inlineStr">
        <is>
          <t xml:space="preserve">rahul sharma  </t>
        </is>
      </c>
      <c r="C32" t="inlineStr">
        <is>
          <t>rahul.sharma28@example.com</t>
        </is>
      </c>
      <c r="D32" t="inlineStr">
        <is>
          <t>WEB/IND/MUM/20260028</t>
        </is>
      </c>
      <c r="E32" t="inlineStr">
        <is>
          <t>ELX-LAP-128</t>
        </is>
      </c>
      <c r="F32" t="inlineStr">
        <is>
          <t xml:space="preserve">  Mumbai   Business Park  </t>
        </is>
      </c>
      <c r="G32" t="n">
        <v>14575</v>
      </c>
      <c r="H32">
        <f>PROPER(TRIM(CLEAN(B32)))</f>
        <v/>
      </c>
      <c r="I32">
        <f>LOWER(TRIM(CLEAN(C32)))</f>
        <v/>
      </c>
      <c r="J32">
        <f>MID(D32,SEARCH("/",D32,9)+1,3)</f>
        <v/>
      </c>
      <c r="K32">
        <f>MID(E32,5,3)</f>
        <v/>
      </c>
      <c r="L32">
        <f>RIGHT(A32,5)</f>
        <v/>
      </c>
      <c r="M32">
        <f>TEXTJOIN(" | ",TRUE,H32,I32,K32)</f>
        <v/>
      </c>
      <c r="N32">
        <f>TRIM(CLEAN(F32))</f>
        <v/>
      </c>
      <c r="O32">
        <f>IF(AND(LEN(I32)&gt;=15,ISNUMBER(SEARCH("@",I32)),LEN(J32)=3,H32&lt;&gt;"",N32&lt;&gt;""),"READY","REVIEW")</f>
        <v/>
      </c>
    </row>
    <row r="33">
      <c r="A33" t="inlineStr">
        <is>
          <t>CUST-10029</t>
        </is>
      </c>
      <c r="B33" t="inlineStr">
        <is>
          <t xml:space="preserve">priya mehta  </t>
        </is>
      </c>
      <c r="C33" t="inlineStr">
        <is>
          <t>priya.mehta29@example.com</t>
        </is>
      </c>
      <c r="D33" t="inlineStr">
        <is>
          <t>WEB/IND/DEL/20260029</t>
        </is>
      </c>
      <c r="E33" t="inlineStr">
        <is>
          <t>ELX-MON-129</t>
        </is>
      </c>
      <c r="F33" t="inlineStr">
        <is>
          <t xml:space="preserve">  Delhi   Business Park  </t>
        </is>
      </c>
      <c r="G33" t="n">
        <v>15006.25</v>
      </c>
      <c r="H33">
        <f>PROPER(TRIM(CLEAN(B33)))</f>
        <v/>
      </c>
      <c r="I33">
        <f>LOWER(TRIM(CLEAN(C33)))</f>
        <v/>
      </c>
      <c r="J33">
        <f>MID(D33,SEARCH("/",D33,9)+1,3)</f>
        <v/>
      </c>
      <c r="K33">
        <f>MID(E33,5,3)</f>
        <v/>
      </c>
      <c r="L33">
        <f>RIGHT(A33,5)</f>
        <v/>
      </c>
      <c r="M33">
        <f>TEXTJOIN(" | ",TRUE,H33,I33,K33)</f>
        <v/>
      </c>
      <c r="N33">
        <f>TRIM(CLEAN(F33))</f>
        <v/>
      </c>
      <c r="O33">
        <f>IF(AND(LEN(I33)&gt;=15,ISNUMBER(SEARCH("@",I33)),LEN(J33)=3,H33&lt;&gt;"",N33&lt;&gt;""),"READY","REVIEW")</f>
        <v/>
      </c>
    </row>
    <row r="34">
      <c r="A34" t="inlineStr">
        <is>
          <t>CUST-10030</t>
        </is>
      </c>
      <c r="B34" t="inlineStr">
        <is>
          <t xml:space="preserve">  AMIT VERMA  </t>
        </is>
      </c>
      <c r="C34" t="inlineStr">
        <is>
          <t>amit.verma30@example.com</t>
        </is>
      </c>
      <c r="D34" t="inlineStr">
        <is>
          <t>WEB/IND/BLR/20260030</t>
        </is>
      </c>
      <c r="E34" t="inlineStr">
        <is>
          <t>ELX-KEY-130</t>
        </is>
      </c>
      <c r="F34" t="inlineStr">
        <is>
          <t xml:space="preserve">  Bengaluru   Business Park  </t>
        </is>
      </c>
      <c r="G34" t="n">
        <v>15437.5</v>
      </c>
      <c r="H34">
        <f>PROPER(TRIM(CLEAN(B34)))</f>
        <v/>
      </c>
      <c r="I34">
        <f>LOWER(TRIM(CLEAN(C34)))</f>
        <v/>
      </c>
      <c r="J34">
        <f>MID(D34,SEARCH("/",D34,9)+1,3)</f>
        <v/>
      </c>
      <c r="K34">
        <f>MID(E34,5,3)</f>
        <v/>
      </c>
      <c r="L34">
        <f>RIGHT(A34,5)</f>
        <v/>
      </c>
      <c r="M34">
        <f>TEXTJOIN(" | ",TRUE,H34,I34,K34)</f>
        <v/>
      </c>
      <c r="N34">
        <f>TRIM(CLEAN(F34))</f>
        <v/>
      </c>
      <c r="O34">
        <f>IF(AND(LEN(I34)&gt;=15,ISNUMBER(SEARCH("@",I34)),LEN(J34)=3,H34&lt;&gt;"",N34&lt;&gt;""),"READY","REVIEW")</f>
        <v/>
      </c>
    </row>
    <row r="35">
      <c r="A35" t="inlineStr">
        <is>
          <t>CUST-10031</t>
        </is>
      </c>
      <c r="B35" t="inlineStr">
        <is>
          <t xml:space="preserve">neha kapoor  </t>
        </is>
      </c>
      <c r="C35" t="inlineStr">
        <is>
          <t>neha.kapoor31@example.com</t>
        </is>
      </c>
      <c r="D35" t="inlineStr">
        <is>
          <t>WEB/IND/PUN/20260031</t>
        </is>
      </c>
      <c r="E35" t="inlineStr">
        <is>
          <t>ELX-MOU-131</t>
        </is>
      </c>
      <c r="F35" t="inlineStr">
        <is>
          <t xml:space="preserve">  Pune   Business Park  </t>
        </is>
      </c>
      <c r="G35" t="n">
        <v>15868.75</v>
      </c>
      <c r="H35">
        <f>PROPER(TRIM(CLEAN(B35)))</f>
        <v/>
      </c>
      <c r="I35">
        <f>LOWER(TRIM(CLEAN(C35)))</f>
        <v/>
      </c>
      <c r="J35">
        <f>MID(D35,SEARCH("/",D35,9)+1,3)</f>
        <v/>
      </c>
      <c r="K35">
        <f>MID(E35,5,3)</f>
        <v/>
      </c>
      <c r="L35">
        <f>RIGHT(A35,5)</f>
        <v/>
      </c>
      <c r="M35">
        <f>TEXTJOIN(" | ",TRUE,H35,I35,K35)</f>
        <v/>
      </c>
      <c r="N35">
        <f>TRIM(CLEAN(F35))</f>
        <v/>
      </c>
      <c r="O35">
        <f>IF(AND(LEN(I35)&gt;=15,ISNUMBER(SEARCH("@",I35)),LEN(J35)=3,H35&lt;&gt;"",N35&lt;&gt;""),"READY","REVIEW")</f>
        <v/>
      </c>
    </row>
    <row r="36">
      <c r="A36" t="inlineStr">
        <is>
          <t>CUST-10032</t>
        </is>
      </c>
      <c r="B36" t="inlineStr">
        <is>
          <t xml:space="preserve">rahul sharma  </t>
        </is>
      </c>
      <c r="C36" t="inlineStr">
        <is>
          <t>rahul.sharma32@example.com</t>
        </is>
      </c>
      <c r="D36" t="inlineStr">
        <is>
          <t>WEB/IND/MUM/20260032</t>
        </is>
      </c>
      <c r="E36" t="inlineStr">
        <is>
          <t>ELX-LAP-132</t>
        </is>
      </c>
      <c r="F36" t="inlineStr">
        <is>
          <t xml:space="preserve">  Mumbai   Business Park  </t>
        </is>
      </c>
      <c r="G36" t="n">
        <v>16300</v>
      </c>
      <c r="H36">
        <f>PROPER(TRIM(CLEAN(B36)))</f>
        <v/>
      </c>
      <c r="I36">
        <f>LOWER(TRIM(CLEAN(C36)))</f>
        <v/>
      </c>
      <c r="J36">
        <f>MID(D36,SEARCH("/",D36,9)+1,3)</f>
        <v/>
      </c>
      <c r="K36">
        <f>MID(E36,5,3)</f>
        <v/>
      </c>
      <c r="L36">
        <f>RIGHT(A36,5)</f>
        <v/>
      </c>
      <c r="M36">
        <f>TEXTJOIN(" | ",TRUE,H36,I36,K36)</f>
        <v/>
      </c>
      <c r="N36">
        <f>TRIM(CLEAN(F36))</f>
        <v/>
      </c>
      <c r="O36">
        <f>IF(AND(LEN(I36)&gt;=15,ISNUMBER(SEARCH("@",I36)),LEN(J36)=3,H36&lt;&gt;"",N36&lt;&gt;""),"READY","REVIEW")</f>
        <v/>
      </c>
    </row>
    <row r="37">
      <c r="A37" t="inlineStr">
        <is>
          <t>CUST-10033</t>
        </is>
      </c>
      <c r="B37" t="inlineStr">
        <is>
          <t xml:space="preserve">  PRIYA MEHTA  </t>
        </is>
      </c>
      <c r="C37" t="inlineStr">
        <is>
          <t>priya.mehta33@example.com</t>
        </is>
      </c>
      <c r="D37" t="inlineStr">
        <is>
          <t>WEB/IND/DEL/20260033</t>
        </is>
      </c>
      <c r="E37" t="inlineStr">
        <is>
          <t>ELX-MON-133</t>
        </is>
      </c>
      <c r="F37" t="inlineStr">
        <is>
          <t xml:space="preserve">  Delhi   Business Park  </t>
        </is>
      </c>
      <c r="G37" t="n">
        <v>16731.25</v>
      </c>
      <c r="H37">
        <f>PROPER(TRIM(CLEAN(B37)))</f>
        <v/>
      </c>
      <c r="I37">
        <f>LOWER(TRIM(CLEAN(C37)))</f>
        <v/>
      </c>
      <c r="J37">
        <f>MID(D37,SEARCH("/",D37,9)+1,3)</f>
        <v/>
      </c>
      <c r="K37">
        <f>MID(E37,5,3)</f>
        <v/>
      </c>
      <c r="L37">
        <f>RIGHT(A37,5)</f>
        <v/>
      </c>
      <c r="M37">
        <f>TEXTJOIN(" | ",TRUE,H37,I37,K37)</f>
        <v/>
      </c>
      <c r="N37">
        <f>TRIM(CLEAN(F37))</f>
        <v/>
      </c>
      <c r="O37">
        <f>IF(AND(LEN(I37)&gt;=15,ISNUMBER(SEARCH("@",I37)),LEN(J37)=3,H37&lt;&gt;"",N37&lt;&gt;""),"READY","REVIEW")</f>
        <v/>
      </c>
    </row>
    <row r="38">
      <c r="A38" t="inlineStr">
        <is>
          <t>CUST-10034</t>
        </is>
      </c>
      <c r="B38" t="inlineStr">
        <is>
          <t xml:space="preserve">amit verma  </t>
        </is>
      </c>
      <c r="C38" t="inlineStr">
        <is>
          <t>amit.verma34@example.com</t>
        </is>
      </c>
      <c r="D38" t="inlineStr">
        <is>
          <t>WEB/IND/BLR/20260034</t>
        </is>
      </c>
      <c r="E38" t="inlineStr">
        <is>
          <t>ELX-KEY-134</t>
        </is>
      </c>
      <c r="F38" t="inlineStr">
        <is>
          <t xml:space="preserve">  Bengaluru   Business Park  </t>
        </is>
      </c>
      <c r="G38" t="n">
        <v>17162.5</v>
      </c>
      <c r="H38">
        <f>PROPER(TRIM(CLEAN(B38)))</f>
        <v/>
      </c>
      <c r="I38">
        <f>LOWER(TRIM(CLEAN(C38)))</f>
        <v/>
      </c>
      <c r="J38">
        <f>MID(D38,SEARCH("/",D38,9)+1,3)</f>
        <v/>
      </c>
      <c r="K38">
        <f>MID(E38,5,3)</f>
        <v/>
      </c>
      <c r="L38">
        <f>RIGHT(A38,5)</f>
        <v/>
      </c>
      <c r="M38">
        <f>TEXTJOIN(" | ",TRUE,H38,I38,K38)</f>
        <v/>
      </c>
      <c r="N38">
        <f>TRIM(CLEAN(F38))</f>
        <v/>
      </c>
      <c r="O38">
        <f>IF(AND(LEN(I38)&gt;=15,ISNUMBER(SEARCH("@",I38)),LEN(J38)=3,H38&lt;&gt;"",N38&lt;&gt;""),"READY","REVIEW")</f>
        <v/>
      </c>
    </row>
    <row r="39">
      <c r="A39" t="inlineStr">
        <is>
          <t>CUST-10035</t>
        </is>
      </c>
      <c r="B39" t="inlineStr">
        <is>
          <t xml:space="preserve">neha kapoor  </t>
        </is>
      </c>
      <c r="C39" t="inlineStr">
        <is>
          <t>neha.kapoor35@example.com</t>
        </is>
      </c>
      <c r="D39" t="inlineStr">
        <is>
          <t>WEB/IND/PUN/20260035</t>
        </is>
      </c>
      <c r="E39" t="inlineStr">
        <is>
          <t>ELX-MOU-135</t>
        </is>
      </c>
      <c r="F39" t="inlineStr">
        <is>
          <t xml:space="preserve">  Pune   Business Park  </t>
        </is>
      </c>
      <c r="G39" t="n">
        <v>17593.75</v>
      </c>
      <c r="H39">
        <f>PROPER(TRIM(CLEAN(B39)))</f>
        <v/>
      </c>
      <c r="I39">
        <f>LOWER(TRIM(CLEAN(C39)))</f>
        <v/>
      </c>
      <c r="J39">
        <f>MID(D39,SEARCH("/",D39,9)+1,3)</f>
        <v/>
      </c>
      <c r="K39">
        <f>MID(E39,5,3)</f>
        <v/>
      </c>
      <c r="L39">
        <f>RIGHT(A39,5)</f>
        <v/>
      </c>
      <c r="M39">
        <f>TEXTJOIN(" | ",TRUE,H39,I39,K39)</f>
        <v/>
      </c>
      <c r="N39">
        <f>TRIM(CLEAN(F39))</f>
        <v/>
      </c>
      <c r="O39">
        <f>IF(AND(LEN(I39)&gt;=15,ISNUMBER(SEARCH("@",I39)),LEN(J39)=3,H39&lt;&gt;"",N39&lt;&gt;""),"READY","REVIEW")</f>
        <v/>
      </c>
    </row>
    <row r="40">
      <c r="A40" t="inlineStr">
        <is>
          <t>CUST-10036</t>
        </is>
      </c>
      <c r="B40" t="inlineStr">
        <is>
          <t xml:space="preserve">  RAHUL SHARMA  </t>
        </is>
      </c>
      <c r="C40" t="inlineStr">
        <is>
          <t>rahul.sharma36@example.com</t>
        </is>
      </c>
      <c r="D40" t="inlineStr">
        <is>
          <t>WEB/IND/MUM/20260036</t>
        </is>
      </c>
      <c r="E40" t="inlineStr">
        <is>
          <t>ELX-LAP-136</t>
        </is>
      </c>
      <c r="F40" t="inlineStr">
        <is>
          <t xml:space="preserve">  Mumbai   Business Park  </t>
        </is>
      </c>
      <c r="G40" t="n">
        <v>18025</v>
      </c>
      <c r="H40">
        <f>PROPER(TRIM(CLEAN(B40)))</f>
        <v/>
      </c>
      <c r="I40">
        <f>LOWER(TRIM(CLEAN(C40)))</f>
        <v/>
      </c>
      <c r="J40">
        <f>MID(D40,SEARCH("/",D40,9)+1,3)</f>
        <v/>
      </c>
      <c r="K40">
        <f>MID(E40,5,3)</f>
        <v/>
      </c>
      <c r="L40">
        <f>RIGHT(A40,5)</f>
        <v/>
      </c>
      <c r="M40">
        <f>TEXTJOIN(" | ",TRUE,H40,I40,K40)</f>
        <v/>
      </c>
      <c r="N40">
        <f>TRIM(CLEAN(F40))</f>
        <v/>
      </c>
      <c r="O40">
        <f>IF(AND(LEN(I40)&gt;=15,ISNUMBER(SEARCH("@",I40)),LEN(J40)=3,H40&lt;&gt;"",N40&lt;&gt;""),"READY","REVIEW")</f>
        <v/>
      </c>
    </row>
    <row r="41">
      <c r="A41" t="inlineStr">
        <is>
          <t>CUST-10037</t>
        </is>
      </c>
      <c r="B41" t="inlineStr">
        <is>
          <t xml:space="preserve">priya mehta  </t>
        </is>
      </c>
      <c r="C41" t="inlineStr">
        <is>
          <t>priya.mehta37@example.com</t>
        </is>
      </c>
      <c r="D41" t="inlineStr">
        <is>
          <t>WEB/IND/DEL/20260037</t>
        </is>
      </c>
      <c r="E41" t="inlineStr">
        <is>
          <t>ELX-MON-137</t>
        </is>
      </c>
      <c r="F41" t="inlineStr">
        <is>
          <t xml:space="preserve">  Delhi   Business Park  </t>
        </is>
      </c>
      <c r="G41" t="n">
        <v>18456.25</v>
      </c>
      <c r="H41">
        <f>PROPER(TRIM(CLEAN(B41)))</f>
        <v/>
      </c>
      <c r="I41">
        <f>LOWER(TRIM(CLEAN(C41)))</f>
        <v/>
      </c>
      <c r="J41">
        <f>MID(D41,SEARCH("/",D41,9)+1,3)</f>
        <v/>
      </c>
      <c r="K41">
        <f>MID(E41,5,3)</f>
        <v/>
      </c>
      <c r="L41">
        <f>RIGHT(A41,5)</f>
        <v/>
      </c>
      <c r="M41">
        <f>TEXTJOIN(" | ",TRUE,H41,I41,K41)</f>
        <v/>
      </c>
      <c r="N41">
        <f>TRIM(CLEAN(F41))</f>
        <v/>
      </c>
      <c r="O41">
        <f>IF(AND(LEN(I41)&gt;=15,ISNUMBER(SEARCH("@",I41)),LEN(J41)=3,H41&lt;&gt;"",N41&lt;&gt;""),"READY","REVIEW")</f>
        <v/>
      </c>
    </row>
    <row r="42">
      <c r="A42" t="inlineStr">
        <is>
          <t>CUST-10038</t>
        </is>
      </c>
      <c r="B42" t="inlineStr">
        <is>
          <t xml:space="preserve">amit verma  </t>
        </is>
      </c>
      <c r="C42" t="inlineStr">
        <is>
          <t>amit.verma38@example.com</t>
        </is>
      </c>
      <c r="D42" t="inlineStr">
        <is>
          <t>WEB/IND/BLR/20260038</t>
        </is>
      </c>
      <c r="E42" t="inlineStr">
        <is>
          <t>ELX-KEY-138</t>
        </is>
      </c>
      <c r="F42" t="inlineStr">
        <is>
          <t xml:space="preserve">  Bengaluru   Business Park  </t>
        </is>
      </c>
      <c r="G42" t="n">
        <v>18887.5</v>
      </c>
      <c r="H42">
        <f>PROPER(TRIM(CLEAN(B42)))</f>
        <v/>
      </c>
      <c r="I42">
        <f>LOWER(TRIM(CLEAN(C42)))</f>
        <v/>
      </c>
      <c r="J42">
        <f>MID(D42,SEARCH("/",D42,9)+1,3)</f>
        <v/>
      </c>
      <c r="K42">
        <f>MID(E42,5,3)</f>
        <v/>
      </c>
      <c r="L42">
        <f>RIGHT(A42,5)</f>
        <v/>
      </c>
      <c r="M42">
        <f>TEXTJOIN(" | ",TRUE,H42,I42,K42)</f>
        <v/>
      </c>
      <c r="N42">
        <f>TRIM(CLEAN(F42))</f>
        <v/>
      </c>
      <c r="O42">
        <f>IF(AND(LEN(I42)&gt;=15,ISNUMBER(SEARCH("@",I42)),LEN(J42)=3,H42&lt;&gt;"",N42&lt;&gt;""),"READY","REVIEW")</f>
        <v/>
      </c>
    </row>
    <row r="43">
      <c r="A43" t="inlineStr">
        <is>
          <t>CUST-10039</t>
        </is>
      </c>
      <c r="B43" t="inlineStr">
        <is>
          <t xml:space="preserve">  NEHA KAPOOR  </t>
        </is>
      </c>
      <c r="C43" t="inlineStr">
        <is>
          <t>neha.kapoor39@example.com</t>
        </is>
      </c>
      <c r="D43" t="inlineStr">
        <is>
          <t>WEB/IND/PUN/20260039</t>
        </is>
      </c>
      <c r="E43" t="inlineStr">
        <is>
          <t>ELX-MOU-139</t>
        </is>
      </c>
      <c r="F43" t="inlineStr">
        <is>
          <t xml:space="preserve">  Pune   Business Park  </t>
        </is>
      </c>
      <c r="G43" t="n">
        <v>19318.75</v>
      </c>
      <c r="H43">
        <f>PROPER(TRIM(CLEAN(B43)))</f>
        <v/>
      </c>
      <c r="I43">
        <f>LOWER(TRIM(CLEAN(C43)))</f>
        <v/>
      </c>
      <c r="J43">
        <f>MID(D43,SEARCH("/",D43,9)+1,3)</f>
        <v/>
      </c>
      <c r="K43">
        <f>MID(E43,5,3)</f>
        <v/>
      </c>
      <c r="L43">
        <f>RIGHT(A43,5)</f>
        <v/>
      </c>
      <c r="M43">
        <f>TEXTJOIN(" | ",TRUE,H43,I43,K43)</f>
        <v/>
      </c>
      <c r="N43">
        <f>TRIM(CLEAN(F43))</f>
        <v/>
      </c>
      <c r="O43">
        <f>IF(AND(LEN(I43)&gt;=15,ISNUMBER(SEARCH("@",I43)),LEN(J43)=3,H43&lt;&gt;"",N43&lt;&gt;""),"READY","REVIEW")</f>
        <v/>
      </c>
    </row>
    <row r="44">
      <c r="A44" t="inlineStr">
        <is>
          <t>CUST-10040</t>
        </is>
      </c>
      <c r="B44" t="inlineStr">
        <is>
          <t xml:space="preserve">rahul sharma  </t>
        </is>
      </c>
      <c r="C44" t="inlineStr">
        <is>
          <t>rahul.sharma40@example.com</t>
        </is>
      </c>
      <c r="D44" t="inlineStr">
        <is>
          <t>WEB/IND/MUM/20260040</t>
        </is>
      </c>
      <c r="E44" t="inlineStr">
        <is>
          <t>ELX-LAP-140</t>
        </is>
      </c>
      <c r="F44" t="inlineStr">
        <is>
          <t xml:space="preserve">  Mumbai   Business Park  </t>
        </is>
      </c>
      <c r="G44" t="n">
        <v>19750</v>
      </c>
      <c r="H44">
        <f>PROPER(TRIM(CLEAN(B44)))</f>
        <v/>
      </c>
      <c r="I44">
        <f>LOWER(TRIM(CLEAN(C44)))</f>
        <v/>
      </c>
      <c r="J44">
        <f>MID(D44,SEARCH("/",D44,9)+1,3)</f>
        <v/>
      </c>
      <c r="K44">
        <f>MID(E44,5,3)</f>
        <v/>
      </c>
      <c r="L44">
        <f>RIGHT(A44,5)</f>
        <v/>
      </c>
      <c r="M44">
        <f>TEXTJOIN(" | ",TRUE,H44,I44,K44)</f>
        <v/>
      </c>
      <c r="N44">
        <f>TRIM(CLEAN(F44))</f>
        <v/>
      </c>
      <c r="O44">
        <f>IF(AND(LEN(I44)&gt;=15,ISNUMBER(SEARCH("@",I44)),LEN(J44)=3,H44&lt;&gt;"",N44&lt;&gt;""),"READY","REVIEW")</f>
        <v/>
      </c>
    </row>
    <row r="47">
      <c r="A47" s="3" t="inlineStr">
        <is>
          <t>CAPSTONE TASKS</t>
        </is>
      </c>
    </row>
    <row r="48">
      <c r="A48" t="inlineStr">
        <is>
          <t>1.</t>
        </is>
      </c>
      <c r="B48" t="inlineStr">
        <is>
          <t>Clean names with TRIM + CLEAN + PROPER.</t>
        </is>
      </c>
    </row>
    <row r="49">
      <c r="A49" t="inlineStr">
        <is>
          <t>2.</t>
        </is>
      </c>
      <c r="B49" t="inlineStr">
        <is>
          <t>Normalize emails with TRIM + CLEAN + LOWER.</t>
        </is>
      </c>
    </row>
    <row r="50">
      <c r="A50" t="inlineStr">
        <is>
          <t>3.</t>
        </is>
      </c>
      <c r="B50" t="inlineStr">
        <is>
          <t>Extract region with SEARCH + MID.</t>
        </is>
      </c>
    </row>
    <row r="51">
      <c r="A51" t="inlineStr">
        <is>
          <t>4.</t>
        </is>
      </c>
      <c r="B51" t="inlineStr">
        <is>
          <t>Extract product family with MID.</t>
        </is>
      </c>
    </row>
    <row r="52">
      <c r="A52" t="inlineStr">
        <is>
          <t>5.</t>
        </is>
      </c>
      <c r="B52" t="inlineStr">
        <is>
          <t>Extract customer number with RIGHT.</t>
        </is>
      </c>
    </row>
    <row r="53">
      <c r="A53" t="inlineStr">
        <is>
          <t>6.</t>
        </is>
      </c>
      <c r="B53" t="inlineStr">
        <is>
          <t>Build Name | Email | Product using TEXTJOIN.</t>
        </is>
      </c>
    </row>
    <row r="54">
      <c r="A54" t="inlineStr">
        <is>
          <t>7.</t>
        </is>
      </c>
      <c r="B54" t="inlineStr">
        <is>
          <t>Clean address with TRIM + CLEAN.</t>
        </is>
      </c>
    </row>
    <row r="55">
      <c r="A55" t="inlineStr">
        <is>
          <t>8.</t>
        </is>
      </c>
      <c r="B55" t="inlineStr">
        <is>
          <t>Create a quality flag using LEN and SEARCH.</t>
        </is>
      </c>
    </row>
    <row r="56">
      <c r="A56" t="inlineStr">
        <is>
          <t>9.</t>
        </is>
      </c>
      <c r="B56" t="inlineStr">
        <is>
          <t>Build an export-ready line with ID, name, region, product and amount.</t>
        </is>
      </c>
    </row>
    <row r="57">
      <c r="A57" t="inlineStr">
        <is>
          <t>10.</t>
        </is>
      </c>
      <c r="B57" t="inlineStr">
        <is>
          <t>Filter REVIEW rows and investigate the raw source.</t>
        </is>
      </c>
    </row>
    <row r="58">
      <c r="A58" t="inlineStr">
        <is>
          <t>11.</t>
        </is>
      </c>
      <c r="B58" t="inlineStr">
        <is>
          <t>Challenge: return READY only when all required cleaned fields are populated.</t>
        </is>
      </c>
    </row>
    <row r="60">
      <c r="A60" s="4" t="inlineStr">
        <is>
          <t>SOLUTION GUIDE</t>
        </is>
      </c>
    </row>
    <row r="61">
      <c r="A61" s="2" t="inlineStr">
        <is>
          <t>Task</t>
        </is>
      </c>
      <c r="B61" s="2" t="inlineStr">
        <is>
          <t>Formula / Method</t>
        </is>
      </c>
      <c r="C61" s="2" t="inlineStr">
        <is>
          <t>Expected Result</t>
        </is>
      </c>
    </row>
    <row r="62">
      <c r="A62" t="inlineStr">
        <is>
          <t>Task 1</t>
        </is>
      </c>
      <c r="B62">
        <f>PROPER(TRIM(CLEAN(B5)))</f>
        <v/>
      </c>
      <c r="C62" t="inlineStr">
        <is>
          <t>Clean name</t>
        </is>
      </c>
    </row>
    <row r="63">
      <c r="A63" t="inlineStr">
        <is>
          <t>Task 2</t>
        </is>
      </c>
      <c r="B63">
        <f>LOWER(TRIM(CLEAN(C5)))</f>
        <v/>
      </c>
      <c r="C63" t="inlineStr">
        <is>
          <t>Normalized email</t>
        </is>
      </c>
    </row>
    <row r="64">
      <c r="A64" t="inlineStr">
        <is>
          <t>Task 3</t>
        </is>
      </c>
      <c r="B64">
        <f>MID(D5,SEARCH("/",D5,9)+1,3)</f>
        <v/>
      </c>
      <c r="C64" t="inlineStr">
        <is>
          <t>Region</t>
        </is>
      </c>
    </row>
    <row r="65">
      <c r="A65" t="inlineStr">
        <is>
          <t>Task 4</t>
        </is>
      </c>
      <c r="B65">
        <f>MID(E5,5,3)</f>
        <v/>
      </c>
      <c r="C65" t="inlineStr">
        <is>
          <t>Product family</t>
        </is>
      </c>
    </row>
    <row r="66">
      <c r="A66" t="inlineStr">
        <is>
          <t>Task 5</t>
        </is>
      </c>
      <c r="B66">
        <f>RIGHT(A5,5)</f>
        <v/>
      </c>
      <c r="C66" t="inlineStr">
        <is>
          <t>Customer number</t>
        </is>
      </c>
    </row>
    <row r="67">
      <c r="A67" t="inlineStr">
        <is>
          <t>Task 6</t>
        </is>
      </c>
      <c r="B67">
        <f>TEXTJOIN(" | ",TRUE,H5,I5,K5)</f>
        <v/>
      </c>
      <c r="C67" t="inlineStr">
        <is>
          <t>Customer label</t>
        </is>
      </c>
    </row>
    <row r="68">
      <c r="A68" t="inlineStr">
        <is>
          <t>Task 7</t>
        </is>
      </c>
      <c r="B68">
        <f>TRIM(CLEAN(F5))</f>
        <v/>
      </c>
      <c r="C68" t="inlineStr">
        <is>
          <t>Clean address</t>
        </is>
      </c>
    </row>
    <row r="69">
      <c r="A69" t="inlineStr">
        <is>
          <t>Task 8</t>
        </is>
      </c>
      <c r="B69">
        <f>IF(AND(LEN(I5)&gt;=15,ISNUMBER(SEARCH("@",I5)),LEN(J5)=3,H5&lt;&gt;"",N5&lt;&gt;""),"READY","REVIEW")</f>
        <v/>
      </c>
      <c r="C69" t="inlineStr">
        <is>
          <t>Quality flag</t>
        </is>
      </c>
    </row>
    <row r="70">
      <c r="A70" t="inlineStr">
        <is>
          <t>Task 9</t>
        </is>
      </c>
      <c r="B70">
        <f>TEXTJOIN(" | ",TRUE,A5,H5,J5,K5,G5)</f>
        <v/>
      </c>
      <c r="C70" t="inlineStr">
        <is>
          <t>Export-ready record</t>
        </is>
      </c>
    </row>
    <row r="71">
      <c r="A71" t="inlineStr">
        <is>
          <t>Task 10</t>
        </is>
      </c>
      <c r="B71" t="inlineStr">
        <is>
          <t>Filter Quality = REVIEW.</t>
        </is>
      </c>
      <c r="C71" t="inlineStr">
        <is>
          <t>Investigate original raw fields</t>
        </is>
      </c>
    </row>
    <row r="72">
      <c r="A72" t="inlineStr">
        <is>
          <t>Task 11</t>
        </is>
      </c>
      <c r="B72">
        <f>IF(AND(H5&lt;&gt;"",I5&lt;&gt;"",J5&lt;&gt;"",N5&lt;&gt;""),"READY","REVIEW")</f>
        <v/>
      </c>
      <c r="C72" t="inlineStr">
        <is>
          <t>Final readiness test</t>
        </is>
      </c>
    </row>
  </sheetData>
  <mergeCells count="2">
    <mergeCell ref="A1:O1"/>
    <mergeCell ref="A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2026-08-30T18:14:37Z</dcterms:created>
  <dcterms:modified xmlns:dcterms="http://purl.org/dc/terms/" xmlns:xsi="http://www.w3.org/2001/XMLSchema-instance" xsi:type="dcterms:W3CDTF">2026-08-30T18:14:37Z</dcterms:modified>
</cp:coreProperties>
</file>