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3.xml" ContentType="application/vnd.openxmlformats-officedocument.spreadsheetml.worksheet+xml"/>
  <Override PartName="/xl/tables/table5.xml" ContentType="application/vnd.openxmlformats-officedocument.spreadsheetml.table+xml"/>
  <Override PartName="/xl/worksheets/sheet4.xml" ContentType="application/vnd.openxmlformats-officedocument.spreadsheetml.worksheet+xml"/>
  <Override PartName="/xl/tables/table6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Challenge" sheetId="1" state="visible" r:id="rId1"/>
    <sheet xmlns:r="http://schemas.openxmlformats.org/officeDocument/2006/relationships" name="Payroll Challenge" sheetId="2" state="visible" r:id="rId2"/>
    <sheet xmlns:r="http://schemas.openxmlformats.org/officeDocument/2006/relationships" name="Target Matrix" sheetId="3" state="visible" r:id="rId3"/>
    <sheet xmlns:r="http://schemas.openxmlformats.org/officeDocument/2006/relationships" name="Lookup Lab" sheetId="4" state="visible" r:id="rId4"/>
    <sheet xmlns:r="http://schemas.openxmlformats.org/officeDocument/2006/relationships" name="Solu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</font>
    <font>
      <b val="1"/>
      <color rgb="007C3AED"/>
    </font>
    <font>
      <b val="1"/>
      <color rgb="00EA580C"/>
      <sz val="14"/>
    </font>
  </fonts>
  <fills count="4">
    <fill>
      <patternFill/>
    </fill>
    <fill>
      <patternFill patternType="gray125"/>
    </fill>
    <fill>
      <patternFill patternType="solid">
        <fgColor rgb="000B6B4F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SalesProducts" displayName="SalesProducts" ref="A4:D9" headerRowCount="1">
  <autoFilter ref="A4:D9"/>
  <tableColumns count="4">
    <tableColumn id="1" name="Product ID"/>
    <tableColumn id="2" name="Product Name"/>
    <tableColumn id="3" name="Category"/>
    <tableColumn id="4" name="Unit Price"/>
  </tableColumns>
  <tableStyleInfo name="TableStyleMedium4" showRowStripes="1" showColumnStripes="0"/>
</table>
</file>

<file path=xl/tables/table2.xml><?xml version="1.0" encoding="utf-8"?>
<table xmlns="http://schemas.openxmlformats.org/spreadsheetml/2006/main" id="2" name="MonthlySales" displayName="MonthlySales" ref="A12:F16" headerRowCount="1">
  <autoFilter ref="A12:F16"/>
  <tableColumns count="6">
    <tableColumn id="1" name="Month"/>
    <tableColumn id="2" name="P101"/>
    <tableColumn id="3" name="P102"/>
    <tableColumn id="4" name="P103"/>
    <tableColumn id="5" name="P104"/>
    <tableColumn id="6" name="P105"/>
  </tableColumns>
  <tableStyleInfo name="TableStyleMedium4" showRowStripes="1" showColumnStripes="0"/>
</table>
</file>

<file path=xl/tables/table3.xml><?xml version="1.0" encoding="utf-8"?>
<table xmlns="http://schemas.openxmlformats.org/spreadsheetml/2006/main" id="3" name="Employees" displayName="Employees" ref="A4:D9" headerRowCount="1">
  <autoFilter ref="A4:D9"/>
  <tableColumns count="4">
    <tableColumn id="1" name="Emp ID"/>
    <tableColumn id="2" name="Employee"/>
    <tableColumn id="3" name="Department"/>
    <tableColumn id="4" name="Grade"/>
  </tableColumns>
  <tableStyleInfo name="TableStyleMedium4" showRowStripes="1" showColumnStripes="0"/>
</table>
</file>

<file path=xl/tables/table4.xml><?xml version="1.0" encoding="utf-8"?>
<table xmlns="http://schemas.openxmlformats.org/spreadsheetml/2006/main" id="4" name="SalaryStructure" displayName="SalaryStructure" ref="A12:G13" headerRowCount="1">
  <autoFilter ref="A12:G13"/>
  <tableColumns count="7">
    <tableColumn id="1" name="Component"/>
    <tableColumn id="2" name="Basic Pay"/>
    <tableColumn id="3" name="HRA"/>
    <tableColumn id="4" name="Conveyance"/>
    <tableColumn id="5" name="Special Allowance"/>
    <tableColumn id="6" name="PF"/>
    <tableColumn id="7" name="Professional Tax"/>
  </tableColumns>
  <tableStyleInfo name="TableStyleMedium4" showRowStripes="1" showColumnStripes="0"/>
</table>
</file>

<file path=xl/tables/table5.xml><?xml version="1.0" encoding="utf-8"?>
<table xmlns="http://schemas.openxmlformats.org/spreadsheetml/2006/main" id="5" name="SalesTargets" displayName="SalesTargets" ref="A4:F8" headerRowCount="1">
  <autoFilter ref="A4:F8"/>
  <tableColumns count="6">
    <tableColumn id="1" name="Product / City"/>
    <tableColumn id="2" name="Delhi"/>
    <tableColumn id="3" name="Mumbai"/>
    <tableColumn id="4" name="Bangalore"/>
    <tableColumn id="5" name="Kolkata"/>
    <tableColumn id="6" name="Chennai"/>
  </tableColumns>
  <tableStyleInfo name="TableStyleMedium4" showRowStripes="1" showColumnStripes="0"/>
</table>
</file>

<file path=xl/tables/table6.xml><?xml version="1.0" encoding="utf-8"?>
<table xmlns="http://schemas.openxmlformats.org/spreadsheetml/2006/main" id="6" name="LookupLab" displayName="LookupLab" ref="A4:E10" headerRowCount="1">
  <autoFilter ref="A4:E10"/>
  <tableColumns count="5">
    <tableColumn id="1" name="Scenario"/>
    <tableColumn id="2" name="Lookup Key"/>
    <tableColumn id="3" name="Expected Method"/>
    <tableColumn id="4" name="Your Formula"/>
    <tableColumn id="5" name="Result"/>
  </tableColumns>
  <tableStyleInfo name="TableStyleMedium4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_rels/sheet2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/Relationships>
</file>

<file path=xl/worksheets/_rels/sheet3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34" customWidth="1" min="2" max="2"/>
    <col width="48" customWidth="1" min="3" max="3"/>
    <col width="42" customWidth="1" min="4" max="4"/>
    <col width="34" customWidth="1" min="5" max="5"/>
    <col width="20" customWidth="1" min="6" max="6"/>
    <col width="20" customWidth="1" min="7" max="7"/>
    <col width="24" customWidth="1" min="8" max="8"/>
    <col width="24" customWidth="1" min="9" max="9"/>
    <col width="20" customWidth="1" min="10" max="10"/>
  </cols>
  <sheetData>
    <row r="1">
      <c r="A1" s="1" t="inlineStr">
        <is>
          <t>LEVEL 2 • SESSION 3 • LOOKUP FUNCTIONS — PRACTICE</t>
        </is>
      </c>
    </row>
    <row r="2">
      <c r="A2" t="inlineStr">
        <is>
          <t>VLOOKUP • HLOOKUP • INDEX + MATCH • Dynamic two-way lookups</t>
        </is>
      </c>
    </row>
    <row r="4">
      <c r="A4" s="2" t="inlineStr">
        <is>
          <t>Product ID</t>
        </is>
      </c>
      <c r="B4" s="2" t="inlineStr">
        <is>
          <t>Product Name</t>
        </is>
      </c>
      <c r="C4" s="2" t="inlineStr">
        <is>
          <t>Category</t>
        </is>
      </c>
      <c r="D4" s="2" t="inlineStr">
        <is>
          <t>Unit Price</t>
        </is>
      </c>
      <c r="H4" s="3" t="inlineStr">
        <is>
          <t>USER INPUT</t>
        </is>
      </c>
    </row>
    <row r="5">
      <c r="A5" t="inlineStr">
        <is>
          <t>P101</t>
        </is>
      </c>
      <c r="B5" t="inlineStr">
        <is>
          <t>Laptop</t>
        </is>
      </c>
      <c r="C5" t="inlineStr">
        <is>
          <t>Electronics</t>
        </is>
      </c>
      <c r="D5" t="n">
        <v>55000</v>
      </c>
      <c r="H5" t="inlineStr">
        <is>
          <t>Product ID</t>
        </is>
      </c>
      <c r="I5" t="inlineStr">
        <is>
          <t>P103</t>
        </is>
      </c>
    </row>
    <row r="6">
      <c r="A6" t="inlineStr">
        <is>
          <t>P102</t>
        </is>
      </c>
      <c r="B6" t="inlineStr">
        <is>
          <t>Monitor</t>
        </is>
      </c>
      <c r="C6" t="inlineStr">
        <is>
          <t>Electronics</t>
        </is>
      </c>
      <c r="D6" t="n">
        <v>12000</v>
      </c>
      <c r="H6" t="inlineStr">
        <is>
          <t>Month</t>
        </is>
      </c>
      <c r="I6" t="inlineStr">
        <is>
          <t>Feb</t>
        </is>
      </c>
    </row>
    <row r="7">
      <c r="A7" t="inlineStr">
        <is>
          <t>P103</t>
        </is>
      </c>
      <c r="B7" t="inlineStr">
        <is>
          <t>Printer</t>
        </is>
      </c>
      <c r="C7" t="inlineStr">
        <is>
          <t>Electronics</t>
        </is>
      </c>
      <c r="D7" t="n">
        <v>5000</v>
      </c>
    </row>
    <row r="8">
      <c r="A8" t="inlineStr">
        <is>
          <t>P104</t>
        </is>
      </c>
      <c r="B8" t="inlineStr">
        <is>
          <t>Chair</t>
        </is>
      </c>
      <c r="C8" t="inlineStr">
        <is>
          <t>Furniture</t>
        </is>
      </c>
      <c r="D8" t="n">
        <v>4500</v>
      </c>
      <c r="H8" s="3" t="inlineStr">
        <is>
          <t>Required output</t>
        </is>
      </c>
    </row>
    <row r="9">
      <c r="A9" t="inlineStr">
        <is>
          <t>P105</t>
        </is>
      </c>
      <c r="B9" t="inlineStr">
        <is>
          <t>Table</t>
        </is>
      </c>
      <c r="C9" t="inlineStr">
        <is>
          <t>Furniture</t>
        </is>
      </c>
      <c r="D9" t="n">
        <v>7000</v>
      </c>
      <c r="H9" t="inlineStr">
        <is>
          <t>Product Name</t>
        </is>
      </c>
    </row>
    <row r="10">
      <c r="H10" t="inlineStr">
        <is>
          <t>Unit Price</t>
        </is>
      </c>
    </row>
    <row r="11">
      <c r="H11" t="inlineStr">
        <is>
          <t>Sales Qty</t>
        </is>
      </c>
    </row>
    <row r="12">
      <c r="A12" s="4" t="inlineStr">
        <is>
          <t>Month</t>
        </is>
      </c>
      <c r="B12" s="4" t="inlineStr">
        <is>
          <t>P101</t>
        </is>
      </c>
      <c r="C12" s="4" t="inlineStr">
        <is>
          <t>P102</t>
        </is>
      </c>
      <c r="D12" s="4" t="inlineStr">
        <is>
          <t>P103</t>
        </is>
      </c>
      <c r="E12" s="4" t="inlineStr">
        <is>
          <t>P104</t>
        </is>
      </c>
      <c r="F12" s="4" t="inlineStr">
        <is>
          <t>P105</t>
        </is>
      </c>
      <c r="H12" t="inlineStr">
        <is>
          <t>Sales Amount</t>
        </is>
      </c>
    </row>
    <row r="13">
      <c r="A13" t="inlineStr">
        <is>
          <t>Jan</t>
        </is>
      </c>
      <c r="B13" t="n">
        <v>120</v>
      </c>
      <c r="C13" t="n">
        <v>80</v>
      </c>
      <c r="D13" t="n">
        <v>60</v>
      </c>
      <c r="E13" t="n">
        <v>40</v>
      </c>
      <c r="F13" t="n">
        <v>30</v>
      </c>
    </row>
    <row r="14">
      <c r="A14" t="inlineStr">
        <is>
          <t>Feb</t>
        </is>
      </c>
      <c r="B14" t="n">
        <v>150</v>
      </c>
      <c r="C14" t="n">
        <v>90</v>
      </c>
      <c r="D14" t="n">
        <v>70</v>
      </c>
      <c r="E14" t="n">
        <v>50</v>
      </c>
      <c r="F14" t="n">
        <v>40</v>
      </c>
    </row>
    <row r="15">
      <c r="A15" t="inlineStr">
        <is>
          <t>Mar</t>
        </is>
      </c>
      <c r="B15" t="n">
        <v>130</v>
      </c>
      <c r="C15" t="n">
        <v>85</v>
      </c>
      <c r="D15" t="n">
        <v>65</v>
      </c>
      <c r="E15" t="n">
        <v>45</v>
      </c>
      <c r="F15" t="n">
        <v>35</v>
      </c>
    </row>
    <row r="16">
      <c r="A16" t="inlineStr">
        <is>
          <t>Apr</t>
        </is>
      </c>
      <c r="B16" t="n">
        <v>160</v>
      </c>
      <c r="C16" t="n">
        <v>95</v>
      </c>
      <c r="D16" t="n">
        <v>80</v>
      </c>
      <c r="E16" t="n">
        <v>55</v>
      </c>
      <c r="F16" t="n">
        <v>45</v>
      </c>
    </row>
    <row r="18">
      <c r="A18" s="5" t="inlineStr">
        <is>
          <t>PRACTICE TASKS</t>
        </is>
      </c>
    </row>
    <row r="19">
      <c r="A19" t="inlineStr">
        <is>
          <t>1.</t>
        </is>
      </c>
      <c r="B19" s="6" t="inlineStr">
        <is>
          <t>Using Product ID, return Product Name with VLOOKUP.</t>
        </is>
      </c>
    </row>
    <row r="20">
      <c r="A20" t="inlineStr">
        <is>
          <t>2.</t>
        </is>
      </c>
      <c r="B20" s="6" t="inlineStr">
        <is>
          <t>Using Product ID, return Unit Price with VLOOKUP.</t>
        </is>
      </c>
    </row>
    <row r="21">
      <c r="A21" t="inlineStr">
        <is>
          <t>3.</t>
        </is>
      </c>
      <c r="B21" s="6" t="inlineStr">
        <is>
          <t>Using Month + Product ID, return Sales Quantity using INDEX + MATCH.</t>
        </is>
      </c>
    </row>
    <row r="22">
      <c r="A22" t="inlineStr">
        <is>
          <t>4.</t>
        </is>
      </c>
      <c r="B22" s="6" t="inlineStr">
        <is>
          <t>Calculate Sales Amount = Unit Price × Sales Quantity.</t>
        </is>
      </c>
    </row>
    <row r="23">
      <c r="A23" t="inlineStr">
        <is>
          <t>5.</t>
        </is>
      </c>
      <c r="B23" s="6" t="inlineStr">
        <is>
          <t>Make the Product ID and Month input cells dynamic.</t>
        </is>
      </c>
    </row>
    <row r="24">
      <c r="A24" t="inlineStr">
        <is>
          <t>6.</t>
        </is>
      </c>
      <c r="B24" s="6" t="inlineStr">
        <is>
          <t>Use IFERROR or XLOOKUP-style error handling logic to display a friendly message for invalid Product ID.</t>
        </is>
      </c>
    </row>
    <row r="25">
      <c r="A25" t="inlineStr">
        <is>
          <t>7.</t>
        </is>
      </c>
      <c r="B25" s="6" t="inlineStr">
        <is>
          <t>Challenge: return the selected month's quantity when the product column changes — do not hard-code the product column number.</t>
        </is>
      </c>
    </row>
  </sheetData>
  <mergeCells count="2">
    <mergeCell ref="A1:J1"/>
    <mergeCell ref="A2:J2"/>
  </mergeCell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34" customWidth="1" min="2" max="2"/>
    <col width="48" customWidth="1" min="3" max="3"/>
    <col width="42" customWidth="1" min="4" max="4"/>
    <col width="34" customWidth="1" min="5" max="5"/>
    <col width="20" customWidth="1" min="6" max="6"/>
    <col width="20" customWidth="1" min="7" max="7"/>
    <col width="24" customWidth="1" min="8" max="8"/>
    <col width="24" customWidth="1" min="9" max="9"/>
    <col width="20" customWidth="1" min="10" max="10"/>
  </cols>
  <sheetData>
    <row r="1">
      <c r="A1" s="1" t="inlineStr">
        <is>
          <t>LEVEL 2 • SESSION 3 • LOOKUP FUNCTIONS — PRACTICE</t>
        </is>
      </c>
    </row>
    <row r="2">
      <c r="A2" t="inlineStr">
        <is>
          <t>VLOOKUP • HLOOKUP • INDEX + MATCH • Dynamic two-way lookups</t>
        </is>
      </c>
    </row>
    <row r="4">
      <c r="A4" s="2" t="inlineStr">
        <is>
          <t>Emp ID</t>
        </is>
      </c>
      <c r="B4" s="2" t="inlineStr">
        <is>
          <t>Employee</t>
        </is>
      </c>
      <c r="C4" s="2" t="inlineStr">
        <is>
          <t>Department</t>
        </is>
      </c>
      <c r="D4" s="2" t="inlineStr">
        <is>
          <t>Grade</t>
        </is>
      </c>
      <c r="H4" s="3" t="inlineStr">
        <is>
          <t>USER INPUT</t>
        </is>
      </c>
    </row>
    <row r="5">
      <c r="A5" t="inlineStr">
        <is>
          <t>E101</t>
        </is>
      </c>
      <c r="B5" t="inlineStr">
        <is>
          <t>Riya Sharma</t>
        </is>
      </c>
      <c r="C5" t="inlineStr">
        <is>
          <t>IT</t>
        </is>
      </c>
      <c r="D5" t="inlineStr">
        <is>
          <t>G3</t>
        </is>
      </c>
      <c r="H5" t="inlineStr">
        <is>
          <t>Employee ID</t>
        </is>
      </c>
      <c r="I5" t="inlineStr">
        <is>
          <t>E104</t>
        </is>
      </c>
    </row>
    <row r="6">
      <c r="A6" t="inlineStr">
        <is>
          <t>E102</t>
        </is>
      </c>
      <c r="B6" t="inlineStr">
        <is>
          <t>Arjun Mehta</t>
        </is>
      </c>
      <c r="C6" t="inlineStr">
        <is>
          <t>IT</t>
        </is>
      </c>
      <c r="D6" t="inlineStr">
        <is>
          <t>G2</t>
        </is>
      </c>
    </row>
    <row r="7">
      <c r="A7" t="inlineStr">
        <is>
          <t>E103</t>
        </is>
      </c>
      <c r="B7" t="inlineStr">
        <is>
          <t>Neha Verma</t>
        </is>
      </c>
      <c r="C7" t="inlineStr">
        <is>
          <t>HR</t>
        </is>
      </c>
      <c r="D7" t="inlineStr">
        <is>
          <t>G4</t>
        </is>
      </c>
      <c r="H7" s="3" t="inlineStr">
        <is>
          <t>Required output</t>
        </is>
      </c>
    </row>
    <row r="8">
      <c r="A8" t="inlineStr">
        <is>
          <t>E104</t>
        </is>
      </c>
      <c r="B8" t="inlineStr">
        <is>
          <t>Karan Singh</t>
        </is>
      </c>
      <c r="C8" t="inlineStr">
        <is>
          <t>Finance</t>
        </is>
      </c>
      <c r="D8" t="inlineStr">
        <is>
          <t>G3</t>
        </is>
      </c>
    </row>
    <row r="9">
      <c r="A9" t="inlineStr">
        <is>
          <t>E105</t>
        </is>
      </c>
      <c r="B9" t="inlineStr">
        <is>
          <t>Pooja Nair</t>
        </is>
      </c>
      <c r="C9" t="inlineStr">
        <is>
          <t>HR</t>
        </is>
      </c>
      <c r="D9" t="inlineStr">
        <is>
          <t>G2</t>
        </is>
      </c>
    </row>
    <row r="12">
      <c r="A12" s="4" t="inlineStr">
        <is>
          <t>Component</t>
        </is>
      </c>
      <c r="B12" s="4" t="inlineStr">
        <is>
          <t>Basic Pay</t>
        </is>
      </c>
      <c r="C12" s="4" t="inlineStr">
        <is>
          <t>HRA</t>
        </is>
      </c>
      <c r="D12" s="4" t="inlineStr">
        <is>
          <t>Conveyance</t>
        </is>
      </c>
      <c r="E12" s="4" t="inlineStr">
        <is>
          <t>Special Allowance</t>
        </is>
      </c>
      <c r="F12" s="4" t="inlineStr">
        <is>
          <t>PF</t>
        </is>
      </c>
      <c r="G12" s="4" t="inlineStr">
        <is>
          <t>Professional Tax</t>
        </is>
      </c>
    </row>
    <row r="13">
      <c r="A13" t="inlineStr">
        <is>
          <t>Amount</t>
        </is>
      </c>
      <c r="B13" t="n">
        <v>400000</v>
      </c>
      <c r="C13" t="n">
        <v>16000</v>
      </c>
      <c r="D13" t="n">
        <v>3200</v>
      </c>
      <c r="E13" t="n">
        <v>8000</v>
      </c>
      <c r="F13" t="n">
        <v>4800</v>
      </c>
      <c r="G13" t="n">
        <v>200</v>
      </c>
    </row>
    <row r="16">
      <c r="A16" s="5" t="inlineStr">
        <is>
          <t>PRACTICE TASKS</t>
        </is>
      </c>
    </row>
    <row r="17">
      <c r="A17" t="inlineStr">
        <is>
          <t>1.</t>
        </is>
      </c>
      <c r="B17" s="6" t="inlineStr">
        <is>
          <t>Using Employee ID, return Employee Name with VLOOKUP.</t>
        </is>
      </c>
    </row>
    <row r="18">
      <c r="A18" t="inlineStr">
        <is>
          <t>2.</t>
        </is>
      </c>
      <c r="B18" s="6" t="inlineStr">
        <is>
          <t>Using Employee ID, return Department and Grade.</t>
        </is>
      </c>
    </row>
    <row r="19">
      <c r="A19" t="inlineStr">
        <is>
          <t>3.</t>
        </is>
      </c>
      <c r="B19" s="6" t="inlineStr">
        <is>
          <t>Use HLOOKUP on the horizontal salary table to return Basic Pay.</t>
        </is>
      </c>
    </row>
    <row r="20">
      <c r="A20" t="inlineStr">
        <is>
          <t>4.</t>
        </is>
      </c>
      <c r="B20" s="6" t="inlineStr">
        <is>
          <t>Use HLOOKUP to return HRA, Conveyance, Special Allowance, PF and Professional Tax.</t>
        </is>
      </c>
    </row>
    <row r="21">
      <c r="A21" t="inlineStr">
        <is>
          <t>5.</t>
        </is>
      </c>
      <c r="B21" s="6" t="inlineStr">
        <is>
          <t>Calculate Net Salary = Basic Pay + all allowances − PF − Professional Tax.</t>
        </is>
      </c>
    </row>
    <row r="22">
      <c r="A22" t="inlineStr">
        <is>
          <t>6.</t>
        </is>
      </c>
      <c r="B22" s="6" t="inlineStr">
        <is>
          <t>Make the Employee ID dynamic so the summary changes when the input changes.</t>
        </is>
      </c>
    </row>
    <row r="23">
      <c r="A23" t="inlineStr">
        <is>
          <t>7.</t>
        </is>
      </c>
      <c r="B23" s="6" t="inlineStr">
        <is>
          <t>Challenge: use MATCH to identify the salary component column instead of manually specifying the HLOOKUP row/column logic.</t>
        </is>
      </c>
    </row>
  </sheetData>
  <mergeCells count="2">
    <mergeCell ref="A1:J1"/>
    <mergeCell ref="A2:J2"/>
  </mergeCell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34" customWidth="1" min="2" max="2"/>
    <col width="48" customWidth="1" min="3" max="3"/>
    <col width="42" customWidth="1" min="4" max="4"/>
    <col width="34" customWidth="1" min="5" max="5"/>
    <col width="20" customWidth="1" min="6" max="6"/>
    <col width="20" customWidth="1" min="7" max="7"/>
    <col width="24" customWidth="1" min="8" max="8"/>
    <col width="24" customWidth="1" min="9" max="9"/>
    <col width="20" customWidth="1" min="10" max="10"/>
  </cols>
  <sheetData>
    <row r="1">
      <c r="A1" s="1" t="inlineStr">
        <is>
          <t>LEVEL 2 • SESSION 3 • LOOKUP FUNCTIONS — PRACTICE</t>
        </is>
      </c>
    </row>
    <row r="2">
      <c r="A2" t="inlineStr">
        <is>
          <t>VLOOKUP • HLOOKUP • INDEX + MATCH • Dynamic two-way lookups</t>
        </is>
      </c>
    </row>
    <row r="4">
      <c r="A4" s="4" t="inlineStr">
        <is>
          <t>Product / City</t>
        </is>
      </c>
      <c r="B4" s="4" t="inlineStr">
        <is>
          <t>Delhi</t>
        </is>
      </c>
      <c r="C4" s="4" t="inlineStr">
        <is>
          <t>Mumbai</t>
        </is>
      </c>
      <c r="D4" s="4" t="inlineStr">
        <is>
          <t>Bangalore</t>
        </is>
      </c>
      <c r="E4" s="4" t="inlineStr">
        <is>
          <t>Kolkata</t>
        </is>
      </c>
      <c r="F4" s="4" t="inlineStr">
        <is>
          <t>Chennai</t>
        </is>
      </c>
      <c r="H4" s="3" t="inlineStr">
        <is>
          <t>USER INPUT</t>
        </is>
      </c>
    </row>
    <row r="5">
      <c r="A5" t="inlineStr">
        <is>
          <t>Laptop</t>
        </is>
      </c>
      <c r="B5" t="n">
        <v>500000</v>
      </c>
      <c r="C5" t="n">
        <v>600000</v>
      </c>
      <c r="D5" t="n">
        <v>550000</v>
      </c>
      <c r="E5" t="n">
        <v>450000</v>
      </c>
      <c r="F5" t="n">
        <v>400000</v>
      </c>
      <c r="H5" t="inlineStr">
        <is>
          <t>City</t>
        </is>
      </c>
      <c r="I5" t="inlineStr">
        <is>
          <t>Mumbai</t>
        </is>
      </c>
    </row>
    <row r="6">
      <c r="A6" t="inlineStr">
        <is>
          <t>Monitor</t>
        </is>
      </c>
      <c r="B6" t="n">
        <v>200000</v>
      </c>
      <c r="C6" t="n">
        <v>250000</v>
      </c>
      <c r="D6" t="n">
        <v>220000</v>
      </c>
      <c r="E6" t="n">
        <v>180000</v>
      </c>
      <c r="F6" t="n">
        <v>170000</v>
      </c>
      <c r="H6" t="inlineStr">
        <is>
          <t>Product</t>
        </is>
      </c>
      <c r="I6" t="inlineStr">
        <is>
          <t>Monitor</t>
        </is>
      </c>
    </row>
    <row r="7">
      <c r="A7" t="inlineStr">
        <is>
          <t>Printer</t>
        </is>
      </c>
      <c r="B7" t="n">
        <v>80000</v>
      </c>
      <c r="C7" t="n">
        <v>90000</v>
      </c>
      <c r="D7" t="n">
        <v>85000</v>
      </c>
      <c r="E7" t="n">
        <v>70000</v>
      </c>
      <c r="F7" t="n">
        <v>65000</v>
      </c>
    </row>
    <row r="8">
      <c r="A8" t="inlineStr">
        <is>
          <t>Chair</t>
        </is>
      </c>
      <c r="B8" t="n">
        <v>60000</v>
      </c>
      <c r="C8" t="n">
        <v>70000</v>
      </c>
      <c r="D8" t="n">
        <v>65000</v>
      </c>
      <c r="E8" t="n">
        <v>55000</v>
      </c>
      <c r="F8" t="n">
        <v>50000</v>
      </c>
      <c r="H8" s="3" t="inlineStr">
        <is>
          <t>Required output</t>
        </is>
      </c>
    </row>
    <row r="9">
      <c r="H9" t="inlineStr">
        <is>
          <t>Sales Target</t>
        </is>
      </c>
    </row>
    <row r="11">
      <c r="A11" s="5" t="inlineStr">
        <is>
          <t>PRACTICE TASKS</t>
        </is>
      </c>
    </row>
    <row r="12">
      <c r="A12" t="inlineStr">
        <is>
          <t>1.</t>
        </is>
      </c>
      <c r="B12" s="6" t="inlineStr">
        <is>
          <t>Use INDEX + MATCH + MATCH to return the target for the selected Product and City.</t>
        </is>
      </c>
    </row>
    <row r="13">
      <c r="A13" t="inlineStr">
        <is>
          <t>2.</t>
        </is>
      </c>
      <c r="B13" s="6" t="inlineStr">
        <is>
          <t>Use MATCH to find the Product row.</t>
        </is>
      </c>
    </row>
    <row r="14">
      <c r="A14" t="inlineStr">
        <is>
          <t>3.</t>
        </is>
      </c>
      <c r="B14" s="6" t="inlineStr">
        <is>
          <t>Use MATCH to find the City column.</t>
        </is>
      </c>
    </row>
    <row r="15">
      <c r="A15" t="inlineStr">
        <is>
          <t>4.</t>
        </is>
      </c>
      <c r="B15" s="6" t="inlineStr">
        <is>
          <t>Combine both MATCH results inside INDEX.</t>
        </is>
      </c>
    </row>
    <row r="16">
      <c r="A16" t="inlineStr">
        <is>
          <t>5.</t>
        </is>
      </c>
      <c r="B16" s="6" t="inlineStr">
        <is>
          <t>Change the Product and City inputs and verify that the target changes.</t>
        </is>
      </c>
    </row>
    <row r="17">
      <c r="A17" t="inlineStr">
        <is>
          <t>6.</t>
        </is>
      </c>
      <c r="B17" s="6" t="inlineStr">
        <is>
          <t>Test a city not present in the table and handle the error cleanly.</t>
        </is>
      </c>
    </row>
    <row r="18">
      <c r="A18" t="inlineStr">
        <is>
          <t>7.</t>
        </is>
      </c>
      <c r="B18" s="6" t="inlineStr">
        <is>
          <t>Challenge: explain why INDEX + MATCH is better than a fixed cell reference for a dynamic report.</t>
        </is>
      </c>
    </row>
  </sheetData>
  <mergeCells count="2">
    <mergeCell ref="A1:J1"/>
    <mergeCell ref="A2:J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34" customWidth="1" min="2" max="2"/>
    <col width="48" customWidth="1" min="3" max="3"/>
    <col width="42" customWidth="1" min="4" max="4"/>
    <col width="34" customWidth="1" min="5" max="5"/>
    <col width="20" customWidth="1" min="6" max="6"/>
    <col width="20" customWidth="1" min="7" max="7"/>
    <col width="24" customWidth="1" min="8" max="8"/>
    <col width="24" customWidth="1" min="9" max="9"/>
    <col width="20" customWidth="1" min="10" max="10"/>
  </cols>
  <sheetData>
    <row r="1">
      <c r="A1" s="1" t="inlineStr">
        <is>
          <t>LEVEL 2 • SESSION 3 • LOOKUP FUNCTIONS — PRACTICE</t>
        </is>
      </c>
    </row>
    <row r="2">
      <c r="A2" t="inlineStr">
        <is>
          <t>VLOOKUP • HLOOKUP • INDEX + MATCH • Dynamic two-way lookups</t>
        </is>
      </c>
    </row>
    <row r="4">
      <c r="A4" s="2" t="inlineStr">
        <is>
          <t>Scenario</t>
        </is>
      </c>
      <c r="B4" s="2" t="inlineStr">
        <is>
          <t>Lookup Key</t>
        </is>
      </c>
      <c r="C4" s="2" t="inlineStr">
        <is>
          <t>Expected Method</t>
        </is>
      </c>
      <c r="D4" s="2" t="inlineStr">
        <is>
          <t>Your Formula</t>
        </is>
      </c>
      <c r="E4" s="2" t="inlineStr">
        <is>
          <t>Result</t>
        </is>
      </c>
    </row>
    <row r="5">
      <c r="A5" t="inlineStr">
        <is>
          <t>Vertical product lookup</t>
        </is>
      </c>
      <c r="B5" t="inlineStr">
        <is>
          <t>P104</t>
        </is>
      </c>
      <c r="C5" t="inlineStr">
        <is>
          <t>VLOOKUP</t>
        </is>
      </c>
      <c r="D5" t="inlineStr"/>
      <c r="E5" t="inlineStr"/>
    </row>
    <row r="6">
      <c r="A6" t="inlineStr">
        <is>
          <t>Horizontal component lookup</t>
        </is>
      </c>
      <c r="B6" t="inlineStr">
        <is>
          <t>HRA</t>
        </is>
      </c>
      <c r="C6" t="inlineStr">
        <is>
          <t>HLOOKUP</t>
        </is>
      </c>
      <c r="D6" t="inlineStr"/>
      <c r="E6" t="inlineStr"/>
    </row>
    <row r="7">
      <c r="A7" t="inlineStr">
        <is>
          <t>Reverse lookup</t>
        </is>
      </c>
      <c r="B7" t="inlineStr">
        <is>
          <t>Printer</t>
        </is>
      </c>
      <c r="C7" t="inlineStr">
        <is>
          <t>INDEX + MATCH</t>
        </is>
      </c>
      <c r="D7" t="inlineStr"/>
      <c r="E7" t="inlineStr"/>
    </row>
    <row r="8">
      <c r="A8" t="inlineStr">
        <is>
          <t>Two-way lookup</t>
        </is>
      </c>
      <c r="B8" t="inlineStr">
        <is>
          <t>Monitor + Mumbai</t>
        </is>
      </c>
      <c r="C8" t="inlineStr">
        <is>
          <t>INDEX + MATCH + MATCH</t>
        </is>
      </c>
      <c r="D8" t="inlineStr"/>
      <c r="E8" t="inlineStr"/>
    </row>
    <row r="9">
      <c r="A9" t="inlineStr">
        <is>
          <t>Dynamic sales lookup</t>
        </is>
      </c>
      <c r="B9" t="inlineStr">
        <is>
          <t>P103 + Mar</t>
        </is>
      </c>
      <c r="C9" t="inlineStr">
        <is>
          <t>INDEX + MATCH</t>
        </is>
      </c>
      <c r="D9" t="inlineStr"/>
      <c r="E9" t="inlineStr"/>
    </row>
    <row r="10">
      <c r="A10" t="inlineStr">
        <is>
          <t>Dynamic payroll lookup</t>
        </is>
      </c>
      <c r="B10" t="inlineStr">
        <is>
          <t>E104 + Basic Pay</t>
        </is>
      </c>
      <c r="C10" t="inlineStr">
        <is>
          <t>VLOOKUP + HLOOKUP</t>
        </is>
      </c>
      <c r="D10" t="inlineStr"/>
      <c r="E10" t="inlineStr"/>
    </row>
    <row r="13">
      <c r="A13" s="5" t="inlineStr">
        <is>
          <t>OBJECTIVE</t>
        </is>
      </c>
    </row>
    <row r="14">
      <c r="A14" s="7" t="inlineStr">
        <is>
          <t>Choose the lookup function based on the table shape and business need. Do not force one function to solve every problem.</t>
        </is>
      </c>
    </row>
    <row r="16">
      <c r="A16" s="5" t="inlineStr">
        <is>
          <t>PRACTICE TASKS</t>
        </is>
      </c>
    </row>
    <row r="17">
      <c r="A17" t="inlineStr">
        <is>
          <t>1.</t>
        </is>
      </c>
      <c r="B17" s="6" t="inlineStr">
        <is>
          <t>Complete every row in the Your Formula column yourself.</t>
        </is>
      </c>
    </row>
    <row r="18">
      <c r="A18" t="inlineStr">
        <is>
          <t>2.</t>
        </is>
      </c>
      <c r="B18" s="6" t="inlineStr">
        <is>
          <t>Explain why VLOOKUP fits vertical product data.</t>
        </is>
      </c>
    </row>
    <row r="19">
      <c r="A19" t="inlineStr">
        <is>
          <t>3.</t>
        </is>
      </c>
      <c r="B19" s="6" t="inlineStr">
        <is>
          <t>Explain why HLOOKUP fits horizontal salary components.</t>
        </is>
      </c>
    </row>
    <row r="20">
      <c r="A20" t="inlineStr">
        <is>
          <t>4.</t>
        </is>
      </c>
      <c r="B20" s="6" t="inlineStr">
        <is>
          <t>Explain why INDEX + MATCH is preferable for a two-way matrix.</t>
        </is>
      </c>
    </row>
    <row r="21">
      <c r="A21" t="inlineStr">
        <is>
          <t>5.</t>
        </is>
      </c>
      <c r="B21" s="6" t="inlineStr">
        <is>
          <t>Convert one fixed lookup into a dynamic input-driven lookup.</t>
        </is>
      </c>
    </row>
    <row r="22">
      <c r="A22" t="inlineStr">
        <is>
          <t>6.</t>
        </is>
      </c>
      <c r="B22" s="6" t="inlineStr">
        <is>
          <t>Add IFERROR to one lookup and compare the user experience.</t>
        </is>
      </c>
    </row>
  </sheetData>
  <mergeCells count="3">
    <mergeCell ref="A1:J1"/>
    <mergeCell ref="A14:H14"/>
    <mergeCell ref="A2:J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34" customWidth="1" min="2" max="2"/>
    <col width="48" customWidth="1" min="3" max="3"/>
    <col width="42" customWidth="1" min="4" max="4"/>
    <col width="34" customWidth="1" min="5" max="5"/>
    <col width="20" customWidth="1" min="6" max="6"/>
    <col width="20" customWidth="1" min="7" max="7"/>
    <col width="24" customWidth="1" min="8" max="8"/>
    <col width="24" customWidth="1" min="9" max="9"/>
    <col width="20" customWidth="1" min="10" max="10"/>
  </cols>
  <sheetData>
    <row r="1">
      <c r="A1" s="1" t="inlineStr">
        <is>
          <t>LEVEL 2 • SESSION 3 • LOOKUP FUNCTIONS — PRACTICE</t>
        </is>
      </c>
    </row>
    <row r="2">
      <c r="A2" t="inlineStr">
        <is>
          <t>VLOOKUP • HLOOKUP • INDEX + MATCH • Dynamic two-way lookups</t>
        </is>
      </c>
    </row>
    <row r="4">
      <c r="A4" s="2" t="inlineStr">
        <is>
          <t>Sheet</t>
        </is>
      </c>
      <c r="B4" s="2" t="inlineStr">
        <is>
          <t>Task</t>
        </is>
      </c>
      <c r="C4" s="2" t="inlineStr">
        <is>
          <t>Formula</t>
        </is>
      </c>
      <c r="D4" s="2" t="inlineStr">
        <is>
          <t>Expected Result / Explanation</t>
        </is>
      </c>
    </row>
    <row r="5">
      <c r="A5" s="6" t="inlineStr">
        <is>
          <t>Sales Challenge</t>
        </is>
      </c>
      <c r="B5" s="6" t="inlineStr">
        <is>
          <t>Product Name</t>
        </is>
      </c>
      <c r="C5" s="6">
        <f>VLOOKUP(I5,A5:D9,2,FALSE)</f>
        <v/>
      </c>
      <c r="D5" s="6" t="inlineStr">
        <is>
          <t>Printer</t>
        </is>
      </c>
    </row>
    <row r="6">
      <c r="A6" s="6" t="inlineStr">
        <is>
          <t>Sales Challenge</t>
        </is>
      </c>
      <c r="B6" s="6" t="inlineStr">
        <is>
          <t>Unit Price</t>
        </is>
      </c>
      <c r="C6" s="6">
        <f>VLOOKUP(I5,A5:D9,4,FALSE)</f>
        <v/>
      </c>
      <c r="D6" s="6" t="inlineStr">
        <is>
          <t>5000</t>
        </is>
      </c>
    </row>
    <row r="7">
      <c r="A7" s="6" t="inlineStr">
        <is>
          <t>Sales Challenge</t>
        </is>
      </c>
      <c r="B7" s="6" t="inlineStr">
        <is>
          <t>Sales Quantity</t>
        </is>
      </c>
      <c r="C7" s="6">
        <f>INDEX(B13:F16,MATCH(I6,A13:A16,0),MATCH(I5,B12:F12,0))</f>
        <v/>
      </c>
      <c r="D7" s="6" t="inlineStr">
        <is>
          <t>70 for P103 + Feb</t>
        </is>
      </c>
    </row>
    <row r="8">
      <c r="A8" s="6" t="inlineStr">
        <is>
          <t>Sales Challenge</t>
        </is>
      </c>
      <c r="B8" s="6" t="inlineStr">
        <is>
          <t>Sales Amount</t>
        </is>
      </c>
      <c r="C8" s="6">
        <f>VLOOKUP(I5,A5:D9,4,FALSE)*INDEX(B13:F16,MATCH(I6,A13:A16,0),MATCH(I5,B12:F12,0))</f>
        <v/>
      </c>
      <c r="D8" s="6" t="inlineStr">
        <is>
          <t>350000</t>
        </is>
      </c>
    </row>
    <row r="9">
      <c r="A9" s="6" t="inlineStr">
        <is>
          <t>Payroll Challenge</t>
        </is>
      </c>
      <c r="B9" s="6" t="inlineStr">
        <is>
          <t>Employee Name</t>
        </is>
      </c>
      <c r="C9" s="6">
        <f>VLOOKUP(I5,A5:D9,2,FALSE)</f>
        <v/>
      </c>
      <c r="D9" s="6" t="inlineStr">
        <is>
          <t>Karan Singh</t>
        </is>
      </c>
    </row>
    <row r="10">
      <c r="A10" s="6" t="inlineStr">
        <is>
          <t>Payroll Challenge</t>
        </is>
      </c>
      <c r="B10" s="6" t="inlineStr">
        <is>
          <t>Basic Pay</t>
        </is>
      </c>
      <c r="C10" s="6">
        <f>HLOOKUP("Basic Pay",B12:G13,2,FALSE)</f>
        <v/>
      </c>
      <c r="D10" s="6" t="inlineStr">
        <is>
          <t>400000</t>
        </is>
      </c>
    </row>
    <row r="11">
      <c r="A11" s="6" t="inlineStr">
        <is>
          <t>Payroll Challenge</t>
        </is>
      </c>
      <c r="B11" s="6" t="inlineStr">
        <is>
          <t>HRA</t>
        </is>
      </c>
      <c r="C11" s="6">
        <f>HLOOKUP("HRA",B12:G13,2,FALSE)</f>
        <v/>
      </c>
      <c r="D11" s="6" t="inlineStr">
        <is>
          <t>16000</t>
        </is>
      </c>
    </row>
    <row r="12">
      <c r="A12" s="6" t="inlineStr">
        <is>
          <t>Payroll Challenge</t>
        </is>
      </c>
      <c r="B12" s="6" t="inlineStr">
        <is>
          <t>Net Salary</t>
        </is>
      </c>
      <c r="C12" s="6">
        <f>SUM(HLOOKUP("Basic Pay",B12:G13,2,FALSE),HLOOKUP("HRA",B12:G13,2,FALSE),HLOOKUP("Conveyance",B12:G13,2,FALSE),HLOOKUP("Special Allowance",B12:G13,2,FALSE))-HLOOKUP("PF",B12:G13,2,FALSE)-HLOOKUP("Professional Tax",B12:G13,2,FALSE)</f>
        <v/>
      </c>
      <c r="D12" s="6" t="inlineStr">
        <is>
          <t>421200</t>
        </is>
      </c>
    </row>
    <row r="13">
      <c r="A13" s="6" t="inlineStr">
        <is>
          <t>Target Matrix</t>
        </is>
      </c>
      <c r="B13" s="6" t="inlineStr">
        <is>
          <t>Two-way lookup</t>
        </is>
      </c>
      <c r="C13" s="6">
        <f>INDEX(B5:F8,MATCH(I6,A5:A8,0),MATCH(I5,B4:F4,0))</f>
        <v/>
      </c>
      <c r="D13" s="6" t="inlineStr">
        <is>
          <t>250000 for Monitor + Mumbai</t>
        </is>
      </c>
    </row>
    <row r="14">
      <c r="A14" s="6" t="inlineStr">
        <is>
          <t>Lookup Lab</t>
        </is>
      </c>
      <c r="B14" s="6" t="inlineStr">
        <is>
          <t>Vertical lookup</t>
        </is>
      </c>
      <c r="C14" s="6">
        <f>VLOOKUP("P104",'Sales Challenge'!A5:D9,2,FALSE)</f>
        <v/>
      </c>
      <c r="D14" s="6" t="inlineStr">
        <is>
          <t>Chair</t>
        </is>
      </c>
    </row>
    <row r="15">
      <c r="A15" s="6" t="inlineStr">
        <is>
          <t>Lookup Lab</t>
        </is>
      </c>
      <c r="B15" s="6" t="inlineStr">
        <is>
          <t>Horizontal lookup</t>
        </is>
      </c>
      <c r="C15" s="6">
        <f>HLOOKUP("HRA",'Payroll Challenge'!B12:G13,2,FALSE)</f>
        <v/>
      </c>
      <c r="D15" s="6" t="inlineStr">
        <is>
          <t>16000</t>
        </is>
      </c>
    </row>
    <row r="16">
      <c r="A16" s="6" t="inlineStr">
        <is>
          <t>Lookup Lab</t>
        </is>
      </c>
      <c r="B16" s="6" t="inlineStr">
        <is>
          <t>Reverse lookup</t>
        </is>
      </c>
      <c r="C16" s="6">
        <f>INDEX('Sales Challenge'!A5:A9,MATCH("Printer",'Sales Challenge'!B5:B9,0))</f>
        <v/>
      </c>
      <c r="D16" s="6" t="inlineStr">
        <is>
          <t>P103</t>
        </is>
      </c>
    </row>
    <row r="17">
      <c r="A17" s="6" t="inlineStr">
        <is>
          <t>Lookup Lab</t>
        </is>
      </c>
      <c r="B17" s="6" t="inlineStr">
        <is>
          <t>Two-way lookup</t>
        </is>
      </c>
      <c r="C17" s="6">
        <f>INDEX('Target Matrix'!B5:F8,MATCH("Monitor",'Target Matrix'!A5:A8,0),MATCH("Mumbai",'Target Matrix'!B4:F4,0))</f>
        <v/>
      </c>
      <c r="D17" s="6" t="inlineStr">
        <is>
          <t>250000</t>
        </is>
      </c>
    </row>
    <row r="18">
      <c r="A18" s="6" t="inlineStr">
        <is>
          <t>Lookup Lab</t>
        </is>
      </c>
      <c r="B18" s="6" t="inlineStr">
        <is>
          <t>Dynamic sales lookup</t>
        </is>
      </c>
      <c r="C18" s="6">
        <f>INDEX('Sales Challenge'!B13:F16,MATCH("Mar",'Sales Challenge'!A13:A16,0),MATCH("P103",'Sales Challenge'!B12:F12,0))</f>
        <v/>
      </c>
      <c r="D18" s="6" t="inlineStr">
        <is>
          <t>65</t>
        </is>
      </c>
    </row>
    <row r="19">
      <c r="A19" s="6" t="inlineStr">
        <is>
          <t>Lookup Lab</t>
        </is>
      </c>
      <c r="B19" s="6" t="inlineStr">
        <is>
          <t>Dynamic payroll lookup</t>
        </is>
      </c>
      <c r="C19" s="6">
        <f>VLOOKUP("E104",'Payroll Challenge'!A5:D9,2,FALSE)&amp;" | "&amp;HLOOKUP("Basic Pay",'Payroll Challenge'!B12:G13,2,FALSE)</f>
        <v/>
      </c>
      <c r="D19" s="6" t="inlineStr">
        <is>
          <t>Karan Singh | 400000</t>
        </is>
      </c>
    </row>
    <row r="20">
      <c r="A20" s="6" t="inlineStr">
        <is>
          <t>All</t>
        </is>
      </c>
      <c r="B20" s="6" t="inlineStr">
        <is>
          <t>Rule of thumb</t>
        </is>
      </c>
      <c r="C20" s="6" t="inlineStr">
        <is>
          <t>VLOOKUP = vertical table; HLOOKUP = horizontal table; INDEX + MATCH = flexible position-based lookup; INDEX + MATCH + MATCH = two-way matrix.</t>
        </is>
      </c>
      <c r="D20" s="6" t="inlineStr">
        <is>
          <t>Choose based on structure, not habit.</t>
        </is>
      </c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2026-08-31T02:13:11Z</dcterms:created>
  <dcterms:modified xmlns:dcterms="http://purl.org/dc/terms/" xmlns:xsi="http://www.w3.org/2001/XMLSchema-instance" xsi:type="dcterms:W3CDTF">2026-08-31T02:13:11Z</dcterms:modified>
</cp:coreProperties>
</file>