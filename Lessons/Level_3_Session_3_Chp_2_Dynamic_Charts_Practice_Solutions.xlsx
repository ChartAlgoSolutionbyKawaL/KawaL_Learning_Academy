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" sheetId="3" state="visible" r:id="rId3"/>
  </sheets>
  <definedNames>
    <definedName name="Month_Range">'SOLUTION'!'SOLUTION'!$A$74:INDEX('SOLUTION'!$A$74:$A$100,6)</definedName>
    <definedName name="Sales_Range">'SOLUTION'!'SOLUTION'!$B$74:INDEX('SOLUTION'!$B$74:$B$100,6)</definedName>
    <definedName name="Profit_Range">'SOLUTION'!'SOLUTION'!$C$74:INDEX('SOLUTION'!$C$74:$C$100,6)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₹#,##0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4748B"/>
      <sz val="10"/>
    </font>
    <font>
      <b val="1"/>
      <color rgb="00FFFFFF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0F766E"/>
      </patternFill>
    </fill>
    <fill>
      <patternFill patternType="solid">
        <fgColor rgb="0015803D"/>
      </patternFill>
    </fill>
    <fill>
      <patternFill patternType="solid">
        <fgColor rgb="002563EB"/>
      </patternFill>
    </fill>
    <fill>
      <patternFill patternType="solid">
        <fgColor rgb="00EA580C"/>
      </patternFill>
    </fill>
    <fill>
      <patternFill patternType="solid">
        <fgColor rgb="007C3AED"/>
      </patternFill>
    </fill>
    <fill>
      <patternFill patternType="solid">
        <fgColor rgb="00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'SOLUTION'!B73</f>
            </strRef>
          </tx>
          <spPr>
            <a:ln xmlns:a="http://schemas.openxmlformats.org/drawingml/2006/main">
              <a:prstDash val="solid"/>
            </a:ln>
          </spPr>
          <cat>
            <numRef>
              <f>'SOLUTION'!$A$74:$A$79</f>
            </numRef>
          </cat>
          <val>
            <numRef>
              <f>'SOLUTION'!$B$74:$B$79</f>
            </numRef>
          </val>
        </ser>
        <ser>
          <idx val="1"/>
          <order val="1"/>
          <tx>
            <strRef>
              <f>'SOLUTION'!C73</f>
            </strRef>
          </tx>
          <spPr>
            <a:ln xmlns:a="http://schemas.openxmlformats.org/drawingml/2006/main">
              <a:prstDash val="solid"/>
            </a:ln>
          </spPr>
          <cat>
            <numRef>
              <f>'SOLUTION'!$A$74:$A$79</f>
            </numRef>
          </cat>
          <val>
            <numRef>
              <f>'SOLUTION'!$C$74:$C$79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ynamicChartData" displayName="DynamicChartData" ref="A4:J244" headerRowCount="1">
  <autoFilter ref="A4:J244"/>
  <tableColumns count="10">
    <tableColumn id="1" name="Date"/>
    <tableColumn id="2" name="Month"/>
    <tableColumn id="3" name="Region"/>
    <tableColumn id="4" name="Channel"/>
    <tableColumn id="5" name="Product"/>
    <tableColumn id="6" name="Sales (₹)"/>
    <tableColumn id="7" name="Profit (₹)"/>
    <tableColumn id="8" name="Orders"/>
    <tableColumn id="9" name="Conversion %"/>
    <tableColumn id="10" name="SLA %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4" customWidth="1" min="4" max="4"/>
    <col width="18" customWidth="1" min="5" max="5"/>
    <col width="17" customWidth="1" min="6" max="6"/>
    <col width="17" customWidth="1" min="7" max="7"/>
    <col width="13" customWidth="1" min="8" max="8"/>
    <col width="16" customWidth="1" min="9" max="9"/>
    <col width="14" customWidth="1" min="10" max="10"/>
  </cols>
  <sheetData>
    <row r="1">
      <c r="A1" s="1" t="inlineStr">
        <is>
          <t>LEVEL 3 • SESSION 3 • CHAPTER 2 — DYNAMIC CHARTS | RAW DATA</t>
        </is>
      </c>
    </row>
    <row r="2">
      <c r="A2" s="2" t="inlineStr">
        <is>
          <t>Multi-industry practice dataset: e-commerce, logistics and SaaS. Use the clean source to build dynamic summaries and charts.</t>
        </is>
      </c>
    </row>
    <row r="3"/>
    <row r="4">
      <c r="A4" s="3" t="inlineStr">
        <is>
          <t>Date</t>
        </is>
      </c>
      <c r="B4" s="3" t="inlineStr">
        <is>
          <t>Month</t>
        </is>
      </c>
      <c r="C4" s="3" t="inlineStr">
        <is>
          <t>Region</t>
        </is>
      </c>
      <c r="D4" s="3" t="inlineStr">
        <is>
          <t>Channel</t>
        </is>
      </c>
      <c r="E4" s="3" t="inlineStr">
        <is>
          <t>Product</t>
        </is>
      </c>
      <c r="F4" s="3" t="inlineStr">
        <is>
          <t>Sales (₹)</t>
        </is>
      </c>
      <c r="G4" s="3" t="inlineStr">
        <is>
          <t>Profit (₹)</t>
        </is>
      </c>
      <c r="H4" s="3" t="inlineStr">
        <is>
          <t>Orders</t>
        </is>
      </c>
      <c r="I4" s="3" t="inlineStr">
        <is>
          <t>Conversion %</t>
        </is>
      </c>
      <c r="J4" s="3" t="inlineStr">
        <is>
          <t>SLA %</t>
        </is>
      </c>
    </row>
    <row r="5">
      <c r="A5" s="4" t="n">
        <v>46023</v>
      </c>
      <c r="B5" s="5" t="inlineStr">
        <is>
          <t>Jan</t>
        </is>
      </c>
      <c r="C5" s="5" t="inlineStr">
        <is>
          <t>North</t>
        </is>
      </c>
      <c r="D5" s="5" t="inlineStr">
        <is>
          <t>Online</t>
        </is>
      </c>
      <c r="E5" s="5" t="inlineStr">
        <is>
          <t>Webcam</t>
        </is>
      </c>
      <c r="F5" s="6" t="n">
        <v>200800</v>
      </c>
      <c r="G5" s="6" t="n">
        <v>34216.83</v>
      </c>
      <c r="H5" s="5" t="n">
        <v>100</v>
      </c>
      <c r="I5" s="7" t="n">
        <v>0.07048601662637376</v>
      </c>
      <c r="J5" s="7" t="n">
        <v>0.9339545464048105</v>
      </c>
    </row>
    <row r="6">
      <c r="A6" s="4" t="n">
        <v>46024</v>
      </c>
      <c r="B6" s="5" t="inlineStr">
        <is>
          <t>Jan</t>
        </is>
      </c>
      <c r="C6" s="5" t="inlineStr">
        <is>
          <t>West</t>
        </is>
      </c>
      <c r="D6" s="5" t="inlineStr">
        <is>
          <t>Online</t>
        </is>
      </c>
      <c r="E6" s="5" t="inlineStr">
        <is>
          <t>Laptop</t>
        </is>
      </c>
      <c r="F6" s="6" t="n">
        <v>1121940</v>
      </c>
      <c r="G6" s="6" t="n">
        <v>235791.57</v>
      </c>
      <c r="H6" s="5" t="n">
        <v>414</v>
      </c>
      <c r="I6" s="7" t="n">
        <v>0.0591516868055499</v>
      </c>
      <c r="J6" s="7" t="n">
        <v>0.8749494333846676</v>
      </c>
    </row>
    <row r="7">
      <c r="A7" s="4" t="n">
        <v>46025</v>
      </c>
      <c r="B7" s="5" t="inlineStr">
        <is>
          <t>Jan</t>
        </is>
      </c>
      <c r="C7" s="5" t="inlineStr">
        <is>
          <t>West</t>
        </is>
      </c>
      <c r="D7" s="5" t="inlineStr">
        <is>
          <t>Partner</t>
        </is>
      </c>
      <c r="E7" s="5" t="inlineStr">
        <is>
          <t>Tablet</t>
        </is>
      </c>
      <c r="F7" s="6" t="n">
        <v>228690</v>
      </c>
      <c r="G7" s="6" t="n">
        <v>21002.48</v>
      </c>
      <c r="H7" s="5" t="n">
        <v>90</v>
      </c>
      <c r="I7" s="7" t="n">
        <v>0.0320850523010907</v>
      </c>
      <c r="J7" s="7" t="n">
        <v>0.8939542690063551</v>
      </c>
    </row>
    <row r="8">
      <c r="A8" s="4" t="n">
        <v>46026</v>
      </c>
      <c r="B8" s="5" t="inlineStr">
        <is>
          <t>Jan</t>
        </is>
      </c>
      <c r="C8" s="5" t="inlineStr">
        <is>
          <t>North</t>
        </is>
      </c>
      <c r="D8" s="5" t="inlineStr">
        <is>
          <t>Partner</t>
        </is>
      </c>
      <c r="E8" s="5" t="inlineStr">
        <is>
          <t>Tablet</t>
        </is>
      </c>
      <c r="F8" s="6" t="n">
        <v>497502</v>
      </c>
      <c r="G8" s="6" t="n">
        <v>124348.13</v>
      </c>
      <c r="H8" s="5" t="n">
        <v>222</v>
      </c>
      <c r="I8" s="7" t="n">
        <v>0.02400755299142886</v>
      </c>
      <c r="J8" s="7" t="n">
        <v>0.9326387372570966</v>
      </c>
    </row>
    <row r="9">
      <c r="A9" s="4" t="n">
        <v>46027</v>
      </c>
      <c r="B9" s="5" t="inlineStr">
        <is>
          <t>Jan</t>
        </is>
      </c>
      <c r="C9" s="5" t="inlineStr">
        <is>
          <t>East</t>
        </is>
      </c>
      <c r="D9" s="5" t="inlineStr">
        <is>
          <t>Online</t>
        </is>
      </c>
      <c r="E9" s="5" t="inlineStr">
        <is>
          <t>Tablet</t>
        </is>
      </c>
      <c r="F9" s="6" t="n">
        <v>481151</v>
      </c>
      <c r="G9" s="6" t="n">
        <v>54149.76</v>
      </c>
      <c r="H9" s="5" t="n">
        <v>187</v>
      </c>
      <c r="I9" s="7" t="n">
        <v>0.04235732956895127</v>
      </c>
      <c r="J9" s="7" t="n">
        <v>0.9169993620160398</v>
      </c>
    </row>
    <row r="10">
      <c r="A10" s="4" t="n">
        <v>46028</v>
      </c>
      <c r="B10" s="5" t="inlineStr">
        <is>
          <t>Jan</t>
        </is>
      </c>
      <c r="C10" s="5" t="inlineStr">
        <is>
          <t>North</t>
        </is>
      </c>
      <c r="D10" s="5" t="inlineStr">
        <is>
          <t>Retail</t>
        </is>
      </c>
      <c r="E10" s="5" t="inlineStr">
        <is>
          <t>Headset</t>
        </is>
      </c>
      <c r="F10" s="6" t="n">
        <v>756156</v>
      </c>
      <c r="G10" s="6" t="n">
        <v>135134.03</v>
      </c>
      <c r="H10" s="5" t="n">
        <v>244</v>
      </c>
      <c r="I10" s="7" t="n">
        <v>0.04467594392912508</v>
      </c>
      <c r="J10" s="7" t="n">
        <v>0.9308281163865094</v>
      </c>
    </row>
    <row r="11">
      <c r="A11" s="4" t="n">
        <v>46029</v>
      </c>
      <c r="B11" s="5" t="inlineStr">
        <is>
          <t>Jan</t>
        </is>
      </c>
      <c r="C11" s="5" t="inlineStr">
        <is>
          <t>West</t>
        </is>
      </c>
      <c r="D11" s="5" t="inlineStr">
        <is>
          <t>Partner</t>
        </is>
      </c>
      <c r="E11" s="5" t="inlineStr">
        <is>
          <t>Laptop</t>
        </is>
      </c>
      <c r="F11" s="6" t="n">
        <v>767550</v>
      </c>
      <c r="G11" s="6" t="n">
        <v>182828.34</v>
      </c>
      <c r="H11" s="5" t="n">
        <v>255</v>
      </c>
      <c r="I11" s="7" t="n">
        <v>0.05655958811225865</v>
      </c>
      <c r="J11" s="7" t="n">
        <v>0.9633865536184225</v>
      </c>
    </row>
    <row r="12">
      <c r="A12" s="4" t="n">
        <v>46030</v>
      </c>
      <c r="B12" s="5" t="inlineStr">
        <is>
          <t>Jan</t>
        </is>
      </c>
      <c r="C12" s="5" t="inlineStr">
        <is>
          <t>North</t>
        </is>
      </c>
      <c r="D12" s="5" t="inlineStr">
        <is>
          <t>Partner</t>
        </is>
      </c>
      <c r="E12" s="5" t="inlineStr">
        <is>
          <t>Webcam</t>
        </is>
      </c>
      <c r="F12" s="6" t="n">
        <v>184795</v>
      </c>
      <c r="G12" s="6" t="n">
        <v>42852.47</v>
      </c>
      <c r="H12" s="5" t="n">
        <v>65</v>
      </c>
      <c r="I12" s="7" t="n">
        <v>0.0494927016015473</v>
      </c>
      <c r="J12" s="7" t="n">
        <v>0.925085270474712</v>
      </c>
    </row>
    <row r="13">
      <c r="A13" s="4" t="n">
        <v>46031</v>
      </c>
      <c r="B13" s="5" t="inlineStr">
        <is>
          <t>Jan</t>
        </is>
      </c>
      <c r="C13" s="5" t="inlineStr">
        <is>
          <t>West</t>
        </is>
      </c>
      <c r="D13" s="5" t="inlineStr">
        <is>
          <t>Partner</t>
        </is>
      </c>
      <c r="E13" s="5" t="inlineStr">
        <is>
          <t>Headset</t>
        </is>
      </c>
      <c r="F13" s="6" t="n">
        <v>188243</v>
      </c>
      <c r="G13" s="6" t="n">
        <v>35816.48</v>
      </c>
      <c r="H13" s="5" t="n">
        <v>157</v>
      </c>
      <c r="I13" s="7" t="n">
        <v>0.06587306209857861</v>
      </c>
      <c r="J13" s="7" t="n">
        <v>0.9895489764457602</v>
      </c>
    </row>
    <row r="14">
      <c r="A14" s="4" t="n">
        <v>46032</v>
      </c>
      <c r="B14" s="5" t="inlineStr">
        <is>
          <t>Jan</t>
        </is>
      </c>
      <c r="C14" s="5" t="inlineStr">
        <is>
          <t>East</t>
        </is>
      </c>
      <c r="D14" s="5" t="inlineStr">
        <is>
          <t>Partner</t>
        </is>
      </c>
      <c r="E14" s="5" t="inlineStr">
        <is>
          <t>Headset</t>
        </is>
      </c>
      <c r="F14" s="6" t="n">
        <v>551232</v>
      </c>
      <c r="G14" s="6" t="n">
        <v>98983.28</v>
      </c>
      <c r="H14" s="5" t="n">
        <v>319</v>
      </c>
      <c r="I14" s="7" t="n">
        <v>0.0719279184286159</v>
      </c>
      <c r="J14" s="7" t="n">
        <v>0.9142629861344697</v>
      </c>
    </row>
    <row r="15">
      <c r="A15" s="4" t="n">
        <v>46033</v>
      </c>
      <c r="B15" s="5" t="inlineStr">
        <is>
          <t>Jan</t>
        </is>
      </c>
      <c r="C15" s="5" t="inlineStr">
        <is>
          <t>North</t>
        </is>
      </c>
      <c r="D15" s="5" t="inlineStr">
        <is>
          <t>Online</t>
        </is>
      </c>
      <c r="E15" s="5" t="inlineStr">
        <is>
          <t>Printer</t>
        </is>
      </c>
      <c r="F15" s="6" t="n">
        <v>272415</v>
      </c>
      <c r="G15" s="6" t="n">
        <v>60774.35</v>
      </c>
      <c r="H15" s="5" t="n">
        <v>143</v>
      </c>
      <c r="I15" s="7" t="n">
        <v>0.06192806155306692</v>
      </c>
      <c r="J15" s="7" t="n">
        <v>0.9406318840733962</v>
      </c>
    </row>
    <row r="16">
      <c r="A16" s="4" t="n">
        <v>46034</v>
      </c>
      <c r="B16" s="5" t="inlineStr">
        <is>
          <t>Jan</t>
        </is>
      </c>
      <c r="C16" s="5" t="inlineStr">
        <is>
          <t>East</t>
        </is>
      </c>
      <c r="D16" s="5" t="inlineStr">
        <is>
          <t>Online</t>
        </is>
      </c>
      <c r="E16" s="5" t="inlineStr">
        <is>
          <t>Mouse</t>
        </is>
      </c>
      <c r="F16" s="6" t="n">
        <v>778434</v>
      </c>
      <c r="G16" s="6" t="n">
        <v>185511.12</v>
      </c>
      <c r="H16" s="5" t="n">
        <v>274</v>
      </c>
      <c r="I16" s="7" t="n">
        <v>0.06440741131851921</v>
      </c>
      <c r="J16" s="7" t="n">
        <v>0.9229985745178239</v>
      </c>
    </row>
    <row r="17">
      <c r="A17" s="4" t="n">
        <v>46035</v>
      </c>
      <c r="B17" s="5" t="inlineStr">
        <is>
          <t>Jan</t>
        </is>
      </c>
      <c r="C17" s="5" t="inlineStr">
        <is>
          <t>North</t>
        </is>
      </c>
      <c r="D17" s="5" t="inlineStr">
        <is>
          <t>Retail</t>
        </is>
      </c>
      <c r="E17" s="5" t="inlineStr">
        <is>
          <t>Tablet</t>
        </is>
      </c>
      <c r="F17" s="6" t="n">
        <v>728532</v>
      </c>
      <c r="G17" s="6" t="n">
        <v>130592.33</v>
      </c>
      <c r="H17" s="5" t="n">
        <v>294</v>
      </c>
      <c r="I17" s="7" t="n">
        <v>0.0486629237415372</v>
      </c>
      <c r="J17" s="7" t="n">
        <v>0.9696066747477687</v>
      </c>
    </row>
    <row r="18">
      <c r="A18" s="4" t="n">
        <v>46036</v>
      </c>
      <c r="B18" s="5" t="inlineStr">
        <is>
          <t>Jan</t>
        </is>
      </c>
      <c r="C18" s="5" t="inlineStr">
        <is>
          <t>South</t>
        </is>
      </c>
      <c r="D18" s="5" t="inlineStr">
        <is>
          <t>Retail</t>
        </is>
      </c>
      <c r="E18" s="5" t="inlineStr">
        <is>
          <t>Headset</t>
        </is>
      </c>
      <c r="F18" s="6" t="n">
        <v>741840</v>
      </c>
      <c r="G18" s="6" t="n">
        <v>97487.41</v>
      </c>
      <c r="H18" s="5" t="n">
        <v>264</v>
      </c>
      <c r="I18" s="7" t="n">
        <v>0.08098923137268256</v>
      </c>
      <c r="J18" s="7" t="n">
        <v>0.9475540123952398</v>
      </c>
    </row>
    <row r="19">
      <c r="A19" s="4" t="n">
        <v>46037</v>
      </c>
      <c r="B19" s="5" t="inlineStr">
        <is>
          <t>Jan</t>
        </is>
      </c>
      <c r="C19" s="5" t="inlineStr">
        <is>
          <t>West</t>
        </is>
      </c>
      <c r="D19" s="5" t="inlineStr">
        <is>
          <t>Online</t>
        </is>
      </c>
      <c r="E19" s="5" t="inlineStr">
        <is>
          <t>Headset</t>
        </is>
      </c>
      <c r="F19" s="6" t="n">
        <v>653720</v>
      </c>
      <c r="G19" s="6" t="n">
        <v>68945.24000000001</v>
      </c>
      <c r="H19" s="5" t="n">
        <v>295</v>
      </c>
      <c r="I19" s="7" t="n">
        <v>0.07940420675233141</v>
      </c>
      <c r="J19" s="7" t="n">
        <v>0.8724427649380928</v>
      </c>
    </row>
    <row r="20">
      <c r="A20" s="4" t="n">
        <v>46038</v>
      </c>
      <c r="B20" s="5" t="inlineStr">
        <is>
          <t>Jan</t>
        </is>
      </c>
      <c r="C20" s="5" t="inlineStr">
        <is>
          <t>North</t>
        </is>
      </c>
      <c r="D20" s="5" t="inlineStr">
        <is>
          <t>Partner</t>
        </is>
      </c>
      <c r="E20" s="5" t="inlineStr">
        <is>
          <t>Keyboard</t>
        </is>
      </c>
      <c r="F20" s="6" t="n">
        <v>834138</v>
      </c>
      <c r="G20" s="6" t="n">
        <v>148021.53</v>
      </c>
      <c r="H20" s="5" t="n">
        <v>271</v>
      </c>
      <c r="I20" s="7" t="n">
        <v>0.03460511996667733</v>
      </c>
      <c r="J20" s="7" t="n">
        <v>0.9438450793626083</v>
      </c>
    </row>
    <row r="21">
      <c r="A21" s="4" t="n">
        <v>46039</v>
      </c>
      <c r="B21" s="5" t="inlineStr">
        <is>
          <t>Jan</t>
        </is>
      </c>
      <c r="C21" s="5" t="inlineStr">
        <is>
          <t>East</t>
        </is>
      </c>
      <c r="D21" s="5" t="inlineStr">
        <is>
          <t>Online</t>
        </is>
      </c>
      <c r="E21" s="5" t="inlineStr">
        <is>
          <t>Laptop</t>
        </is>
      </c>
      <c r="F21" s="6" t="n">
        <v>573881</v>
      </c>
      <c r="G21" s="6" t="n">
        <v>113029.5</v>
      </c>
      <c r="H21" s="5" t="n">
        <v>319</v>
      </c>
      <c r="I21" s="7" t="n">
        <v>0.03900066320245674</v>
      </c>
      <c r="J21" s="7" t="n">
        <v>0.9387138343418262</v>
      </c>
    </row>
    <row r="22">
      <c r="A22" s="4" t="n">
        <v>46040</v>
      </c>
      <c r="B22" s="5" t="inlineStr">
        <is>
          <t>Jan</t>
        </is>
      </c>
      <c r="C22" s="5" t="inlineStr">
        <is>
          <t>West</t>
        </is>
      </c>
      <c r="D22" s="5" t="inlineStr">
        <is>
          <t>Partner</t>
        </is>
      </c>
      <c r="E22" s="5" t="inlineStr">
        <is>
          <t>Printer</t>
        </is>
      </c>
      <c r="F22" s="6" t="n">
        <v>364332</v>
      </c>
      <c r="G22" s="6" t="n">
        <v>64606.48</v>
      </c>
      <c r="H22" s="5" t="n">
        <v>291</v>
      </c>
      <c r="I22" s="7" t="n">
        <v>0.08220458988156275</v>
      </c>
      <c r="J22" s="7" t="n">
        <v>0.9782591621092988</v>
      </c>
    </row>
    <row r="23">
      <c r="A23" s="4" t="n">
        <v>46041</v>
      </c>
      <c r="B23" s="5" t="inlineStr">
        <is>
          <t>Jan</t>
        </is>
      </c>
      <c r="C23" s="5" t="inlineStr">
        <is>
          <t>South</t>
        </is>
      </c>
      <c r="D23" s="5" t="inlineStr">
        <is>
          <t>Online</t>
        </is>
      </c>
      <c r="E23" s="5" t="inlineStr">
        <is>
          <t>Mouse</t>
        </is>
      </c>
      <c r="F23" s="6" t="n">
        <v>563220</v>
      </c>
      <c r="G23" s="6" t="n">
        <v>58298.52</v>
      </c>
      <c r="H23" s="5" t="n">
        <v>298</v>
      </c>
      <c r="I23" s="7" t="n">
        <v>0.05201602674727605</v>
      </c>
      <c r="J23" s="7" t="n">
        <v>0.9127049865132519</v>
      </c>
    </row>
    <row r="24">
      <c r="A24" s="4" t="n">
        <v>46042</v>
      </c>
      <c r="B24" s="5" t="inlineStr">
        <is>
          <t>Jan</t>
        </is>
      </c>
      <c r="C24" s="5" t="inlineStr">
        <is>
          <t>West</t>
        </is>
      </c>
      <c r="D24" s="5" t="inlineStr">
        <is>
          <t>Online</t>
        </is>
      </c>
      <c r="E24" s="5" t="inlineStr">
        <is>
          <t>Monitor</t>
        </is>
      </c>
      <c r="F24" s="6" t="n">
        <v>328280</v>
      </c>
      <c r="G24" s="6" t="n">
        <v>71927.87</v>
      </c>
      <c r="H24" s="5" t="n">
        <v>116</v>
      </c>
      <c r="I24" s="7" t="n">
        <v>0.04408631446570635</v>
      </c>
      <c r="J24" s="7" t="n">
        <v>0.8699134998912786</v>
      </c>
    </row>
    <row r="25">
      <c r="A25" s="4" t="n">
        <v>46043</v>
      </c>
      <c r="B25" s="5" t="inlineStr">
        <is>
          <t>Jan</t>
        </is>
      </c>
      <c r="C25" s="5" t="inlineStr">
        <is>
          <t>North</t>
        </is>
      </c>
      <c r="D25" s="5" t="inlineStr">
        <is>
          <t>Online</t>
        </is>
      </c>
      <c r="E25" s="5" t="inlineStr">
        <is>
          <t>Headset</t>
        </is>
      </c>
      <c r="F25" s="6" t="n">
        <v>465899</v>
      </c>
      <c r="G25" s="6" t="n">
        <v>111595.39</v>
      </c>
      <c r="H25" s="5" t="n">
        <v>217</v>
      </c>
      <c r="I25" s="7" t="n">
        <v>0.03995992357095501</v>
      </c>
      <c r="J25" s="7" t="n">
        <v>0.9009956823346685</v>
      </c>
    </row>
    <row r="26">
      <c r="A26" s="4" t="n">
        <v>46044</v>
      </c>
      <c r="B26" s="5" t="inlineStr">
        <is>
          <t>Jan</t>
        </is>
      </c>
      <c r="C26" s="5" t="inlineStr">
        <is>
          <t>West</t>
        </is>
      </c>
      <c r="D26" s="5" t="inlineStr">
        <is>
          <t>Partner</t>
        </is>
      </c>
      <c r="E26" s="5" t="inlineStr">
        <is>
          <t>Printer</t>
        </is>
      </c>
      <c r="F26" s="6" t="n">
        <v>246582</v>
      </c>
      <c r="G26" s="6" t="n">
        <v>41823.06</v>
      </c>
      <c r="H26" s="5" t="n">
        <v>206</v>
      </c>
      <c r="I26" s="7" t="n">
        <v>0.02831066915105687</v>
      </c>
      <c r="J26" s="7" t="n">
        <v>0.9301478534783651</v>
      </c>
    </row>
    <row r="27">
      <c r="A27" s="4" t="n">
        <v>46045</v>
      </c>
      <c r="B27" s="5" t="inlineStr">
        <is>
          <t>Jan</t>
        </is>
      </c>
      <c r="C27" s="5" t="inlineStr">
        <is>
          <t>South</t>
        </is>
      </c>
      <c r="D27" s="5" t="inlineStr">
        <is>
          <t>Partner</t>
        </is>
      </c>
      <c r="E27" s="5" t="inlineStr">
        <is>
          <t>Monitor</t>
        </is>
      </c>
      <c r="F27" s="6" t="n">
        <v>544174</v>
      </c>
      <c r="G27" s="6" t="n">
        <v>88923.89</v>
      </c>
      <c r="H27" s="5" t="n">
        <v>262</v>
      </c>
      <c r="I27" s="7" t="n">
        <v>0.05467271505850198</v>
      </c>
      <c r="J27" s="7" t="n">
        <v>0.8646106128870821</v>
      </c>
    </row>
    <row r="28">
      <c r="A28" s="4" t="n">
        <v>46046</v>
      </c>
      <c r="B28" s="5" t="inlineStr">
        <is>
          <t>Jan</t>
        </is>
      </c>
      <c r="C28" s="5" t="inlineStr">
        <is>
          <t>North</t>
        </is>
      </c>
      <c r="D28" s="5" t="inlineStr">
        <is>
          <t>Retail</t>
        </is>
      </c>
      <c r="E28" s="5" t="inlineStr">
        <is>
          <t>Keyboard</t>
        </is>
      </c>
      <c r="F28" s="6" t="n">
        <v>523110</v>
      </c>
      <c r="G28" s="6" t="n">
        <v>50866.09</v>
      </c>
      <c r="H28" s="5" t="n">
        <v>371</v>
      </c>
      <c r="I28" s="7" t="n">
        <v>0.05041733251238874</v>
      </c>
      <c r="J28" s="7" t="n">
        <v>0.9516156677045322</v>
      </c>
    </row>
    <row r="29">
      <c r="A29" s="4" t="n">
        <v>46047</v>
      </c>
      <c r="B29" s="5" t="inlineStr">
        <is>
          <t>Jan</t>
        </is>
      </c>
      <c r="C29" s="5" t="inlineStr">
        <is>
          <t>South</t>
        </is>
      </c>
      <c r="D29" s="5" t="inlineStr">
        <is>
          <t>Partner</t>
        </is>
      </c>
      <c r="E29" s="5" t="inlineStr">
        <is>
          <t>Printer</t>
        </is>
      </c>
      <c r="F29" s="6" t="n">
        <v>61400</v>
      </c>
      <c r="G29" s="6" t="n">
        <v>11868.89</v>
      </c>
      <c r="H29" s="5" t="n">
        <v>50</v>
      </c>
      <c r="I29" s="7" t="n">
        <v>0.02874617555962454</v>
      </c>
      <c r="J29" s="7" t="n">
        <v>0.9739905878909729</v>
      </c>
    </row>
    <row r="30">
      <c r="A30" s="4" t="n">
        <v>46048</v>
      </c>
      <c r="B30" s="5" t="inlineStr">
        <is>
          <t>Jan</t>
        </is>
      </c>
      <c r="C30" s="5" t="inlineStr">
        <is>
          <t>West</t>
        </is>
      </c>
      <c r="D30" s="5" t="inlineStr">
        <is>
          <t>Online</t>
        </is>
      </c>
      <c r="E30" s="5" t="inlineStr">
        <is>
          <t>Webcam</t>
        </is>
      </c>
      <c r="F30" s="6" t="n">
        <v>434263</v>
      </c>
      <c r="G30" s="6" t="n">
        <v>68638.17</v>
      </c>
      <c r="H30" s="5" t="n">
        <v>239</v>
      </c>
      <c r="I30" s="7" t="n">
        <v>0.03842892045186697</v>
      </c>
      <c r="J30" s="7" t="n">
        <v>0.9064489063515053</v>
      </c>
    </row>
    <row r="31">
      <c r="A31" s="4" t="n">
        <v>46049</v>
      </c>
      <c r="B31" s="5" t="inlineStr">
        <is>
          <t>Jan</t>
        </is>
      </c>
      <c r="C31" s="5" t="inlineStr">
        <is>
          <t>West</t>
        </is>
      </c>
      <c r="D31" s="5" t="inlineStr">
        <is>
          <t>Retail</t>
        </is>
      </c>
      <c r="E31" s="5" t="inlineStr">
        <is>
          <t>Headset</t>
        </is>
      </c>
      <c r="F31" s="6" t="n">
        <v>452400</v>
      </c>
      <c r="G31" s="6" t="n">
        <v>76734.45</v>
      </c>
      <c r="H31" s="5" t="n">
        <v>174</v>
      </c>
      <c r="I31" s="7" t="n">
        <v>0.02985647284111291</v>
      </c>
      <c r="J31" s="7" t="n">
        <v>0.9301102397969151</v>
      </c>
    </row>
    <row r="32">
      <c r="A32" s="4" t="n">
        <v>46050</v>
      </c>
      <c r="B32" s="5" t="inlineStr">
        <is>
          <t>Jan</t>
        </is>
      </c>
      <c r="C32" s="5" t="inlineStr">
        <is>
          <t>East</t>
        </is>
      </c>
      <c r="D32" s="5" t="inlineStr">
        <is>
          <t>Online</t>
        </is>
      </c>
      <c r="E32" s="5" t="inlineStr">
        <is>
          <t>Keyboard</t>
        </is>
      </c>
      <c r="F32" s="6" t="n">
        <v>317997</v>
      </c>
      <c r="G32" s="6" t="n">
        <v>55446.05</v>
      </c>
      <c r="H32" s="5" t="n">
        <v>267</v>
      </c>
      <c r="I32" s="7" t="n">
        <v>0.03349943246937312</v>
      </c>
      <c r="J32" s="7" t="n">
        <v>0.9887459734646316</v>
      </c>
    </row>
    <row r="33">
      <c r="A33" s="4" t="n">
        <v>46051</v>
      </c>
      <c r="B33" s="5" t="inlineStr">
        <is>
          <t>Jan</t>
        </is>
      </c>
      <c r="C33" s="5" t="inlineStr">
        <is>
          <t>South</t>
        </is>
      </c>
      <c r="D33" s="5" t="inlineStr">
        <is>
          <t>Online</t>
        </is>
      </c>
      <c r="E33" s="5" t="inlineStr">
        <is>
          <t>Tablet</t>
        </is>
      </c>
      <c r="F33" s="6" t="n">
        <v>558416</v>
      </c>
      <c r="G33" s="6" t="n">
        <v>86711.06</v>
      </c>
      <c r="H33" s="5" t="n">
        <v>272</v>
      </c>
      <c r="I33" s="7" t="n">
        <v>0.07471819931643353</v>
      </c>
      <c r="J33" s="7" t="n">
        <v>0.9074797329743977</v>
      </c>
    </row>
    <row r="34">
      <c r="A34" s="4" t="n">
        <v>46052</v>
      </c>
      <c r="B34" s="5" t="inlineStr">
        <is>
          <t>Jan</t>
        </is>
      </c>
      <c r="C34" s="5" t="inlineStr">
        <is>
          <t>South</t>
        </is>
      </c>
      <c r="D34" s="5" t="inlineStr">
        <is>
          <t>Online</t>
        </is>
      </c>
      <c r="E34" s="5" t="inlineStr">
        <is>
          <t>Mouse</t>
        </is>
      </c>
      <c r="F34" s="6" t="n">
        <v>1190204</v>
      </c>
      <c r="G34" s="6" t="n">
        <v>257903.5</v>
      </c>
      <c r="H34" s="5" t="n">
        <v>391</v>
      </c>
      <c r="I34" s="7" t="n">
        <v>0.05523858379076046</v>
      </c>
      <c r="J34" s="7" t="n">
        <v>0.93668560470403</v>
      </c>
    </row>
    <row r="35">
      <c r="A35" s="4" t="n">
        <v>46053</v>
      </c>
      <c r="B35" s="5" t="inlineStr">
        <is>
          <t>Jan</t>
        </is>
      </c>
      <c r="C35" s="5" t="inlineStr">
        <is>
          <t>East</t>
        </is>
      </c>
      <c r="D35" s="5" t="inlineStr">
        <is>
          <t>Partner</t>
        </is>
      </c>
      <c r="E35" s="5" t="inlineStr">
        <is>
          <t>Printer</t>
        </is>
      </c>
      <c r="F35" s="6" t="n">
        <v>452066</v>
      </c>
      <c r="G35" s="6" t="n">
        <v>62001.76</v>
      </c>
      <c r="H35" s="5" t="n">
        <v>149</v>
      </c>
      <c r="I35" s="7" t="n">
        <v>0.02479753451319932</v>
      </c>
      <c r="J35" s="7" t="n">
        <v>0.8956012171731751</v>
      </c>
    </row>
    <row r="36">
      <c r="A36" s="4" t="n">
        <v>46054</v>
      </c>
      <c r="B36" s="5" t="inlineStr">
        <is>
          <t>Feb</t>
        </is>
      </c>
      <c r="C36" s="5" t="inlineStr">
        <is>
          <t>North</t>
        </is>
      </c>
      <c r="D36" s="5" t="inlineStr">
        <is>
          <t>Retail</t>
        </is>
      </c>
      <c r="E36" s="5" t="inlineStr">
        <is>
          <t>Printer</t>
        </is>
      </c>
      <c r="F36" s="6" t="n">
        <v>368463</v>
      </c>
      <c r="G36" s="6" t="n">
        <v>39412.91</v>
      </c>
      <c r="H36" s="5" t="n">
        <v>263</v>
      </c>
      <c r="I36" s="7" t="n">
        <v>0.06127827422481624</v>
      </c>
      <c r="J36" s="7" t="n">
        <v>0.8743532036870316</v>
      </c>
    </row>
    <row r="37">
      <c r="A37" s="4" t="n">
        <v>46055</v>
      </c>
      <c r="B37" s="5" t="inlineStr">
        <is>
          <t>Feb</t>
        </is>
      </c>
      <c r="C37" s="5" t="inlineStr">
        <is>
          <t>North</t>
        </is>
      </c>
      <c r="D37" s="5" t="inlineStr">
        <is>
          <t>Retail</t>
        </is>
      </c>
      <c r="E37" s="5" t="inlineStr">
        <is>
          <t>Tablet</t>
        </is>
      </c>
      <c r="F37" s="6" t="n">
        <v>366600</v>
      </c>
      <c r="G37" s="6" t="n">
        <v>67490.10000000001</v>
      </c>
      <c r="H37" s="5" t="n">
        <v>200</v>
      </c>
      <c r="I37" s="7" t="n">
        <v>0.02881318897364665</v>
      </c>
      <c r="J37" s="7" t="n">
        <v>0.8945767507589509</v>
      </c>
    </row>
    <row r="38">
      <c r="A38" s="4" t="n">
        <v>46056</v>
      </c>
      <c r="B38" s="5" t="inlineStr">
        <is>
          <t>Feb</t>
        </is>
      </c>
      <c r="C38" s="5" t="inlineStr">
        <is>
          <t>East</t>
        </is>
      </c>
      <c r="D38" s="5" t="inlineStr">
        <is>
          <t>Retail</t>
        </is>
      </c>
      <c r="E38" s="5" t="inlineStr">
        <is>
          <t>Laptop</t>
        </is>
      </c>
      <c r="F38" s="6" t="n">
        <v>112142</v>
      </c>
      <c r="G38" s="6" t="n">
        <v>25640.03</v>
      </c>
      <c r="H38" s="5" t="n">
        <v>47</v>
      </c>
      <c r="I38" s="7" t="n">
        <v>0.02183987787710237</v>
      </c>
      <c r="J38" s="7" t="n">
        <v>0.891755426251158</v>
      </c>
    </row>
    <row r="39">
      <c r="A39" s="4" t="n">
        <v>46057</v>
      </c>
      <c r="B39" s="5" t="inlineStr">
        <is>
          <t>Feb</t>
        </is>
      </c>
      <c r="C39" s="5" t="inlineStr">
        <is>
          <t>East</t>
        </is>
      </c>
      <c r="D39" s="5" t="inlineStr">
        <is>
          <t>Retail</t>
        </is>
      </c>
      <c r="E39" s="5" t="inlineStr">
        <is>
          <t>Headset</t>
        </is>
      </c>
      <c r="F39" s="6" t="n">
        <v>238194</v>
      </c>
      <c r="G39" s="6" t="n">
        <v>25014.95</v>
      </c>
      <c r="H39" s="5" t="n">
        <v>198</v>
      </c>
      <c r="I39" s="7" t="n">
        <v>0.05868608909788543</v>
      </c>
      <c r="J39" s="7" t="n">
        <v>0.9483868085698723</v>
      </c>
    </row>
    <row r="40">
      <c r="A40" s="4" t="n">
        <v>46058</v>
      </c>
      <c r="B40" s="5" t="inlineStr">
        <is>
          <t>Feb</t>
        </is>
      </c>
      <c r="C40" s="5" t="inlineStr">
        <is>
          <t>East</t>
        </is>
      </c>
      <c r="D40" s="5" t="inlineStr">
        <is>
          <t>Partner</t>
        </is>
      </c>
      <c r="E40" s="5" t="inlineStr">
        <is>
          <t>Keyboard</t>
        </is>
      </c>
      <c r="F40" s="6" t="n">
        <v>302670</v>
      </c>
      <c r="G40" s="6" t="n">
        <v>72023.06</v>
      </c>
      <c r="H40" s="5" t="n">
        <v>354</v>
      </c>
      <c r="I40" s="7" t="n">
        <v>0.05780184876172899</v>
      </c>
      <c r="J40" s="7" t="n">
        <v>0.9175267358286688</v>
      </c>
    </row>
    <row r="41">
      <c r="A41" s="4" t="n">
        <v>46059</v>
      </c>
      <c r="B41" s="5" t="inlineStr">
        <is>
          <t>Feb</t>
        </is>
      </c>
      <c r="C41" s="5" t="inlineStr">
        <is>
          <t>East</t>
        </is>
      </c>
      <c r="D41" s="5" t="inlineStr">
        <is>
          <t>Retail</t>
        </is>
      </c>
      <c r="E41" s="5" t="inlineStr">
        <is>
          <t>Mouse</t>
        </is>
      </c>
      <c r="F41" s="6" t="n">
        <v>458954</v>
      </c>
      <c r="G41" s="6" t="n">
        <v>91714.67999999999</v>
      </c>
      <c r="H41" s="5" t="n">
        <v>386</v>
      </c>
      <c r="I41" s="7" t="n">
        <v>0.08145326277409977</v>
      </c>
      <c r="J41" s="7" t="n">
        <v>0.9081029175801586</v>
      </c>
    </row>
    <row r="42">
      <c r="A42" s="4" t="n">
        <v>46060</v>
      </c>
      <c r="B42" s="5" t="inlineStr">
        <is>
          <t>Feb</t>
        </is>
      </c>
      <c r="C42" s="5" t="inlineStr">
        <is>
          <t>East</t>
        </is>
      </c>
      <c r="D42" s="5" t="inlineStr">
        <is>
          <t>Partner</t>
        </is>
      </c>
      <c r="E42" s="5" t="inlineStr">
        <is>
          <t>Tablet</t>
        </is>
      </c>
      <c r="F42" s="6" t="n">
        <v>1035008</v>
      </c>
      <c r="G42" s="6" t="n">
        <v>238617.77</v>
      </c>
      <c r="H42" s="5" t="n">
        <v>416</v>
      </c>
      <c r="I42" s="7" t="n">
        <v>0.03740023167220864</v>
      </c>
      <c r="J42" s="7" t="n">
        <v>0.9893683706882248</v>
      </c>
    </row>
    <row r="43">
      <c r="A43" s="4" t="n">
        <v>46061</v>
      </c>
      <c r="B43" s="5" t="inlineStr">
        <is>
          <t>Feb</t>
        </is>
      </c>
      <c r="C43" s="5" t="inlineStr">
        <is>
          <t>East</t>
        </is>
      </c>
      <c r="D43" s="5" t="inlineStr">
        <is>
          <t>Partner</t>
        </is>
      </c>
      <c r="E43" s="5" t="inlineStr">
        <is>
          <t>Laptop</t>
        </is>
      </c>
      <c r="F43" s="6" t="n">
        <v>195432</v>
      </c>
      <c r="G43" s="6" t="n">
        <v>41600.23</v>
      </c>
      <c r="H43" s="5" t="n">
        <v>102</v>
      </c>
      <c r="I43" s="7" t="n">
        <v>0.05432450811643105</v>
      </c>
      <c r="J43" s="7" t="n">
        <v>0.9062353187177741</v>
      </c>
    </row>
    <row r="44">
      <c r="A44" s="4" t="n">
        <v>46062</v>
      </c>
      <c r="B44" s="5" t="inlineStr">
        <is>
          <t>Feb</t>
        </is>
      </c>
      <c r="C44" s="5" t="inlineStr">
        <is>
          <t>North</t>
        </is>
      </c>
      <c r="D44" s="5" t="inlineStr">
        <is>
          <t>Online</t>
        </is>
      </c>
      <c r="E44" s="5" t="inlineStr">
        <is>
          <t>Monitor</t>
        </is>
      </c>
      <c r="F44" s="6" t="n">
        <v>303783</v>
      </c>
      <c r="G44" s="6" t="n">
        <v>62417.84</v>
      </c>
      <c r="H44" s="5" t="n">
        <v>327</v>
      </c>
      <c r="I44" s="7" t="n">
        <v>0.02592495776340629</v>
      </c>
      <c r="J44" s="7" t="n">
        <v>0.8769670639973046</v>
      </c>
    </row>
    <row r="45">
      <c r="A45" s="4" t="n">
        <v>46063</v>
      </c>
      <c r="B45" s="5" t="inlineStr">
        <is>
          <t>Feb</t>
        </is>
      </c>
      <c r="C45" s="5" t="inlineStr">
        <is>
          <t>East</t>
        </is>
      </c>
      <c r="D45" s="5" t="inlineStr">
        <is>
          <t>Online</t>
        </is>
      </c>
      <c r="E45" s="5" t="inlineStr">
        <is>
          <t>Webcam</t>
        </is>
      </c>
      <c r="F45" s="6" t="n">
        <v>695045</v>
      </c>
      <c r="G45" s="6" t="n">
        <v>134604.47</v>
      </c>
      <c r="H45" s="5" t="n">
        <v>221</v>
      </c>
      <c r="I45" s="7" t="n">
        <v>0.05673451932863856</v>
      </c>
      <c r="J45" s="7" t="n">
        <v>0.908056145914385</v>
      </c>
    </row>
    <row r="46">
      <c r="A46" s="4" t="n">
        <v>46064</v>
      </c>
      <c r="B46" s="5" t="inlineStr">
        <is>
          <t>Feb</t>
        </is>
      </c>
      <c r="C46" s="5" t="inlineStr">
        <is>
          <t>West</t>
        </is>
      </c>
      <c r="D46" s="5" t="inlineStr">
        <is>
          <t>Partner</t>
        </is>
      </c>
      <c r="E46" s="5" t="inlineStr">
        <is>
          <t>Keyboard</t>
        </is>
      </c>
      <c r="F46" s="6" t="n">
        <v>529584</v>
      </c>
      <c r="G46" s="6" t="n">
        <v>67939.78</v>
      </c>
      <c r="H46" s="5" t="n">
        <v>236</v>
      </c>
      <c r="I46" s="7" t="n">
        <v>0.06991882000408277</v>
      </c>
      <c r="J46" s="7" t="n">
        <v>0.8847680607311066</v>
      </c>
    </row>
    <row r="47">
      <c r="A47" s="4" t="n">
        <v>46065</v>
      </c>
      <c r="B47" s="5" t="inlineStr">
        <is>
          <t>Feb</t>
        </is>
      </c>
      <c r="C47" s="5" t="inlineStr">
        <is>
          <t>West</t>
        </is>
      </c>
      <c r="D47" s="5" t="inlineStr">
        <is>
          <t>Retail</t>
        </is>
      </c>
      <c r="E47" s="5" t="inlineStr">
        <is>
          <t>Printer</t>
        </is>
      </c>
      <c r="F47" s="6" t="n">
        <v>157518</v>
      </c>
      <c r="G47" s="6" t="n">
        <v>31409.14</v>
      </c>
      <c r="H47" s="5" t="n">
        <v>54</v>
      </c>
      <c r="I47" s="7" t="n">
        <v>0.03329313817296366</v>
      </c>
      <c r="J47" s="7" t="n">
        <v>0.8622404327047785</v>
      </c>
    </row>
    <row r="48">
      <c r="A48" s="4" t="n">
        <v>46066</v>
      </c>
      <c r="B48" s="5" t="inlineStr">
        <is>
          <t>Feb</t>
        </is>
      </c>
      <c r="C48" s="5" t="inlineStr">
        <is>
          <t>East</t>
        </is>
      </c>
      <c r="D48" s="5" t="inlineStr">
        <is>
          <t>Online</t>
        </is>
      </c>
      <c r="E48" s="5" t="inlineStr">
        <is>
          <t>Monitor</t>
        </is>
      </c>
      <c r="F48" s="6" t="n">
        <v>843537</v>
      </c>
      <c r="G48" s="6" t="n">
        <v>132317.86</v>
      </c>
      <c r="H48" s="5" t="n">
        <v>317</v>
      </c>
      <c r="I48" s="7" t="n">
        <v>0.07425007046023942</v>
      </c>
      <c r="J48" s="7" t="n">
        <v>0.9346525854627131</v>
      </c>
    </row>
    <row r="49">
      <c r="A49" s="4" t="n">
        <v>46067</v>
      </c>
      <c r="B49" s="5" t="inlineStr">
        <is>
          <t>Feb</t>
        </is>
      </c>
      <c r="C49" s="5" t="inlineStr">
        <is>
          <t>East</t>
        </is>
      </c>
      <c r="D49" s="5" t="inlineStr">
        <is>
          <t>Partner</t>
        </is>
      </c>
      <c r="E49" s="5" t="inlineStr">
        <is>
          <t>Tablet</t>
        </is>
      </c>
      <c r="F49" s="6" t="n">
        <v>1043460</v>
      </c>
      <c r="G49" s="6" t="n">
        <v>230790.53</v>
      </c>
      <c r="H49" s="5" t="n">
        <v>372</v>
      </c>
      <c r="I49" s="7" t="n">
        <v>0.02176913460401548</v>
      </c>
      <c r="J49" s="7" t="n">
        <v>0.9734880527223666</v>
      </c>
    </row>
    <row r="50">
      <c r="A50" s="4" t="n">
        <v>46068</v>
      </c>
      <c r="B50" s="5" t="inlineStr">
        <is>
          <t>Feb</t>
        </is>
      </c>
      <c r="C50" s="5" t="inlineStr">
        <is>
          <t>South</t>
        </is>
      </c>
      <c r="D50" s="5" t="inlineStr">
        <is>
          <t>Partner</t>
        </is>
      </c>
      <c r="E50" s="5" t="inlineStr">
        <is>
          <t>Printer</t>
        </is>
      </c>
      <c r="F50" s="6" t="n">
        <v>611534</v>
      </c>
      <c r="G50" s="6" t="n">
        <v>101078.75</v>
      </c>
      <c r="H50" s="5" t="n">
        <v>361</v>
      </c>
      <c r="I50" s="7" t="n">
        <v>0.08012438444739514</v>
      </c>
      <c r="J50" s="7" t="n">
        <v>0.9823160976371407</v>
      </c>
    </row>
    <row r="51">
      <c r="A51" s="4" t="n">
        <v>46069</v>
      </c>
      <c r="B51" s="5" t="inlineStr">
        <is>
          <t>Feb</t>
        </is>
      </c>
      <c r="C51" s="5" t="inlineStr">
        <is>
          <t>South</t>
        </is>
      </c>
      <c r="D51" s="5" t="inlineStr">
        <is>
          <t>Partner</t>
        </is>
      </c>
      <c r="E51" s="5" t="inlineStr">
        <is>
          <t>Mouse</t>
        </is>
      </c>
      <c r="F51" s="6" t="n">
        <v>530456</v>
      </c>
      <c r="G51" s="6" t="n">
        <v>128455.22</v>
      </c>
      <c r="H51" s="5" t="n">
        <v>244</v>
      </c>
      <c r="I51" s="7" t="n">
        <v>0.04102709268555994</v>
      </c>
      <c r="J51" s="7" t="n">
        <v>0.8871322189315265</v>
      </c>
    </row>
    <row r="52">
      <c r="A52" s="4" t="n">
        <v>46070</v>
      </c>
      <c r="B52" s="5" t="inlineStr">
        <is>
          <t>Feb</t>
        </is>
      </c>
      <c r="C52" s="5" t="inlineStr">
        <is>
          <t>West</t>
        </is>
      </c>
      <c r="D52" s="5" t="inlineStr">
        <is>
          <t>Partner</t>
        </is>
      </c>
      <c r="E52" s="5" t="inlineStr">
        <is>
          <t>Mouse</t>
        </is>
      </c>
      <c r="F52" s="6" t="n">
        <v>575563</v>
      </c>
      <c r="G52" s="6" t="n">
        <v>110463.1</v>
      </c>
      <c r="H52" s="5" t="n">
        <v>223</v>
      </c>
      <c r="I52" s="7" t="n">
        <v>0.03058945228610719</v>
      </c>
      <c r="J52" s="7" t="n">
        <v>0.9447822402076621</v>
      </c>
    </row>
    <row r="53">
      <c r="A53" s="4" t="n">
        <v>46071</v>
      </c>
      <c r="B53" s="5" t="inlineStr">
        <is>
          <t>Feb</t>
        </is>
      </c>
      <c r="C53" s="5" t="inlineStr">
        <is>
          <t>East</t>
        </is>
      </c>
      <c r="D53" s="5" t="inlineStr">
        <is>
          <t>Partner</t>
        </is>
      </c>
      <c r="E53" s="5" t="inlineStr">
        <is>
          <t>Webcam</t>
        </is>
      </c>
      <c r="F53" s="6" t="n">
        <v>316830</v>
      </c>
      <c r="G53" s="6" t="n">
        <v>73823.81</v>
      </c>
      <c r="H53" s="5" t="n">
        <v>118</v>
      </c>
      <c r="I53" s="7" t="n">
        <v>0.07128954625511856</v>
      </c>
      <c r="J53" s="7" t="n">
        <v>0.9462807029731373</v>
      </c>
    </row>
    <row r="54">
      <c r="A54" s="4" t="n">
        <v>46072</v>
      </c>
      <c r="B54" s="5" t="inlineStr">
        <is>
          <t>Feb</t>
        </is>
      </c>
      <c r="C54" s="5" t="inlineStr">
        <is>
          <t>East</t>
        </is>
      </c>
      <c r="D54" s="5" t="inlineStr">
        <is>
          <t>Online</t>
        </is>
      </c>
      <c r="E54" s="5" t="inlineStr">
        <is>
          <t>Monitor</t>
        </is>
      </c>
      <c r="F54" s="6" t="n">
        <v>159692</v>
      </c>
      <c r="G54" s="6" t="n">
        <v>23897.43</v>
      </c>
      <c r="H54" s="5" t="n">
        <v>83</v>
      </c>
      <c r="I54" s="7" t="n">
        <v>0.08492035735797082</v>
      </c>
      <c r="J54" s="7" t="n">
        <v>0.8624775801376335</v>
      </c>
    </row>
    <row r="55">
      <c r="A55" s="4" t="n">
        <v>46073</v>
      </c>
      <c r="B55" s="5" t="inlineStr">
        <is>
          <t>Feb</t>
        </is>
      </c>
      <c r="C55" s="5" t="inlineStr">
        <is>
          <t>North</t>
        </is>
      </c>
      <c r="D55" s="5" t="inlineStr">
        <is>
          <t>Retail</t>
        </is>
      </c>
      <c r="E55" s="5" t="inlineStr">
        <is>
          <t>Webcam</t>
        </is>
      </c>
      <c r="F55" s="6" t="n">
        <v>465835</v>
      </c>
      <c r="G55" s="6" t="n">
        <v>64785.39</v>
      </c>
      <c r="H55" s="5" t="n">
        <v>151</v>
      </c>
      <c r="I55" s="7" t="n">
        <v>0.05411172435828</v>
      </c>
      <c r="J55" s="7" t="n">
        <v>0.9910968583430384</v>
      </c>
    </row>
    <row r="56">
      <c r="A56" s="4" t="n">
        <v>46074</v>
      </c>
      <c r="B56" s="5" t="inlineStr">
        <is>
          <t>Feb</t>
        </is>
      </c>
      <c r="C56" s="5" t="inlineStr">
        <is>
          <t>North</t>
        </is>
      </c>
      <c r="D56" s="5" t="inlineStr">
        <is>
          <t>Online</t>
        </is>
      </c>
      <c r="E56" s="5" t="inlineStr">
        <is>
          <t>Printer</t>
        </is>
      </c>
      <c r="F56" s="6" t="n">
        <v>497043</v>
      </c>
      <c r="G56" s="6" t="n">
        <v>121490.08</v>
      </c>
      <c r="H56" s="5" t="n">
        <v>369</v>
      </c>
      <c r="I56" s="7" t="n">
        <v>0.06708258704898648</v>
      </c>
      <c r="J56" s="7" t="n">
        <v>0.9050373422645867</v>
      </c>
    </row>
    <row r="57">
      <c r="A57" s="4" t="n">
        <v>46075</v>
      </c>
      <c r="B57" s="5" t="inlineStr">
        <is>
          <t>Feb</t>
        </is>
      </c>
      <c r="C57" s="5" t="inlineStr">
        <is>
          <t>South</t>
        </is>
      </c>
      <c r="D57" s="5" t="inlineStr">
        <is>
          <t>Online</t>
        </is>
      </c>
      <c r="E57" s="5" t="inlineStr">
        <is>
          <t>Mouse</t>
        </is>
      </c>
      <c r="F57" s="6" t="n">
        <v>340983</v>
      </c>
      <c r="G57" s="6" t="n">
        <v>32957.43</v>
      </c>
      <c r="H57" s="5" t="n">
        <v>173</v>
      </c>
      <c r="I57" s="7" t="n">
        <v>0.03778455361916181</v>
      </c>
      <c r="J57" s="7" t="n">
        <v>0.8985531366484251</v>
      </c>
    </row>
    <row r="58">
      <c r="A58" s="4" t="n">
        <v>46076</v>
      </c>
      <c r="B58" s="5" t="inlineStr">
        <is>
          <t>Feb</t>
        </is>
      </c>
      <c r="C58" s="5" t="inlineStr">
        <is>
          <t>North</t>
        </is>
      </c>
      <c r="D58" s="5" t="inlineStr">
        <is>
          <t>Partner</t>
        </is>
      </c>
      <c r="E58" s="5" t="inlineStr">
        <is>
          <t>Headset</t>
        </is>
      </c>
      <c r="F58" s="6" t="n">
        <v>247428</v>
      </c>
      <c r="G58" s="6" t="n">
        <v>29738.75</v>
      </c>
      <c r="H58" s="5" t="n">
        <v>108</v>
      </c>
      <c r="I58" s="7" t="n">
        <v>0.08092755975810993</v>
      </c>
      <c r="J58" s="7" t="n">
        <v>0.9080138462009826</v>
      </c>
    </row>
    <row r="59">
      <c r="A59" s="4" t="n">
        <v>46077</v>
      </c>
      <c r="B59" s="5" t="inlineStr">
        <is>
          <t>Feb</t>
        </is>
      </c>
      <c r="C59" s="5" t="inlineStr">
        <is>
          <t>North</t>
        </is>
      </c>
      <c r="D59" s="5" t="inlineStr">
        <is>
          <t>Online</t>
        </is>
      </c>
      <c r="E59" s="5" t="inlineStr">
        <is>
          <t>Tablet</t>
        </is>
      </c>
      <c r="F59" s="6" t="n">
        <v>440685</v>
      </c>
      <c r="G59" s="6" t="n">
        <v>90568.17999999999</v>
      </c>
      <c r="H59" s="5" t="n">
        <v>315</v>
      </c>
      <c r="I59" s="7" t="n">
        <v>0.05411945988012816</v>
      </c>
      <c r="J59" s="7" t="n">
        <v>0.8821316291305157</v>
      </c>
    </row>
    <row r="60">
      <c r="A60" s="4" t="n">
        <v>46078</v>
      </c>
      <c r="B60" s="5" t="inlineStr">
        <is>
          <t>Feb</t>
        </is>
      </c>
      <c r="C60" s="5" t="inlineStr">
        <is>
          <t>North</t>
        </is>
      </c>
      <c r="D60" s="5" t="inlineStr">
        <is>
          <t>Retail</t>
        </is>
      </c>
      <c r="E60" s="5" t="inlineStr">
        <is>
          <t>Monitor</t>
        </is>
      </c>
      <c r="F60" s="6" t="n">
        <v>278091</v>
      </c>
      <c r="G60" s="6" t="n">
        <v>54737.33</v>
      </c>
      <c r="H60" s="5" t="n">
        <v>99</v>
      </c>
      <c r="I60" s="7" t="n">
        <v>0.04265576757697365</v>
      </c>
      <c r="J60" s="7" t="n">
        <v>0.8891858319702582</v>
      </c>
    </row>
    <row r="61">
      <c r="A61" s="4" t="n">
        <v>46079</v>
      </c>
      <c r="B61" s="5" t="inlineStr">
        <is>
          <t>Feb</t>
        </is>
      </c>
      <c r="C61" s="5" t="inlineStr">
        <is>
          <t>South</t>
        </is>
      </c>
      <c r="D61" s="5" t="inlineStr">
        <is>
          <t>Online</t>
        </is>
      </c>
      <c r="E61" s="5" t="inlineStr">
        <is>
          <t>Tablet</t>
        </is>
      </c>
      <c r="F61" s="6" t="n">
        <v>372290</v>
      </c>
      <c r="G61" s="6" t="n">
        <v>69842.71000000001</v>
      </c>
      <c r="H61" s="5" t="n">
        <v>118</v>
      </c>
      <c r="I61" s="7" t="n">
        <v>0.05046584139164809</v>
      </c>
      <c r="J61" s="7" t="n">
        <v>0.9779869458676775</v>
      </c>
    </row>
    <row r="62">
      <c r="A62" s="4" t="n">
        <v>46080</v>
      </c>
      <c r="B62" s="5" t="inlineStr">
        <is>
          <t>Feb</t>
        </is>
      </c>
      <c r="C62" s="5" t="inlineStr">
        <is>
          <t>East</t>
        </is>
      </c>
      <c r="D62" s="5" t="inlineStr">
        <is>
          <t>Partner</t>
        </is>
      </c>
      <c r="E62" s="5" t="inlineStr">
        <is>
          <t>Monitor</t>
        </is>
      </c>
      <c r="F62" s="6" t="n">
        <v>411588</v>
      </c>
      <c r="G62" s="6" t="n">
        <v>62146.4</v>
      </c>
      <c r="H62" s="5" t="n">
        <v>412</v>
      </c>
      <c r="I62" s="7" t="n">
        <v>0.04130253743964081</v>
      </c>
      <c r="J62" s="7" t="n">
        <v>0.9827824324915645</v>
      </c>
    </row>
    <row r="63">
      <c r="A63" s="4" t="n">
        <v>46081</v>
      </c>
      <c r="B63" s="5" t="inlineStr">
        <is>
          <t>Feb</t>
        </is>
      </c>
      <c r="C63" s="5" t="inlineStr">
        <is>
          <t>East</t>
        </is>
      </c>
      <c r="D63" s="5" t="inlineStr">
        <is>
          <t>Partner</t>
        </is>
      </c>
      <c r="E63" s="5" t="inlineStr">
        <is>
          <t>Headset</t>
        </is>
      </c>
      <c r="F63" s="6" t="n">
        <v>300475</v>
      </c>
      <c r="G63" s="6" t="n">
        <v>51991.61</v>
      </c>
      <c r="H63" s="5" t="n">
        <v>101</v>
      </c>
      <c r="I63" s="7" t="n">
        <v>0.07948511357766477</v>
      </c>
      <c r="J63" s="7" t="n">
        <v>0.9065910549547089</v>
      </c>
    </row>
    <row r="64">
      <c r="A64" s="4" t="n">
        <v>46082</v>
      </c>
      <c r="B64" s="5" t="inlineStr">
        <is>
          <t>Mar</t>
        </is>
      </c>
      <c r="C64" s="5" t="inlineStr">
        <is>
          <t>East</t>
        </is>
      </c>
      <c r="D64" s="5" t="inlineStr">
        <is>
          <t>Retail</t>
        </is>
      </c>
      <c r="E64" s="5" t="inlineStr">
        <is>
          <t>Keyboard</t>
        </is>
      </c>
      <c r="F64" s="6" t="n">
        <v>79425</v>
      </c>
      <c r="G64" s="6" t="n">
        <v>17421.64</v>
      </c>
      <c r="H64" s="5" t="n">
        <v>75</v>
      </c>
      <c r="I64" s="7" t="n">
        <v>0.02927888183128189</v>
      </c>
      <c r="J64" s="7" t="n">
        <v>0.918400543729564</v>
      </c>
    </row>
    <row r="65">
      <c r="A65" s="4" t="n">
        <v>46083</v>
      </c>
      <c r="B65" s="5" t="inlineStr">
        <is>
          <t>Mar</t>
        </is>
      </c>
      <c r="C65" s="5" t="inlineStr">
        <is>
          <t>West</t>
        </is>
      </c>
      <c r="D65" s="5" t="inlineStr">
        <is>
          <t>Retail</t>
        </is>
      </c>
      <c r="E65" s="5" t="inlineStr">
        <is>
          <t>Tablet</t>
        </is>
      </c>
      <c r="F65" s="6" t="n">
        <v>672966</v>
      </c>
      <c r="G65" s="6" t="n">
        <v>95312.83</v>
      </c>
      <c r="H65" s="5" t="n">
        <v>327</v>
      </c>
      <c r="I65" s="7" t="n">
        <v>0.02984179861966178</v>
      </c>
      <c r="J65" s="7" t="n">
        <v>0.9688609881513264</v>
      </c>
    </row>
    <row r="66">
      <c r="A66" s="4" t="n">
        <v>46084</v>
      </c>
      <c r="B66" s="5" t="inlineStr">
        <is>
          <t>Mar</t>
        </is>
      </c>
      <c r="C66" s="5" t="inlineStr">
        <is>
          <t>East</t>
        </is>
      </c>
      <c r="D66" s="5" t="inlineStr">
        <is>
          <t>Retail</t>
        </is>
      </c>
      <c r="E66" s="5" t="inlineStr">
        <is>
          <t>Webcam</t>
        </is>
      </c>
      <c r="F66" s="6" t="n">
        <v>323304</v>
      </c>
      <c r="G66" s="6" t="n">
        <v>68350.36</v>
      </c>
      <c r="H66" s="5" t="n">
        <v>152</v>
      </c>
      <c r="I66" s="7" t="n">
        <v>0.03226266109454156</v>
      </c>
      <c r="J66" s="7" t="n">
        <v>0.9196256902091873</v>
      </c>
    </row>
    <row r="67">
      <c r="A67" s="4" t="n">
        <v>46085</v>
      </c>
      <c r="B67" s="5" t="inlineStr">
        <is>
          <t>Mar</t>
        </is>
      </c>
      <c r="C67" s="5" t="inlineStr">
        <is>
          <t>East</t>
        </is>
      </c>
      <c r="D67" s="5" t="inlineStr">
        <is>
          <t>Online</t>
        </is>
      </c>
      <c r="E67" s="5" t="inlineStr">
        <is>
          <t>Tablet</t>
        </is>
      </c>
      <c r="F67" s="6" t="n">
        <v>403260</v>
      </c>
      <c r="G67" s="6" t="n">
        <v>64121.28</v>
      </c>
      <c r="H67" s="5" t="n">
        <v>330</v>
      </c>
      <c r="I67" s="7" t="n">
        <v>0.03585254197090169</v>
      </c>
      <c r="J67" s="7" t="n">
        <v>0.977015572749083</v>
      </c>
    </row>
    <row r="68">
      <c r="A68" s="4" t="n">
        <v>46086</v>
      </c>
      <c r="B68" s="5" t="inlineStr">
        <is>
          <t>Mar</t>
        </is>
      </c>
      <c r="C68" s="5" t="inlineStr">
        <is>
          <t>East</t>
        </is>
      </c>
      <c r="D68" s="5" t="inlineStr">
        <is>
          <t>Online</t>
        </is>
      </c>
      <c r="E68" s="5" t="inlineStr">
        <is>
          <t>Tablet</t>
        </is>
      </c>
      <c r="F68" s="6" t="n">
        <v>225330</v>
      </c>
      <c r="G68" s="6" t="n">
        <v>39932.69</v>
      </c>
      <c r="H68" s="5" t="n">
        <v>174</v>
      </c>
      <c r="I68" s="7" t="n">
        <v>0.0831407185987543</v>
      </c>
      <c r="J68" s="7" t="n">
        <v>0.9357754909938349</v>
      </c>
    </row>
    <row r="69">
      <c r="A69" s="4" t="n">
        <v>46087</v>
      </c>
      <c r="B69" s="5" t="inlineStr">
        <is>
          <t>Mar</t>
        </is>
      </c>
      <c r="C69" s="5" t="inlineStr">
        <is>
          <t>West</t>
        </is>
      </c>
      <c r="D69" s="5" t="inlineStr">
        <is>
          <t>Partner</t>
        </is>
      </c>
      <c r="E69" s="5" t="inlineStr">
        <is>
          <t>Webcam</t>
        </is>
      </c>
      <c r="F69" s="6" t="n">
        <v>185091</v>
      </c>
      <c r="G69" s="6" t="n">
        <v>25349.16</v>
      </c>
      <c r="H69" s="5" t="n">
        <v>103</v>
      </c>
      <c r="I69" s="7" t="n">
        <v>0.04476317025315235</v>
      </c>
      <c r="J69" s="7" t="n">
        <v>0.9342141103500308</v>
      </c>
    </row>
    <row r="70">
      <c r="A70" s="4" t="n">
        <v>46088</v>
      </c>
      <c r="B70" s="5" t="inlineStr">
        <is>
          <t>Mar</t>
        </is>
      </c>
      <c r="C70" s="5" t="inlineStr">
        <is>
          <t>West</t>
        </is>
      </c>
      <c r="D70" s="5" t="inlineStr">
        <is>
          <t>Partner</t>
        </is>
      </c>
      <c r="E70" s="5" t="inlineStr">
        <is>
          <t>Keyboard</t>
        </is>
      </c>
      <c r="F70" s="6" t="n">
        <v>494416</v>
      </c>
      <c r="G70" s="6" t="n">
        <v>71143.46000000001</v>
      </c>
      <c r="H70" s="5" t="n">
        <v>208</v>
      </c>
      <c r="I70" s="7" t="n">
        <v>0.04643723483826778</v>
      </c>
      <c r="J70" s="7" t="n">
        <v>0.947510423880891</v>
      </c>
    </row>
    <row r="71">
      <c r="A71" s="4" t="n">
        <v>46089</v>
      </c>
      <c r="B71" s="5" t="inlineStr">
        <is>
          <t>Mar</t>
        </is>
      </c>
      <c r="C71" s="5" t="inlineStr">
        <is>
          <t>North</t>
        </is>
      </c>
      <c r="D71" s="5" t="inlineStr">
        <is>
          <t>Retail</t>
        </is>
      </c>
      <c r="E71" s="5" t="inlineStr">
        <is>
          <t>Mouse</t>
        </is>
      </c>
      <c r="F71" s="6" t="n">
        <v>163590</v>
      </c>
      <c r="G71" s="6" t="n">
        <v>33684.78</v>
      </c>
      <c r="H71" s="5" t="n">
        <v>70</v>
      </c>
      <c r="I71" s="7" t="n">
        <v>0.02675014561697034</v>
      </c>
      <c r="J71" s="7" t="n">
        <v>0.9381584411262683</v>
      </c>
    </row>
    <row r="72">
      <c r="A72" s="4" t="n">
        <v>46090</v>
      </c>
      <c r="B72" s="5" t="inlineStr">
        <is>
          <t>Mar</t>
        </is>
      </c>
      <c r="C72" s="5" t="inlineStr">
        <is>
          <t>West</t>
        </is>
      </c>
      <c r="D72" s="5" t="inlineStr">
        <is>
          <t>Retail</t>
        </is>
      </c>
      <c r="E72" s="5" t="inlineStr">
        <is>
          <t>Tablet</t>
        </is>
      </c>
      <c r="F72" s="6" t="n">
        <v>846494</v>
      </c>
      <c r="G72" s="6" t="n">
        <v>188994.6</v>
      </c>
      <c r="H72" s="5" t="n">
        <v>353</v>
      </c>
      <c r="I72" s="7" t="n">
        <v>0.01878751892978104</v>
      </c>
      <c r="J72" s="7" t="n">
        <v>0.9622314614033892</v>
      </c>
    </row>
    <row r="73">
      <c r="A73" s="4" t="n">
        <v>46091</v>
      </c>
      <c r="B73" s="5" t="inlineStr">
        <is>
          <t>Mar</t>
        </is>
      </c>
      <c r="C73" s="5" t="inlineStr">
        <is>
          <t>East</t>
        </is>
      </c>
      <c r="D73" s="5" t="inlineStr">
        <is>
          <t>Retail</t>
        </is>
      </c>
      <c r="E73" s="5" t="inlineStr">
        <is>
          <t>Laptop</t>
        </is>
      </c>
      <c r="F73" s="6" t="n">
        <v>435810</v>
      </c>
      <c r="G73" s="6" t="n">
        <v>85291.61</v>
      </c>
      <c r="H73" s="5" t="n">
        <v>365</v>
      </c>
      <c r="I73" s="7" t="n">
        <v>0.07024460819377022</v>
      </c>
      <c r="J73" s="7" t="n">
        <v>0.9667505439498532</v>
      </c>
    </row>
    <row r="74">
      <c r="A74" s="4" t="n">
        <v>46092</v>
      </c>
      <c r="B74" s="5" t="inlineStr">
        <is>
          <t>Mar</t>
        </is>
      </c>
      <c r="C74" s="5" t="inlineStr">
        <is>
          <t>East</t>
        </is>
      </c>
      <c r="D74" s="5" t="inlineStr">
        <is>
          <t>Online</t>
        </is>
      </c>
      <c r="E74" s="5" t="inlineStr">
        <is>
          <t>Keyboard</t>
        </is>
      </c>
      <c r="F74" s="6" t="n">
        <v>555702</v>
      </c>
      <c r="G74" s="6" t="n">
        <v>105390.06</v>
      </c>
      <c r="H74" s="5" t="n">
        <v>303</v>
      </c>
      <c r="I74" s="7" t="n">
        <v>0.05411040190993921</v>
      </c>
      <c r="J74" s="7" t="n">
        <v>0.8615380735147682</v>
      </c>
    </row>
    <row r="75">
      <c r="A75" s="4" t="n">
        <v>46093</v>
      </c>
      <c r="B75" s="5" t="inlineStr">
        <is>
          <t>Mar</t>
        </is>
      </c>
      <c r="C75" s="5" t="inlineStr">
        <is>
          <t>South</t>
        </is>
      </c>
      <c r="D75" s="5" t="inlineStr">
        <is>
          <t>Retail</t>
        </is>
      </c>
      <c r="E75" s="5" t="inlineStr">
        <is>
          <t>Keyboard</t>
        </is>
      </c>
      <c r="F75" s="6" t="n">
        <v>117744</v>
      </c>
      <c r="G75" s="6" t="n">
        <v>16813.53</v>
      </c>
      <c r="H75" s="5" t="n">
        <v>88</v>
      </c>
      <c r="I75" s="7" t="n">
        <v>0.05860749931708407</v>
      </c>
      <c r="J75" s="7" t="n">
        <v>0.8830549832824218</v>
      </c>
    </row>
    <row r="76">
      <c r="A76" s="4" t="n">
        <v>46094</v>
      </c>
      <c r="B76" s="5" t="inlineStr">
        <is>
          <t>Mar</t>
        </is>
      </c>
      <c r="C76" s="5" t="inlineStr">
        <is>
          <t>South</t>
        </is>
      </c>
      <c r="D76" s="5" t="inlineStr">
        <is>
          <t>Online</t>
        </is>
      </c>
      <c r="E76" s="5" t="inlineStr">
        <is>
          <t>Laptop</t>
        </is>
      </c>
      <c r="F76" s="6" t="n">
        <v>206910</v>
      </c>
      <c r="G76" s="6" t="n">
        <v>37413.48</v>
      </c>
      <c r="H76" s="5" t="n">
        <v>198</v>
      </c>
      <c r="I76" s="7" t="n">
        <v>0.03614860346849974</v>
      </c>
      <c r="J76" s="7" t="n">
        <v>0.9166373170614591</v>
      </c>
    </row>
    <row r="77">
      <c r="A77" s="4" t="n">
        <v>46095</v>
      </c>
      <c r="B77" s="5" t="inlineStr">
        <is>
          <t>Mar</t>
        </is>
      </c>
      <c r="C77" s="5" t="inlineStr">
        <is>
          <t>South</t>
        </is>
      </c>
      <c r="D77" s="5" t="inlineStr">
        <is>
          <t>Retail</t>
        </is>
      </c>
      <c r="E77" s="5" t="inlineStr">
        <is>
          <t>Tablet</t>
        </is>
      </c>
      <c r="F77" s="6" t="n">
        <v>395702</v>
      </c>
      <c r="G77" s="6" t="n">
        <v>82100.28999999999</v>
      </c>
      <c r="H77" s="5" t="n">
        <v>134</v>
      </c>
      <c r="I77" s="7" t="n">
        <v>0.04101839356330517</v>
      </c>
      <c r="J77" s="7" t="n">
        <v>0.9029054699606587</v>
      </c>
    </row>
    <row r="78">
      <c r="A78" s="4" t="n">
        <v>46096</v>
      </c>
      <c r="B78" s="5" t="inlineStr">
        <is>
          <t>Mar</t>
        </is>
      </c>
      <c r="C78" s="5" t="inlineStr">
        <is>
          <t>East</t>
        </is>
      </c>
      <c r="D78" s="5" t="inlineStr">
        <is>
          <t>Retail</t>
        </is>
      </c>
      <c r="E78" s="5" t="inlineStr">
        <is>
          <t>Laptop</t>
        </is>
      </c>
      <c r="F78" s="6" t="n">
        <v>497325</v>
      </c>
      <c r="G78" s="6" t="n">
        <v>83615.53999999999</v>
      </c>
      <c r="H78" s="5" t="n">
        <v>285</v>
      </c>
      <c r="I78" s="7" t="n">
        <v>0.06112102366112411</v>
      </c>
      <c r="J78" s="7" t="n">
        <v>0.8779866314898395</v>
      </c>
    </row>
    <row r="79">
      <c r="A79" s="4" t="n">
        <v>46097</v>
      </c>
      <c r="B79" s="5" t="inlineStr">
        <is>
          <t>Mar</t>
        </is>
      </c>
      <c r="C79" s="5" t="inlineStr">
        <is>
          <t>West</t>
        </is>
      </c>
      <c r="D79" s="5" t="inlineStr">
        <is>
          <t>Online</t>
        </is>
      </c>
      <c r="E79" s="5" t="inlineStr">
        <is>
          <t>Tablet</t>
        </is>
      </c>
      <c r="F79" s="6" t="n">
        <v>628914</v>
      </c>
      <c r="G79" s="6" t="n">
        <v>82146.50999999999</v>
      </c>
      <c r="H79" s="5" t="n">
        <v>286</v>
      </c>
      <c r="I79" s="7" t="n">
        <v>0.03633353127780318</v>
      </c>
      <c r="J79" s="7" t="n">
        <v>0.9737033610704517</v>
      </c>
    </row>
    <row r="80">
      <c r="A80" s="4" t="n">
        <v>46098</v>
      </c>
      <c r="B80" s="5" t="inlineStr">
        <is>
          <t>Mar</t>
        </is>
      </c>
      <c r="C80" s="5" t="inlineStr">
        <is>
          <t>North</t>
        </is>
      </c>
      <c r="D80" s="5" t="inlineStr">
        <is>
          <t>Retail</t>
        </is>
      </c>
      <c r="E80" s="5" t="inlineStr">
        <is>
          <t>Monitor</t>
        </is>
      </c>
      <c r="F80" s="6" t="n">
        <v>474580</v>
      </c>
      <c r="G80" s="6" t="n">
        <v>59287.89</v>
      </c>
      <c r="H80" s="5" t="n">
        <v>244</v>
      </c>
      <c r="I80" s="7" t="n">
        <v>0.06663468797786742</v>
      </c>
      <c r="J80" s="7" t="n">
        <v>0.9471365155596775</v>
      </c>
    </row>
    <row r="81">
      <c r="A81" s="4" t="n">
        <v>46099</v>
      </c>
      <c r="B81" s="5" t="inlineStr">
        <is>
          <t>Mar</t>
        </is>
      </c>
      <c r="C81" s="5" t="inlineStr">
        <is>
          <t>East</t>
        </is>
      </c>
      <c r="D81" s="5" t="inlineStr">
        <is>
          <t>Retail</t>
        </is>
      </c>
      <c r="E81" s="5" t="inlineStr">
        <is>
          <t>Monitor</t>
        </is>
      </c>
      <c r="F81" s="6" t="n">
        <v>864000</v>
      </c>
      <c r="G81" s="6" t="n">
        <v>183630.76</v>
      </c>
      <c r="H81" s="5" t="n">
        <v>300</v>
      </c>
      <c r="I81" s="7" t="n">
        <v>0.07515433484424268</v>
      </c>
      <c r="J81" s="7" t="n">
        <v>0.9915512493664755</v>
      </c>
    </row>
    <row r="82">
      <c r="A82" s="4" t="n">
        <v>46100</v>
      </c>
      <c r="B82" s="5" t="inlineStr">
        <is>
          <t>Mar</t>
        </is>
      </c>
      <c r="C82" s="5" t="inlineStr">
        <is>
          <t>East</t>
        </is>
      </c>
      <c r="D82" s="5" t="inlineStr">
        <is>
          <t>Retail</t>
        </is>
      </c>
      <c r="E82" s="5" t="inlineStr">
        <is>
          <t>Printer</t>
        </is>
      </c>
      <c r="F82" s="6" t="n">
        <v>700695</v>
      </c>
      <c r="G82" s="6" t="n">
        <v>117911.23</v>
      </c>
      <c r="H82" s="5" t="n">
        <v>345</v>
      </c>
      <c r="I82" s="7" t="n">
        <v>0.02323055320421882</v>
      </c>
      <c r="J82" s="7" t="n">
        <v>0.935875784244928</v>
      </c>
    </row>
    <row r="83">
      <c r="A83" s="4" t="n">
        <v>46101</v>
      </c>
      <c r="B83" s="5" t="inlineStr">
        <is>
          <t>Mar</t>
        </is>
      </c>
      <c r="C83" s="5" t="inlineStr">
        <is>
          <t>West</t>
        </is>
      </c>
      <c r="D83" s="5" t="inlineStr">
        <is>
          <t>Partner</t>
        </is>
      </c>
      <c r="E83" s="5" t="inlineStr">
        <is>
          <t>Monitor</t>
        </is>
      </c>
      <c r="F83" s="6" t="n">
        <v>226266</v>
      </c>
      <c r="G83" s="6" t="n">
        <v>55261.57</v>
      </c>
      <c r="H83" s="5" t="n">
        <v>129</v>
      </c>
      <c r="I83" s="7" t="n">
        <v>0.08000879968573739</v>
      </c>
      <c r="J83" s="7" t="n">
        <v>0.992239580668538</v>
      </c>
    </row>
    <row r="84">
      <c r="A84" s="4" t="n">
        <v>46102</v>
      </c>
      <c r="B84" s="5" t="inlineStr">
        <is>
          <t>Mar</t>
        </is>
      </c>
      <c r="C84" s="5" t="inlineStr">
        <is>
          <t>West</t>
        </is>
      </c>
      <c r="D84" s="5" t="inlineStr">
        <is>
          <t>Partner</t>
        </is>
      </c>
      <c r="E84" s="5" t="inlineStr">
        <is>
          <t>Printer</t>
        </is>
      </c>
      <c r="F84" s="6" t="n">
        <v>140346</v>
      </c>
      <c r="G84" s="6" t="n">
        <v>18040.53</v>
      </c>
      <c r="H84" s="5" t="n">
        <v>54</v>
      </c>
      <c r="I84" s="7" t="n">
        <v>0.05241666018333765</v>
      </c>
      <c r="J84" s="7" t="n">
        <v>0.9668769971003919</v>
      </c>
    </row>
    <row r="85">
      <c r="A85" s="4" t="n">
        <v>46103</v>
      </c>
      <c r="B85" s="5" t="inlineStr">
        <is>
          <t>Mar</t>
        </is>
      </c>
      <c r="C85" s="5" t="inlineStr">
        <is>
          <t>East</t>
        </is>
      </c>
      <c r="D85" s="5" t="inlineStr">
        <is>
          <t>Retail</t>
        </is>
      </c>
      <c r="E85" s="5" t="inlineStr">
        <is>
          <t>Webcam</t>
        </is>
      </c>
      <c r="F85" s="6" t="n">
        <v>480778</v>
      </c>
      <c r="G85" s="6" t="n">
        <v>53786.43</v>
      </c>
      <c r="H85" s="5" t="n">
        <v>178</v>
      </c>
      <c r="I85" s="7" t="n">
        <v>0.05369109364018483</v>
      </c>
      <c r="J85" s="7" t="n">
        <v>0.9580304575545912</v>
      </c>
    </row>
    <row r="86">
      <c r="A86" s="4" t="n">
        <v>46104</v>
      </c>
      <c r="B86" s="5" t="inlineStr">
        <is>
          <t>Mar</t>
        </is>
      </c>
      <c r="C86" s="5" t="inlineStr">
        <is>
          <t>South</t>
        </is>
      </c>
      <c r="D86" s="5" t="inlineStr">
        <is>
          <t>Partner</t>
        </is>
      </c>
      <c r="E86" s="5" t="inlineStr">
        <is>
          <t>Printer</t>
        </is>
      </c>
      <c r="F86" s="6" t="n">
        <v>179792</v>
      </c>
      <c r="G86" s="6" t="n">
        <v>33636.13</v>
      </c>
      <c r="H86" s="5" t="n">
        <v>136</v>
      </c>
      <c r="I86" s="7" t="n">
        <v>0.02679419777110316</v>
      </c>
      <c r="J86" s="7" t="n">
        <v>0.9701449334463914</v>
      </c>
    </row>
    <row r="87">
      <c r="A87" s="4" t="n">
        <v>46105</v>
      </c>
      <c r="B87" s="5" t="inlineStr">
        <is>
          <t>Mar</t>
        </is>
      </c>
      <c r="C87" s="5" t="inlineStr">
        <is>
          <t>North</t>
        </is>
      </c>
      <c r="D87" s="5" t="inlineStr">
        <is>
          <t>Retail</t>
        </is>
      </c>
      <c r="E87" s="5" t="inlineStr">
        <is>
          <t>Mouse</t>
        </is>
      </c>
      <c r="F87" s="6" t="n">
        <v>1145296</v>
      </c>
      <c r="G87" s="6" t="n">
        <v>114269</v>
      </c>
      <c r="H87" s="5" t="n">
        <v>376</v>
      </c>
      <c r="I87" s="7" t="n">
        <v>0.08104516736356163</v>
      </c>
      <c r="J87" s="7" t="n">
        <v>0.8841631531252747</v>
      </c>
    </row>
    <row r="88">
      <c r="A88" s="4" t="n">
        <v>46106</v>
      </c>
      <c r="B88" s="5" t="inlineStr">
        <is>
          <t>Mar</t>
        </is>
      </c>
      <c r="C88" s="5" t="inlineStr">
        <is>
          <t>South</t>
        </is>
      </c>
      <c r="D88" s="5" t="inlineStr">
        <is>
          <t>Retail</t>
        </is>
      </c>
      <c r="E88" s="5" t="inlineStr">
        <is>
          <t>Printer</t>
        </is>
      </c>
      <c r="F88" s="6" t="n">
        <v>512688</v>
      </c>
      <c r="G88" s="6" t="n">
        <v>102984.69</v>
      </c>
      <c r="H88" s="5" t="n">
        <v>176</v>
      </c>
      <c r="I88" s="7" t="n">
        <v>0.03050032836518979</v>
      </c>
      <c r="J88" s="7" t="n">
        <v>0.8672417760002121</v>
      </c>
    </row>
    <row r="89">
      <c r="A89" s="4" t="n">
        <v>46107</v>
      </c>
      <c r="B89" s="5" t="inlineStr">
        <is>
          <t>Mar</t>
        </is>
      </c>
      <c r="C89" s="5" t="inlineStr">
        <is>
          <t>West</t>
        </is>
      </c>
      <c r="D89" s="5" t="inlineStr">
        <is>
          <t>Partner</t>
        </is>
      </c>
      <c r="E89" s="5" t="inlineStr">
        <is>
          <t>Laptop</t>
        </is>
      </c>
      <c r="F89" s="6" t="n">
        <v>179550</v>
      </c>
      <c r="G89" s="6" t="n">
        <v>28050.51</v>
      </c>
      <c r="H89" s="5" t="n">
        <v>135</v>
      </c>
      <c r="I89" s="7" t="n">
        <v>0.03814342784734628</v>
      </c>
      <c r="J89" s="7" t="n">
        <v>0.929467955895969</v>
      </c>
    </row>
    <row r="90">
      <c r="A90" s="4" t="n">
        <v>46108</v>
      </c>
      <c r="B90" s="5" t="inlineStr">
        <is>
          <t>Mar</t>
        </is>
      </c>
      <c r="C90" s="5" t="inlineStr">
        <is>
          <t>West</t>
        </is>
      </c>
      <c r="D90" s="5" t="inlineStr">
        <is>
          <t>Online</t>
        </is>
      </c>
      <c r="E90" s="5" t="inlineStr">
        <is>
          <t>Tablet</t>
        </is>
      </c>
      <c r="F90" s="6" t="n">
        <v>341092</v>
      </c>
      <c r="G90" s="6" t="n">
        <v>56110.44</v>
      </c>
      <c r="H90" s="5" t="n">
        <v>317</v>
      </c>
      <c r="I90" s="7" t="n">
        <v>0.02775827426383449</v>
      </c>
      <c r="J90" s="7" t="n">
        <v>0.9286121283876662</v>
      </c>
    </row>
    <row r="91">
      <c r="A91" s="4" t="n">
        <v>46109</v>
      </c>
      <c r="B91" s="5" t="inlineStr">
        <is>
          <t>Mar</t>
        </is>
      </c>
      <c r="C91" s="5" t="inlineStr">
        <is>
          <t>East</t>
        </is>
      </c>
      <c r="D91" s="5" t="inlineStr">
        <is>
          <t>Partner</t>
        </is>
      </c>
      <c r="E91" s="5" t="inlineStr">
        <is>
          <t>Mouse</t>
        </is>
      </c>
      <c r="F91" s="6" t="n">
        <v>205130</v>
      </c>
      <c r="G91" s="6" t="n">
        <v>20370.86</v>
      </c>
      <c r="H91" s="5" t="n">
        <v>281</v>
      </c>
      <c r="I91" s="7" t="n">
        <v>0.04002770247833973</v>
      </c>
      <c r="J91" s="7" t="n">
        <v>0.8637918544718206</v>
      </c>
    </row>
    <row r="92">
      <c r="A92" s="4" t="n">
        <v>46110</v>
      </c>
      <c r="B92" s="5" t="inlineStr">
        <is>
          <t>Mar</t>
        </is>
      </c>
      <c r="C92" s="5" t="inlineStr">
        <is>
          <t>North</t>
        </is>
      </c>
      <c r="D92" s="5" t="inlineStr">
        <is>
          <t>Retail</t>
        </is>
      </c>
      <c r="E92" s="5" t="inlineStr">
        <is>
          <t>Webcam</t>
        </is>
      </c>
      <c r="F92" s="6" t="n">
        <v>440451</v>
      </c>
      <c r="G92" s="6" t="n">
        <v>100887.11</v>
      </c>
      <c r="H92" s="5" t="n">
        <v>297</v>
      </c>
      <c r="I92" s="7" t="n">
        <v>0.03136219055070014</v>
      </c>
      <c r="J92" s="7" t="n">
        <v>0.97364455575526</v>
      </c>
    </row>
    <row r="93">
      <c r="A93" s="4" t="n">
        <v>46111</v>
      </c>
      <c r="B93" s="5" t="inlineStr">
        <is>
          <t>Mar</t>
        </is>
      </c>
      <c r="C93" s="5" t="inlineStr">
        <is>
          <t>West</t>
        </is>
      </c>
      <c r="D93" s="5" t="inlineStr">
        <is>
          <t>Online</t>
        </is>
      </c>
      <c r="E93" s="5" t="inlineStr">
        <is>
          <t>Tablet</t>
        </is>
      </c>
      <c r="F93" s="6" t="n">
        <v>264060</v>
      </c>
      <c r="G93" s="6" t="n">
        <v>51718.69</v>
      </c>
      <c r="H93" s="5" t="n">
        <v>163</v>
      </c>
      <c r="I93" s="7" t="n">
        <v>0.02862037639992481</v>
      </c>
      <c r="J93" s="7" t="n">
        <v>0.9939015769399971</v>
      </c>
    </row>
    <row r="94">
      <c r="A94" s="4" t="n">
        <v>46112</v>
      </c>
      <c r="B94" s="5" t="inlineStr">
        <is>
          <t>Mar</t>
        </is>
      </c>
      <c r="C94" s="5" t="inlineStr">
        <is>
          <t>East</t>
        </is>
      </c>
      <c r="D94" s="5" t="inlineStr">
        <is>
          <t>Partner</t>
        </is>
      </c>
      <c r="E94" s="5" t="inlineStr">
        <is>
          <t>Keyboard</t>
        </is>
      </c>
      <c r="F94" s="6" t="n">
        <v>622848</v>
      </c>
      <c r="G94" s="6" t="n">
        <v>101836.82</v>
      </c>
      <c r="H94" s="5" t="n">
        <v>256</v>
      </c>
      <c r="I94" s="7" t="n">
        <v>0.08288484393569373</v>
      </c>
      <c r="J94" s="7" t="n">
        <v>0.9449617527401833</v>
      </c>
    </row>
    <row r="95">
      <c r="A95" s="4" t="n">
        <v>46113</v>
      </c>
      <c r="B95" s="5" t="inlineStr">
        <is>
          <t>Apr</t>
        </is>
      </c>
      <c r="C95" s="5" t="inlineStr">
        <is>
          <t>North</t>
        </is>
      </c>
      <c r="D95" s="5" t="inlineStr">
        <is>
          <t>Online</t>
        </is>
      </c>
      <c r="E95" s="5" t="inlineStr">
        <is>
          <t>Keyboard</t>
        </is>
      </c>
      <c r="F95" s="6" t="n">
        <v>792085</v>
      </c>
      <c r="G95" s="6" t="n">
        <v>148165.36</v>
      </c>
      <c r="H95" s="5" t="n">
        <v>265</v>
      </c>
      <c r="I95" s="7" t="n">
        <v>0.02576214167219061</v>
      </c>
      <c r="J95" s="7" t="n">
        <v>0.8706405310539996</v>
      </c>
    </row>
    <row r="96">
      <c r="A96" s="4" t="n">
        <v>46114</v>
      </c>
      <c r="B96" s="5" t="inlineStr">
        <is>
          <t>Apr</t>
        </is>
      </c>
      <c r="C96" s="5" t="inlineStr">
        <is>
          <t>South</t>
        </is>
      </c>
      <c r="D96" s="5" t="inlineStr">
        <is>
          <t>Partner</t>
        </is>
      </c>
      <c r="E96" s="5" t="inlineStr">
        <is>
          <t>Webcam</t>
        </is>
      </c>
      <c r="F96" s="6" t="n">
        <v>545535</v>
      </c>
      <c r="G96" s="6" t="n">
        <v>59148.83</v>
      </c>
      <c r="H96" s="5" t="n">
        <v>405</v>
      </c>
      <c r="I96" s="7" t="n">
        <v>0.03068305057484803</v>
      </c>
      <c r="J96" s="7" t="n">
        <v>0.9879803971229842</v>
      </c>
    </row>
    <row r="97">
      <c r="A97" s="4" t="n">
        <v>46115</v>
      </c>
      <c r="B97" s="5" t="inlineStr">
        <is>
          <t>Apr</t>
        </is>
      </c>
      <c r="C97" s="5" t="inlineStr">
        <is>
          <t>South</t>
        </is>
      </c>
      <c r="D97" s="5" t="inlineStr">
        <is>
          <t>Partner</t>
        </is>
      </c>
      <c r="E97" s="5" t="inlineStr">
        <is>
          <t>Mouse</t>
        </is>
      </c>
      <c r="F97" s="6" t="n">
        <v>213416</v>
      </c>
      <c r="G97" s="6" t="n">
        <v>37882.31</v>
      </c>
      <c r="H97" s="5" t="n">
        <v>259</v>
      </c>
      <c r="I97" s="7" t="n">
        <v>0.03723681420476655</v>
      </c>
      <c r="J97" s="7" t="n">
        <v>0.9093056462613549</v>
      </c>
    </row>
    <row r="98">
      <c r="A98" s="4" t="n">
        <v>46116</v>
      </c>
      <c r="B98" s="5" t="inlineStr">
        <is>
          <t>Apr</t>
        </is>
      </c>
      <c r="C98" s="5" t="inlineStr">
        <is>
          <t>East</t>
        </is>
      </c>
      <c r="D98" s="5" t="inlineStr">
        <is>
          <t>Retail</t>
        </is>
      </c>
      <c r="E98" s="5" t="inlineStr">
        <is>
          <t>Headset</t>
        </is>
      </c>
      <c r="F98" s="6" t="n">
        <v>116688</v>
      </c>
      <c r="G98" s="6" t="n">
        <v>20229.36</v>
      </c>
      <c r="H98" s="5" t="n">
        <v>44</v>
      </c>
      <c r="I98" s="7" t="n">
        <v>0.08397531750978889</v>
      </c>
      <c r="J98" s="7" t="n">
        <v>0.8745074809499067</v>
      </c>
    </row>
    <row r="99">
      <c r="A99" s="4" t="n">
        <v>46117</v>
      </c>
      <c r="B99" s="5" t="inlineStr">
        <is>
          <t>Apr</t>
        </is>
      </c>
      <c r="C99" s="5" t="inlineStr">
        <is>
          <t>East</t>
        </is>
      </c>
      <c r="D99" s="5" t="inlineStr">
        <is>
          <t>Retail</t>
        </is>
      </c>
      <c r="E99" s="5" t="inlineStr">
        <is>
          <t>Webcam</t>
        </is>
      </c>
      <c r="F99" s="6" t="n">
        <v>338096</v>
      </c>
      <c r="G99" s="6" t="n">
        <v>42469.8</v>
      </c>
      <c r="H99" s="5" t="n">
        <v>113</v>
      </c>
      <c r="I99" s="7" t="n">
        <v>0.05877225659350942</v>
      </c>
      <c r="J99" s="7" t="n">
        <v>0.9400601169952135</v>
      </c>
    </row>
    <row r="100">
      <c r="A100" s="4" t="n">
        <v>46118</v>
      </c>
      <c r="B100" s="5" t="inlineStr">
        <is>
          <t>Apr</t>
        </is>
      </c>
      <c r="C100" s="5" t="inlineStr">
        <is>
          <t>East</t>
        </is>
      </c>
      <c r="D100" s="5" t="inlineStr">
        <is>
          <t>Partner</t>
        </is>
      </c>
      <c r="E100" s="5" t="inlineStr">
        <is>
          <t>Monitor</t>
        </is>
      </c>
      <c r="F100" s="6" t="n">
        <v>1188618</v>
      </c>
      <c r="G100" s="6" t="n">
        <v>169021.78</v>
      </c>
      <c r="H100" s="5" t="n">
        <v>397</v>
      </c>
      <c r="I100" s="7" t="n">
        <v>0.04888620771760847</v>
      </c>
      <c r="J100" s="7" t="n">
        <v>0.9067021863812443</v>
      </c>
    </row>
    <row r="101">
      <c r="A101" s="4" t="n">
        <v>46119</v>
      </c>
      <c r="B101" s="5" t="inlineStr">
        <is>
          <t>Apr</t>
        </is>
      </c>
      <c r="C101" s="5" t="inlineStr">
        <is>
          <t>East</t>
        </is>
      </c>
      <c r="D101" s="5" t="inlineStr">
        <is>
          <t>Retail</t>
        </is>
      </c>
      <c r="E101" s="5" t="inlineStr">
        <is>
          <t>Laptop</t>
        </is>
      </c>
      <c r="F101" s="6" t="n">
        <v>887448</v>
      </c>
      <c r="G101" s="6" t="n">
        <v>214252.18</v>
      </c>
      <c r="H101" s="5" t="n">
        <v>309</v>
      </c>
      <c r="I101" s="7" t="n">
        <v>0.02339634961295105</v>
      </c>
      <c r="J101" s="7" t="n">
        <v>0.8656528873330637</v>
      </c>
    </row>
    <row r="102">
      <c r="A102" s="4" t="n">
        <v>46120</v>
      </c>
      <c r="B102" s="5" t="inlineStr">
        <is>
          <t>Apr</t>
        </is>
      </c>
      <c r="C102" s="5" t="inlineStr">
        <is>
          <t>West</t>
        </is>
      </c>
      <c r="D102" s="5" t="inlineStr">
        <is>
          <t>Partner</t>
        </is>
      </c>
      <c r="E102" s="5" t="inlineStr">
        <is>
          <t>Headset</t>
        </is>
      </c>
      <c r="F102" s="6" t="n">
        <v>791430</v>
      </c>
      <c r="G102" s="6" t="n">
        <v>142695.2</v>
      </c>
      <c r="H102" s="5" t="n">
        <v>310</v>
      </c>
      <c r="I102" s="7" t="n">
        <v>0.05909401221624204</v>
      </c>
      <c r="J102" s="7" t="n">
        <v>0.9330056762543727</v>
      </c>
    </row>
    <row r="103">
      <c r="A103" s="4" t="n">
        <v>46121</v>
      </c>
      <c r="B103" s="5" t="inlineStr">
        <is>
          <t>Apr</t>
        </is>
      </c>
      <c r="C103" s="5" t="inlineStr">
        <is>
          <t>North</t>
        </is>
      </c>
      <c r="D103" s="5" t="inlineStr">
        <is>
          <t>Retail</t>
        </is>
      </c>
      <c r="E103" s="5" t="inlineStr">
        <is>
          <t>Monitor</t>
        </is>
      </c>
      <c r="F103" s="6" t="n">
        <v>236472</v>
      </c>
      <c r="G103" s="6" t="n">
        <v>26364.57</v>
      </c>
      <c r="H103" s="5" t="n">
        <v>118</v>
      </c>
      <c r="I103" s="7" t="n">
        <v>0.02926773504785752</v>
      </c>
      <c r="J103" s="7" t="n">
        <v>0.9761643943147214</v>
      </c>
    </row>
    <row r="104">
      <c r="A104" s="4" t="n">
        <v>46122</v>
      </c>
      <c r="B104" s="5" t="inlineStr">
        <is>
          <t>Apr</t>
        </is>
      </c>
      <c r="C104" s="5" t="inlineStr">
        <is>
          <t>North</t>
        </is>
      </c>
      <c r="D104" s="5" t="inlineStr">
        <is>
          <t>Partner</t>
        </is>
      </c>
      <c r="E104" s="5" t="inlineStr">
        <is>
          <t>Monitor</t>
        </is>
      </c>
      <c r="F104" s="6" t="n">
        <v>43561</v>
      </c>
      <c r="G104" s="6" t="n">
        <v>9140.360000000001</v>
      </c>
      <c r="H104" s="5" t="n">
        <v>49</v>
      </c>
      <c r="I104" s="7" t="n">
        <v>0.06707340026334045</v>
      </c>
      <c r="J104" s="7" t="n">
        <v>0.9756277644052059</v>
      </c>
    </row>
    <row r="105">
      <c r="A105" s="4" t="n">
        <v>46123</v>
      </c>
      <c r="B105" s="5" t="inlineStr">
        <is>
          <t>Apr</t>
        </is>
      </c>
      <c r="C105" s="5" t="inlineStr">
        <is>
          <t>West</t>
        </is>
      </c>
      <c r="D105" s="5" t="inlineStr">
        <is>
          <t>Online</t>
        </is>
      </c>
      <c r="E105" s="5" t="inlineStr">
        <is>
          <t>Tablet</t>
        </is>
      </c>
      <c r="F105" s="6" t="n">
        <v>279997</v>
      </c>
      <c r="G105" s="6" t="n">
        <v>38954.65</v>
      </c>
      <c r="H105" s="5" t="n">
        <v>211</v>
      </c>
      <c r="I105" s="7" t="n">
        <v>0.06603658238854758</v>
      </c>
      <c r="J105" s="7" t="n">
        <v>0.9232702127338307</v>
      </c>
    </row>
    <row r="106">
      <c r="A106" s="4" t="n">
        <v>46124</v>
      </c>
      <c r="B106" s="5" t="inlineStr">
        <is>
          <t>Apr</t>
        </is>
      </c>
      <c r="C106" s="5" t="inlineStr">
        <is>
          <t>East</t>
        </is>
      </c>
      <c r="D106" s="5" t="inlineStr">
        <is>
          <t>Retail</t>
        </is>
      </c>
      <c r="E106" s="5" t="inlineStr">
        <is>
          <t>Laptop</t>
        </is>
      </c>
      <c r="F106" s="6" t="n">
        <v>383432</v>
      </c>
      <c r="G106" s="6" t="n">
        <v>49136.45</v>
      </c>
      <c r="H106" s="5" t="n">
        <v>164</v>
      </c>
      <c r="I106" s="7" t="n">
        <v>0.05075992612315589</v>
      </c>
      <c r="J106" s="7" t="n">
        <v>0.9404179566717046</v>
      </c>
    </row>
    <row r="107">
      <c r="A107" s="4" t="n">
        <v>46125</v>
      </c>
      <c r="B107" s="5" t="inlineStr">
        <is>
          <t>Apr</t>
        </is>
      </c>
      <c r="C107" s="5" t="inlineStr">
        <is>
          <t>West</t>
        </is>
      </c>
      <c r="D107" s="5" t="inlineStr">
        <is>
          <t>Partner</t>
        </is>
      </c>
      <c r="E107" s="5" t="inlineStr">
        <is>
          <t>Webcam</t>
        </is>
      </c>
      <c r="F107" s="6" t="n">
        <v>388608</v>
      </c>
      <c r="G107" s="6" t="n">
        <v>82775.84</v>
      </c>
      <c r="H107" s="5" t="n">
        <v>264</v>
      </c>
      <c r="I107" s="7" t="n">
        <v>0.05035007670152365</v>
      </c>
      <c r="J107" s="7" t="n">
        <v>0.8622071611311951</v>
      </c>
    </row>
    <row r="108">
      <c r="A108" s="4" t="n">
        <v>46126</v>
      </c>
      <c r="B108" s="5" t="inlineStr">
        <is>
          <t>Apr</t>
        </is>
      </c>
      <c r="C108" s="5" t="inlineStr">
        <is>
          <t>West</t>
        </is>
      </c>
      <c r="D108" s="5" t="inlineStr">
        <is>
          <t>Online</t>
        </is>
      </c>
      <c r="E108" s="5" t="inlineStr">
        <is>
          <t>Mouse</t>
        </is>
      </c>
      <c r="F108" s="6" t="n">
        <v>343525</v>
      </c>
      <c r="G108" s="6" t="n">
        <v>71054.10000000001</v>
      </c>
      <c r="H108" s="5" t="n">
        <v>151</v>
      </c>
      <c r="I108" s="7" t="n">
        <v>0.03414940879239955</v>
      </c>
      <c r="J108" s="7" t="n">
        <v>0.9303821844411886</v>
      </c>
    </row>
    <row r="109">
      <c r="A109" s="4" t="n">
        <v>46127</v>
      </c>
      <c r="B109" s="5" t="inlineStr">
        <is>
          <t>Apr</t>
        </is>
      </c>
      <c r="C109" s="5" t="inlineStr">
        <is>
          <t>North</t>
        </is>
      </c>
      <c r="D109" s="5" t="inlineStr">
        <is>
          <t>Retail</t>
        </is>
      </c>
      <c r="E109" s="5" t="inlineStr">
        <is>
          <t>Printer</t>
        </is>
      </c>
      <c r="F109" s="6" t="n">
        <v>434368</v>
      </c>
      <c r="G109" s="6" t="n">
        <v>99114.62</v>
      </c>
      <c r="H109" s="5" t="n">
        <v>176</v>
      </c>
      <c r="I109" s="7" t="n">
        <v>0.08186307026099542</v>
      </c>
      <c r="J109" s="7" t="n">
        <v>0.8764925162194007</v>
      </c>
    </row>
    <row r="110">
      <c r="A110" s="4" t="n">
        <v>46128</v>
      </c>
      <c r="B110" s="5" t="inlineStr">
        <is>
          <t>Apr</t>
        </is>
      </c>
      <c r="C110" s="5" t="inlineStr">
        <is>
          <t>South</t>
        </is>
      </c>
      <c r="D110" s="5" t="inlineStr">
        <is>
          <t>Retail</t>
        </is>
      </c>
      <c r="E110" s="5" t="inlineStr">
        <is>
          <t>Webcam</t>
        </is>
      </c>
      <c r="F110" s="6" t="n">
        <v>362064</v>
      </c>
      <c r="G110" s="6" t="n">
        <v>66565.53</v>
      </c>
      <c r="H110" s="5" t="n">
        <v>228</v>
      </c>
      <c r="I110" s="7" t="n">
        <v>0.07211931854815005</v>
      </c>
      <c r="J110" s="7" t="n">
        <v>0.9682343577166189</v>
      </c>
    </row>
    <row r="111">
      <c r="A111" s="4" t="n">
        <v>46129</v>
      </c>
      <c r="B111" s="5" t="inlineStr">
        <is>
          <t>Apr</t>
        </is>
      </c>
      <c r="C111" s="5" t="inlineStr">
        <is>
          <t>South</t>
        </is>
      </c>
      <c r="D111" s="5" t="inlineStr">
        <is>
          <t>Online</t>
        </is>
      </c>
      <c r="E111" s="5" t="inlineStr">
        <is>
          <t>Laptop</t>
        </is>
      </c>
      <c r="F111" s="6" t="n">
        <v>590184</v>
      </c>
      <c r="G111" s="6" t="n">
        <v>145320.2</v>
      </c>
      <c r="H111" s="5" t="n">
        <v>252</v>
      </c>
      <c r="I111" s="7" t="n">
        <v>0.03559944267100164</v>
      </c>
      <c r="J111" s="7" t="n">
        <v>0.9680541777075427</v>
      </c>
    </row>
    <row r="112">
      <c r="A112" s="4" t="n">
        <v>46130</v>
      </c>
      <c r="B112" s="5" t="inlineStr">
        <is>
          <t>Apr</t>
        </is>
      </c>
      <c r="C112" s="5" t="inlineStr">
        <is>
          <t>North</t>
        </is>
      </c>
      <c r="D112" s="5" t="inlineStr">
        <is>
          <t>Retail</t>
        </is>
      </c>
      <c r="E112" s="5" t="inlineStr">
        <is>
          <t>Printer</t>
        </is>
      </c>
      <c r="F112" s="6" t="n">
        <v>551628</v>
      </c>
      <c r="G112" s="6" t="n">
        <v>130155.04</v>
      </c>
      <c r="H112" s="5" t="n">
        <v>308</v>
      </c>
      <c r="I112" s="7" t="n">
        <v>0.0807610151102469</v>
      </c>
      <c r="J112" s="7" t="n">
        <v>0.8649065115265888</v>
      </c>
    </row>
    <row r="113">
      <c r="A113" s="4" t="n">
        <v>46131</v>
      </c>
      <c r="B113" s="5" t="inlineStr">
        <is>
          <t>Apr</t>
        </is>
      </c>
      <c r="C113" s="5" t="inlineStr">
        <is>
          <t>West</t>
        </is>
      </c>
      <c r="D113" s="5" t="inlineStr">
        <is>
          <t>Partner</t>
        </is>
      </c>
      <c r="E113" s="5" t="inlineStr">
        <is>
          <t>Laptop</t>
        </is>
      </c>
      <c r="F113" s="6" t="n">
        <v>1204203</v>
      </c>
      <c r="G113" s="6" t="n">
        <v>130668.42</v>
      </c>
      <c r="H113" s="5" t="n">
        <v>401</v>
      </c>
      <c r="I113" s="7" t="n">
        <v>0.04182981793816778</v>
      </c>
      <c r="J113" s="7" t="n">
        <v>0.9791614206294865</v>
      </c>
    </row>
    <row r="114">
      <c r="A114" s="4" t="n">
        <v>46132</v>
      </c>
      <c r="B114" s="5" t="inlineStr">
        <is>
          <t>Apr</t>
        </is>
      </c>
      <c r="C114" s="5" t="inlineStr">
        <is>
          <t>North</t>
        </is>
      </c>
      <c r="D114" s="5" t="inlineStr">
        <is>
          <t>Online</t>
        </is>
      </c>
      <c r="E114" s="5" t="inlineStr">
        <is>
          <t>Headset</t>
        </is>
      </c>
      <c r="F114" s="6" t="n">
        <v>1031740</v>
      </c>
      <c r="G114" s="6" t="n">
        <v>231670.35</v>
      </c>
      <c r="H114" s="5" t="n">
        <v>395</v>
      </c>
      <c r="I114" s="7" t="n">
        <v>0.02114996197460666</v>
      </c>
      <c r="J114" s="7" t="n">
        <v>0.8722971010411243</v>
      </c>
    </row>
    <row r="115">
      <c r="A115" s="4" t="n">
        <v>46133</v>
      </c>
      <c r="B115" s="5" t="inlineStr">
        <is>
          <t>Apr</t>
        </is>
      </c>
      <c r="C115" s="5" t="inlineStr">
        <is>
          <t>North</t>
        </is>
      </c>
      <c r="D115" s="5" t="inlineStr">
        <is>
          <t>Retail</t>
        </is>
      </c>
      <c r="E115" s="5" t="inlineStr">
        <is>
          <t>Laptop</t>
        </is>
      </c>
      <c r="F115" s="6" t="n">
        <v>361064</v>
      </c>
      <c r="G115" s="6" t="n">
        <v>48620.74</v>
      </c>
      <c r="H115" s="5" t="n">
        <v>373</v>
      </c>
      <c r="I115" s="7" t="n">
        <v>0.04958264734567022</v>
      </c>
      <c r="J115" s="7" t="n">
        <v>0.8950111338468419</v>
      </c>
    </row>
    <row r="116">
      <c r="A116" s="4" t="n">
        <v>46134</v>
      </c>
      <c r="B116" s="5" t="inlineStr">
        <is>
          <t>Apr</t>
        </is>
      </c>
      <c r="C116" s="5" t="inlineStr">
        <is>
          <t>South</t>
        </is>
      </c>
      <c r="D116" s="5" t="inlineStr">
        <is>
          <t>Retail</t>
        </is>
      </c>
      <c r="E116" s="5" t="inlineStr">
        <is>
          <t>Laptop</t>
        </is>
      </c>
      <c r="F116" s="6" t="n">
        <v>1169324</v>
      </c>
      <c r="G116" s="6" t="n">
        <v>136595.05</v>
      </c>
      <c r="H116" s="5" t="n">
        <v>398</v>
      </c>
      <c r="I116" s="7" t="n">
        <v>0.05429195171285299</v>
      </c>
      <c r="J116" s="7" t="n">
        <v>0.8908198917095552</v>
      </c>
    </row>
    <row r="117">
      <c r="A117" s="4" t="n">
        <v>46135</v>
      </c>
      <c r="B117" s="5" t="inlineStr">
        <is>
          <t>Apr</t>
        </is>
      </c>
      <c r="C117" s="5" t="inlineStr">
        <is>
          <t>North</t>
        </is>
      </c>
      <c r="D117" s="5" t="inlineStr">
        <is>
          <t>Online</t>
        </is>
      </c>
      <c r="E117" s="5" t="inlineStr">
        <is>
          <t>Webcam</t>
        </is>
      </c>
      <c r="F117" s="6" t="n">
        <v>626600</v>
      </c>
      <c r="G117" s="6" t="n">
        <v>65162.49</v>
      </c>
      <c r="H117" s="5" t="n">
        <v>241</v>
      </c>
      <c r="I117" s="7" t="n">
        <v>0.04385109549197616</v>
      </c>
      <c r="J117" s="7" t="n">
        <v>0.8720654670860839</v>
      </c>
    </row>
    <row r="118">
      <c r="A118" s="4" t="n">
        <v>46136</v>
      </c>
      <c r="B118" s="5" t="inlineStr">
        <is>
          <t>Apr</t>
        </is>
      </c>
      <c r="C118" s="5" t="inlineStr">
        <is>
          <t>South</t>
        </is>
      </c>
      <c r="D118" s="5" t="inlineStr">
        <is>
          <t>Partner</t>
        </is>
      </c>
      <c r="E118" s="5" t="inlineStr">
        <is>
          <t>Keyboard</t>
        </is>
      </c>
      <c r="F118" s="6" t="n">
        <v>550935</v>
      </c>
      <c r="G118" s="6" t="n">
        <v>64708.22</v>
      </c>
      <c r="H118" s="5" t="n">
        <v>385</v>
      </c>
      <c r="I118" s="7" t="n">
        <v>0.05182478465641745</v>
      </c>
      <c r="J118" s="7" t="n">
        <v>0.9055074150039036</v>
      </c>
    </row>
    <row r="119">
      <c r="A119" s="4" t="n">
        <v>46137</v>
      </c>
      <c r="B119" s="5" t="inlineStr">
        <is>
          <t>Apr</t>
        </is>
      </c>
      <c r="C119" s="5" t="inlineStr">
        <is>
          <t>North</t>
        </is>
      </c>
      <c r="D119" s="5" t="inlineStr">
        <is>
          <t>Retail</t>
        </is>
      </c>
      <c r="E119" s="5" t="inlineStr">
        <is>
          <t>Monitor</t>
        </is>
      </c>
      <c r="F119" s="6" t="n">
        <v>253162</v>
      </c>
      <c r="G119" s="6" t="n">
        <v>41745.79</v>
      </c>
      <c r="H119" s="5" t="n">
        <v>182</v>
      </c>
      <c r="I119" s="7" t="n">
        <v>0.06810461260708403</v>
      </c>
      <c r="J119" s="7" t="n">
        <v>0.8775893332617788</v>
      </c>
    </row>
    <row r="120">
      <c r="A120" s="4" t="n">
        <v>46138</v>
      </c>
      <c r="B120" s="5" t="inlineStr">
        <is>
          <t>Apr</t>
        </is>
      </c>
      <c r="C120" s="5" t="inlineStr">
        <is>
          <t>West</t>
        </is>
      </c>
      <c r="D120" s="5" t="inlineStr">
        <is>
          <t>Partner</t>
        </is>
      </c>
      <c r="E120" s="5" t="inlineStr">
        <is>
          <t>Printer</t>
        </is>
      </c>
      <c r="F120" s="6" t="n">
        <v>929280</v>
      </c>
      <c r="G120" s="6" t="n">
        <v>199454.7</v>
      </c>
      <c r="H120" s="5" t="n">
        <v>330</v>
      </c>
      <c r="I120" s="7" t="n">
        <v>0.06400964677725873</v>
      </c>
      <c r="J120" s="7" t="n">
        <v>0.9035231628173616</v>
      </c>
    </row>
    <row r="121">
      <c r="A121" s="4" t="n">
        <v>46139</v>
      </c>
      <c r="B121" s="5" t="inlineStr">
        <is>
          <t>Apr</t>
        </is>
      </c>
      <c r="C121" s="5" t="inlineStr">
        <is>
          <t>North</t>
        </is>
      </c>
      <c r="D121" s="5" t="inlineStr">
        <is>
          <t>Retail</t>
        </is>
      </c>
      <c r="E121" s="5" t="inlineStr">
        <is>
          <t>Monitor</t>
        </is>
      </c>
      <c r="F121" s="6" t="n">
        <v>865229</v>
      </c>
      <c r="G121" s="6" t="n">
        <v>93842.07000000001</v>
      </c>
      <c r="H121" s="5" t="n">
        <v>293</v>
      </c>
      <c r="I121" s="7" t="n">
        <v>0.08270846222165626</v>
      </c>
      <c r="J121" s="7" t="n">
        <v>0.9272325428199116</v>
      </c>
    </row>
    <row r="122">
      <c r="A122" s="4" t="n">
        <v>46140</v>
      </c>
      <c r="B122" s="5" t="inlineStr">
        <is>
          <t>Apr</t>
        </is>
      </c>
      <c r="C122" s="5" t="inlineStr">
        <is>
          <t>East</t>
        </is>
      </c>
      <c r="D122" s="5" t="inlineStr">
        <is>
          <t>Online</t>
        </is>
      </c>
      <c r="E122" s="5" t="inlineStr">
        <is>
          <t>Laptop</t>
        </is>
      </c>
      <c r="F122" s="6" t="n">
        <v>767334</v>
      </c>
      <c r="G122" s="6" t="n">
        <v>110632.39</v>
      </c>
      <c r="H122" s="5" t="n">
        <v>254</v>
      </c>
      <c r="I122" s="7" t="n">
        <v>0.06156916488635095</v>
      </c>
      <c r="J122" s="7" t="n">
        <v>0.892129139867451</v>
      </c>
    </row>
    <row r="123">
      <c r="A123" s="4" t="n">
        <v>46141</v>
      </c>
      <c r="B123" s="5" t="inlineStr">
        <is>
          <t>Apr</t>
        </is>
      </c>
      <c r="C123" s="5" t="inlineStr">
        <is>
          <t>South</t>
        </is>
      </c>
      <c r="D123" s="5" t="inlineStr">
        <is>
          <t>Retail</t>
        </is>
      </c>
      <c r="E123" s="5" t="inlineStr">
        <is>
          <t>Laptop</t>
        </is>
      </c>
      <c r="F123" s="6" t="n">
        <v>396566</v>
      </c>
      <c r="G123" s="6" t="n">
        <v>95548.62</v>
      </c>
      <c r="H123" s="5" t="n">
        <v>233</v>
      </c>
      <c r="I123" s="7" t="n">
        <v>0.08315338146621727</v>
      </c>
      <c r="J123" s="7" t="n">
        <v>0.9062443648594093</v>
      </c>
    </row>
    <row r="124">
      <c r="A124" s="4" t="n">
        <v>46142</v>
      </c>
      <c r="B124" s="5" t="inlineStr">
        <is>
          <t>Apr</t>
        </is>
      </c>
      <c r="C124" s="5" t="inlineStr">
        <is>
          <t>North</t>
        </is>
      </c>
      <c r="D124" s="5" t="inlineStr">
        <is>
          <t>Online</t>
        </is>
      </c>
      <c r="E124" s="5" t="inlineStr">
        <is>
          <t>Headset</t>
        </is>
      </c>
      <c r="F124" s="6" t="n">
        <v>589888</v>
      </c>
      <c r="G124" s="6" t="n">
        <v>120520.13</v>
      </c>
      <c r="H124" s="5" t="n">
        <v>416</v>
      </c>
      <c r="I124" s="7" t="n">
        <v>0.06828309469748416</v>
      </c>
      <c r="J124" s="7" t="n">
        <v>0.8814836358426954</v>
      </c>
    </row>
    <row r="125">
      <c r="A125" s="4" t="n">
        <v>46143</v>
      </c>
      <c r="B125" s="5" t="inlineStr">
        <is>
          <t>May</t>
        </is>
      </c>
      <c r="C125" s="5" t="inlineStr">
        <is>
          <t>South</t>
        </is>
      </c>
      <c r="D125" s="5" t="inlineStr">
        <is>
          <t>Online</t>
        </is>
      </c>
      <c r="E125" s="5" t="inlineStr">
        <is>
          <t>Mouse</t>
        </is>
      </c>
      <c r="F125" s="6" t="n">
        <v>789426</v>
      </c>
      <c r="G125" s="6" t="n">
        <v>85338.11</v>
      </c>
      <c r="H125" s="5" t="n">
        <v>297</v>
      </c>
      <c r="I125" s="7" t="n">
        <v>0.02789143923906001</v>
      </c>
      <c r="J125" s="7" t="n">
        <v>0.9869379679413675</v>
      </c>
    </row>
    <row r="126">
      <c r="A126" s="4" t="n">
        <v>46144</v>
      </c>
      <c r="B126" s="5" t="inlineStr">
        <is>
          <t>May</t>
        </is>
      </c>
      <c r="C126" s="5" t="inlineStr">
        <is>
          <t>South</t>
        </is>
      </c>
      <c r="D126" s="5" t="inlineStr">
        <is>
          <t>Retail</t>
        </is>
      </c>
      <c r="E126" s="5" t="inlineStr">
        <is>
          <t>Laptop</t>
        </is>
      </c>
      <c r="F126" s="6" t="n">
        <v>125950</v>
      </c>
      <c r="G126" s="6" t="n">
        <v>23598.35</v>
      </c>
      <c r="H126" s="5" t="n">
        <v>50</v>
      </c>
      <c r="I126" s="7" t="n">
        <v>0.04775328109671567</v>
      </c>
      <c r="J126" s="7" t="n">
        <v>0.8764007761552296</v>
      </c>
    </row>
    <row r="127">
      <c r="A127" s="4" t="n">
        <v>46145</v>
      </c>
      <c r="B127" s="5" t="inlineStr">
        <is>
          <t>May</t>
        </is>
      </c>
      <c r="C127" s="5" t="inlineStr">
        <is>
          <t>North</t>
        </is>
      </c>
      <c r="D127" s="5" t="inlineStr">
        <is>
          <t>Retail</t>
        </is>
      </c>
      <c r="E127" s="5" t="inlineStr">
        <is>
          <t>Mouse</t>
        </is>
      </c>
      <c r="F127" s="6" t="n">
        <v>316680</v>
      </c>
      <c r="G127" s="6" t="n">
        <v>50990.13</v>
      </c>
      <c r="H127" s="5" t="n">
        <v>156</v>
      </c>
      <c r="I127" s="7" t="n">
        <v>0.04739817717332218</v>
      </c>
      <c r="J127" s="7" t="n">
        <v>0.9199409288784017</v>
      </c>
    </row>
    <row r="128">
      <c r="A128" s="4" t="n">
        <v>46146</v>
      </c>
      <c r="B128" s="5" t="inlineStr">
        <is>
          <t>May</t>
        </is>
      </c>
      <c r="C128" s="5" t="inlineStr">
        <is>
          <t>West</t>
        </is>
      </c>
      <c r="D128" s="5" t="inlineStr">
        <is>
          <t>Retail</t>
        </is>
      </c>
      <c r="E128" s="5" t="inlineStr">
        <is>
          <t>Mouse</t>
        </is>
      </c>
      <c r="F128" s="6" t="n">
        <v>331584</v>
      </c>
      <c r="G128" s="6" t="n">
        <v>53501.61</v>
      </c>
      <c r="H128" s="5" t="n">
        <v>192</v>
      </c>
      <c r="I128" s="7" t="n">
        <v>0.07562033257619312</v>
      </c>
      <c r="J128" s="7" t="n">
        <v>0.9704397954247932</v>
      </c>
    </row>
    <row r="129">
      <c r="A129" s="4" t="n">
        <v>46147</v>
      </c>
      <c r="B129" s="5" t="inlineStr">
        <is>
          <t>May</t>
        </is>
      </c>
      <c r="C129" s="5" t="inlineStr">
        <is>
          <t>South</t>
        </is>
      </c>
      <c r="D129" s="5" t="inlineStr">
        <is>
          <t>Partner</t>
        </is>
      </c>
      <c r="E129" s="5" t="inlineStr">
        <is>
          <t>Mouse</t>
        </is>
      </c>
      <c r="F129" s="6" t="n">
        <v>270848</v>
      </c>
      <c r="G129" s="6" t="n">
        <v>25703.93</v>
      </c>
      <c r="H129" s="5" t="n">
        <v>92</v>
      </c>
      <c r="I129" s="7" t="n">
        <v>0.06574224867353964</v>
      </c>
      <c r="J129" s="7" t="n">
        <v>0.9625926018457533</v>
      </c>
    </row>
    <row r="130">
      <c r="A130" s="4" t="n">
        <v>46148</v>
      </c>
      <c r="B130" s="5" t="inlineStr">
        <is>
          <t>May</t>
        </is>
      </c>
      <c r="C130" s="5" t="inlineStr">
        <is>
          <t>East</t>
        </is>
      </c>
      <c r="D130" s="5" t="inlineStr">
        <is>
          <t>Online</t>
        </is>
      </c>
      <c r="E130" s="5" t="inlineStr">
        <is>
          <t>Monitor</t>
        </is>
      </c>
      <c r="F130" s="6" t="n">
        <v>398520</v>
      </c>
      <c r="G130" s="6" t="n">
        <v>91189.64999999999</v>
      </c>
      <c r="H130" s="5" t="n">
        <v>246</v>
      </c>
      <c r="I130" s="7" t="n">
        <v>0.03339976011071997</v>
      </c>
      <c r="J130" s="7" t="n">
        <v>0.8773406227023119</v>
      </c>
    </row>
    <row r="131">
      <c r="A131" s="4" t="n">
        <v>46149</v>
      </c>
      <c r="B131" s="5" t="inlineStr">
        <is>
          <t>May</t>
        </is>
      </c>
      <c r="C131" s="5" t="inlineStr">
        <is>
          <t>East</t>
        </is>
      </c>
      <c r="D131" s="5" t="inlineStr">
        <is>
          <t>Partner</t>
        </is>
      </c>
      <c r="E131" s="5" t="inlineStr">
        <is>
          <t>Webcam</t>
        </is>
      </c>
      <c r="F131" s="6" t="n">
        <v>611267</v>
      </c>
      <c r="G131" s="6" t="n">
        <v>93607.60000000001</v>
      </c>
      <c r="H131" s="5" t="n">
        <v>211</v>
      </c>
      <c r="I131" s="7" t="n">
        <v>0.06447165781754957</v>
      </c>
      <c r="J131" s="7" t="n">
        <v>0.9069306354735882</v>
      </c>
    </row>
    <row r="132">
      <c r="A132" s="4" t="n">
        <v>46150</v>
      </c>
      <c r="B132" s="5" t="inlineStr">
        <is>
          <t>May</t>
        </is>
      </c>
      <c r="C132" s="5" t="inlineStr">
        <is>
          <t>East</t>
        </is>
      </c>
      <c r="D132" s="5" t="inlineStr">
        <is>
          <t>Online</t>
        </is>
      </c>
      <c r="E132" s="5" t="inlineStr">
        <is>
          <t>Keyboard</t>
        </is>
      </c>
      <c r="F132" s="6" t="n">
        <v>458803</v>
      </c>
      <c r="G132" s="6" t="n">
        <v>54184.8</v>
      </c>
      <c r="H132" s="5" t="n">
        <v>271</v>
      </c>
      <c r="I132" s="7" t="n">
        <v>0.03812005929186101</v>
      </c>
      <c r="J132" s="7" t="n">
        <v>0.9744429906317501</v>
      </c>
    </row>
    <row r="133">
      <c r="A133" s="4" t="n">
        <v>46151</v>
      </c>
      <c r="B133" s="5" t="inlineStr">
        <is>
          <t>May</t>
        </is>
      </c>
      <c r="C133" s="5" t="inlineStr">
        <is>
          <t>West</t>
        </is>
      </c>
      <c r="D133" s="5" t="inlineStr">
        <is>
          <t>Partner</t>
        </is>
      </c>
      <c r="E133" s="5" t="inlineStr">
        <is>
          <t>Headset</t>
        </is>
      </c>
      <c r="F133" s="6" t="n">
        <v>1178491</v>
      </c>
      <c r="G133" s="6" t="n">
        <v>129640.78</v>
      </c>
      <c r="H133" s="5" t="n">
        <v>383</v>
      </c>
      <c r="I133" s="7" t="n">
        <v>0.06362151056501769</v>
      </c>
      <c r="J133" s="7" t="n">
        <v>0.9425978343297705</v>
      </c>
    </row>
    <row r="134">
      <c r="A134" s="4" t="n">
        <v>46152</v>
      </c>
      <c r="B134" s="5" t="inlineStr">
        <is>
          <t>May</t>
        </is>
      </c>
      <c r="C134" s="5" t="inlineStr">
        <is>
          <t>East</t>
        </is>
      </c>
      <c r="D134" s="5" t="inlineStr">
        <is>
          <t>Partner</t>
        </is>
      </c>
      <c r="E134" s="5" t="inlineStr">
        <is>
          <t>Mouse</t>
        </is>
      </c>
      <c r="F134" s="6" t="n">
        <v>353616</v>
      </c>
      <c r="G134" s="6" t="n">
        <v>77067.08</v>
      </c>
      <c r="H134" s="5" t="n">
        <v>417</v>
      </c>
      <c r="I134" s="7" t="n">
        <v>0.07404000989153704</v>
      </c>
      <c r="J134" s="7" t="n">
        <v>0.8904869901228184</v>
      </c>
    </row>
    <row r="135">
      <c r="A135" s="4" t="n">
        <v>46153</v>
      </c>
      <c r="B135" s="5" t="inlineStr">
        <is>
          <t>May</t>
        </is>
      </c>
      <c r="C135" s="5" t="inlineStr">
        <is>
          <t>East</t>
        </is>
      </c>
      <c r="D135" s="5" t="inlineStr">
        <is>
          <t>Partner</t>
        </is>
      </c>
      <c r="E135" s="5" t="inlineStr">
        <is>
          <t>Tablet</t>
        </is>
      </c>
      <c r="F135" s="6" t="n">
        <v>1135770</v>
      </c>
      <c r="G135" s="6" t="n">
        <v>262466.77</v>
      </c>
      <c r="H135" s="5" t="n">
        <v>393</v>
      </c>
      <c r="I135" s="7" t="n">
        <v>0.0737224950889457</v>
      </c>
      <c r="J135" s="7" t="n">
        <v>0.907347650799283</v>
      </c>
    </row>
    <row r="136">
      <c r="A136" s="4" t="n">
        <v>46154</v>
      </c>
      <c r="B136" s="5" t="inlineStr">
        <is>
          <t>May</t>
        </is>
      </c>
      <c r="C136" s="5" t="inlineStr">
        <is>
          <t>West</t>
        </is>
      </c>
      <c r="D136" s="5" t="inlineStr">
        <is>
          <t>Partner</t>
        </is>
      </c>
      <c r="E136" s="5" t="inlineStr">
        <is>
          <t>Webcam</t>
        </is>
      </c>
      <c r="F136" s="6" t="n">
        <v>681867</v>
      </c>
      <c r="G136" s="6" t="n">
        <v>85429.99000000001</v>
      </c>
      <c r="H136" s="5" t="n">
        <v>239</v>
      </c>
      <c r="I136" s="7" t="n">
        <v>0.04395650924539954</v>
      </c>
      <c r="J136" s="7" t="n">
        <v>0.9804577643632068</v>
      </c>
    </row>
    <row r="137">
      <c r="A137" s="4" t="n">
        <v>46155</v>
      </c>
      <c r="B137" s="5" t="inlineStr">
        <is>
          <t>May</t>
        </is>
      </c>
      <c r="C137" s="5" t="inlineStr">
        <is>
          <t>West</t>
        </is>
      </c>
      <c r="D137" s="5" t="inlineStr">
        <is>
          <t>Retail</t>
        </is>
      </c>
      <c r="E137" s="5" t="inlineStr">
        <is>
          <t>Laptop</t>
        </is>
      </c>
      <c r="F137" s="6" t="n">
        <v>383974</v>
      </c>
      <c r="G137" s="6" t="n">
        <v>68913.41</v>
      </c>
      <c r="H137" s="5" t="n">
        <v>226</v>
      </c>
      <c r="I137" s="7" t="n">
        <v>0.02516836570069468</v>
      </c>
      <c r="J137" s="7" t="n">
        <v>0.889066224534816</v>
      </c>
    </row>
    <row r="138">
      <c r="A138" s="4" t="n">
        <v>46156</v>
      </c>
      <c r="B138" s="5" t="inlineStr">
        <is>
          <t>May</t>
        </is>
      </c>
      <c r="C138" s="5" t="inlineStr">
        <is>
          <t>South</t>
        </is>
      </c>
      <c r="D138" s="5" t="inlineStr">
        <is>
          <t>Retail</t>
        </is>
      </c>
      <c r="E138" s="5" t="inlineStr">
        <is>
          <t>Keyboard</t>
        </is>
      </c>
      <c r="F138" s="6" t="n">
        <v>672792</v>
      </c>
      <c r="G138" s="6" t="n">
        <v>111455.58</v>
      </c>
      <c r="H138" s="5" t="n">
        <v>291</v>
      </c>
      <c r="I138" s="7" t="n">
        <v>0.04305761600346836</v>
      </c>
      <c r="J138" s="7" t="n">
        <v>0.9336219383136795</v>
      </c>
    </row>
    <row r="139">
      <c r="A139" s="4" t="n">
        <v>46157</v>
      </c>
      <c r="B139" s="5" t="inlineStr">
        <is>
          <t>May</t>
        </is>
      </c>
      <c r="C139" s="5" t="inlineStr">
        <is>
          <t>North</t>
        </is>
      </c>
      <c r="D139" s="5" t="inlineStr">
        <is>
          <t>Retail</t>
        </is>
      </c>
      <c r="E139" s="5" t="inlineStr">
        <is>
          <t>Tablet</t>
        </is>
      </c>
      <c r="F139" s="6" t="n">
        <v>107198</v>
      </c>
      <c r="G139" s="6" t="n">
        <v>13375.69</v>
      </c>
      <c r="H139" s="5" t="n">
        <v>91</v>
      </c>
      <c r="I139" s="7" t="n">
        <v>0.06060675926929081</v>
      </c>
      <c r="J139" s="7" t="n">
        <v>0.9941294353008219</v>
      </c>
    </row>
    <row r="140">
      <c r="A140" s="4" t="n">
        <v>46158</v>
      </c>
      <c r="B140" s="5" t="inlineStr">
        <is>
          <t>May</t>
        </is>
      </c>
      <c r="C140" s="5" t="inlineStr">
        <is>
          <t>East</t>
        </is>
      </c>
      <c r="D140" s="5" t="inlineStr">
        <is>
          <t>Retail</t>
        </is>
      </c>
      <c r="E140" s="5" t="inlineStr">
        <is>
          <t>Laptop</t>
        </is>
      </c>
      <c r="F140" s="6" t="n">
        <v>397080</v>
      </c>
      <c r="G140" s="6" t="n">
        <v>62189.95</v>
      </c>
      <c r="H140" s="5" t="n">
        <v>360</v>
      </c>
      <c r="I140" s="7" t="n">
        <v>0.0244797723789834</v>
      </c>
      <c r="J140" s="7" t="n">
        <v>0.8689532231750935</v>
      </c>
    </row>
    <row r="141">
      <c r="A141" s="4" t="n">
        <v>46159</v>
      </c>
      <c r="B141" s="5" t="inlineStr">
        <is>
          <t>May</t>
        </is>
      </c>
      <c r="C141" s="5" t="inlineStr">
        <is>
          <t>West</t>
        </is>
      </c>
      <c r="D141" s="5" t="inlineStr">
        <is>
          <t>Online</t>
        </is>
      </c>
      <c r="E141" s="5" t="inlineStr">
        <is>
          <t>Monitor</t>
        </is>
      </c>
      <c r="F141" s="6" t="n">
        <v>281838</v>
      </c>
      <c r="G141" s="6" t="n">
        <v>46150.59</v>
      </c>
      <c r="H141" s="5" t="n">
        <v>214</v>
      </c>
      <c r="I141" s="7" t="n">
        <v>0.07339105803393534</v>
      </c>
      <c r="J141" s="7" t="n">
        <v>0.8857414876894213</v>
      </c>
    </row>
    <row r="142">
      <c r="A142" s="4" t="n">
        <v>46160</v>
      </c>
      <c r="B142" s="5" t="inlineStr">
        <is>
          <t>May</t>
        </is>
      </c>
      <c r="C142" s="5" t="inlineStr">
        <is>
          <t>South</t>
        </is>
      </c>
      <c r="D142" s="5" t="inlineStr">
        <is>
          <t>Online</t>
        </is>
      </c>
      <c r="E142" s="5" t="inlineStr">
        <is>
          <t>Monitor</t>
        </is>
      </c>
      <c r="F142" s="6" t="n">
        <v>868547</v>
      </c>
      <c r="G142" s="6" t="n">
        <v>125540.92</v>
      </c>
      <c r="H142" s="5" t="n">
        <v>323</v>
      </c>
      <c r="I142" s="7" t="n">
        <v>0.04121091269596392</v>
      </c>
      <c r="J142" s="7" t="n">
        <v>0.8801687494281952</v>
      </c>
    </row>
    <row r="143">
      <c r="A143" s="4" t="n">
        <v>46161</v>
      </c>
      <c r="B143" s="5" t="inlineStr">
        <is>
          <t>May</t>
        </is>
      </c>
      <c r="C143" s="5" t="inlineStr">
        <is>
          <t>West</t>
        </is>
      </c>
      <c r="D143" s="5" t="inlineStr">
        <is>
          <t>Online</t>
        </is>
      </c>
      <c r="E143" s="5" t="inlineStr">
        <is>
          <t>Monitor</t>
        </is>
      </c>
      <c r="F143" s="6" t="n">
        <v>307746</v>
      </c>
      <c r="G143" s="6" t="n">
        <v>72906.39999999999</v>
      </c>
      <c r="H143" s="5" t="n">
        <v>278</v>
      </c>
      <c r="I143" s="7" t="n">
        <v>0.01937970954139102</v>
      </c>
      <c r="J143" s="7" t="n">
        <v>0.9226090824761307</v>
      </c>
    </row>
    <row r="144">
      <c r="A144" s="4" t="n">
        <v>46162</v>
      </c>
      <c r="B144" s="5" t="inlineStr">
        <is>
          <t>May</t>
        </is>
      </c>
      <c r="C144" s="5" t="inlineStr">
        <is>
          <t>West</t>
        </is>
      </c>
      <c r="D144" s="5" t="inlineStr">
        <is>
          <t>Retail</t>
        </is>
      </c>
      <c r="E144" s="5" t="inlineStr">
        <is>
          <t>Tablet</t>
        </is>
      </c>
      <c r="F144" s="6" t="n">
        <v>180648</v>
      </c>
      <c r="G144" s="6" t="n">
        <v>30648.69</v>
      </c>
      <c r="H144" s="5" t="n">
        <v>72</v>
      </c>
      <c r="I144" s="7" t="n">
        <v>0.06806112743617877</v>
      </c>
      <c r="J144" s="7" t="n">
        <v>0.9946898528661712</v>
      </c>
    </row>
    <row r="145">
      <c r="A145" s="4" t="n">
        <v>46163</v>
      </c>
      <c r="B145" s="5" t="inlineStr">
        <is>
          <t>May</t>
        </is>
      </c>
      <c r="C145" s="5" t="inlineStr">
        <is>
          <t>North</t>
        </is>
      </c>
      <c r="D145" s="5" t="inlineStr">
        <is>
          <t>Retail</t>
        </is>
      </c>
      <c r="E145" s="5" t="inlineStr">
        <is>
          <t>Keyboard</t>
        </is>
      </c>
      <c r="F145" s="6" t="n">
        <v>357864</v>
      </c>
      <c r="G145" s="6" t="n">
        <v>56722.86</v>
      </c>
      <c r="H145" s="5" t="n">
        <v>248</v>
      </c>
      <c r="I145" s="7" t="n">
        <v>0.04644893670306628</v>
      </c>
      <c r="J145" s="7" t="n">
        <v>0.9072603018463445</v>
      </c>
    </row>
    <row r="146">
      <c r="A146" s="4" t="n">
        <v>46164</v>
      </c>
      <c r="B146" s="5" t="inlineStr">
        <is>
          <t>May</t>
        </is>
      </c>
      <c r="C146" s="5" t="inlineStr">
        <is>
          <t>East</t>
        </is>
      </c>
      <c r="D146" s="5" t="inlineStr">
        <is>
          <t>Retail</t>
        </is>
      </c>
      <c r="E146" s="5" t="inlineStr">
        <is>
          <t>Webcam</t>
        </is>
      </c>
      <c r="F146" s="6" t="n">
        <v>93744</v>
      </c>
      <c r="G146" s="6" t="n">
        <v>21284.48</v>
      </c>
      <c r="H146" s="5" t="n">
        <v>126</v>
      </c>
      <c r="I146" s="7" t="n">
        <v>0.0706548585508496</v>
      </c>
      <c r="J146" s="7" t="n">
        <v>0.9538064025012263</v>
      </c>
    </row>
    <row r="147">
      <c r="A147" s="4" t="n">
        <v>46165</v>
      </c>
      <c r="B147" s="5" t="inlineStr">
        <is>
          <t>May</t>
        </is>
      </c>
      <c r="C147" s="5" t="inlineStr">
        <is>
          <t>North</t>
        </is>
      </c>
      <c r="D147" s="5" t="inlineStr">
        <is>
          <t>Partner</t>
        </is>
      </c>
      <c r="E147" s="5" t="inlineStr">
        <is>
          <t>Mouse</t>
        </is>
      </c>
      <c r="F147" s="6" t="n">
        <v>228260</v>
      </c>
      <c r="G147" s="6" t="n">
        <v>35535.21</v>
      </c>
      <c r="H147" s="5" t="n">
        <v>226</v>
      </c>
      <c r="I147" s="7" t="n">
        <v>0.03938382750454485</v>
      </c>
      <c r="J147" s="7" t="n">
        <v>0.9758088665307847</v>
      </c>
    </row>
    <row r="148">
      <c r="A148" s="4" t="n">
        <v>46166</v>
      </c>
      <c r="B148" s="5" t="inlineStr">
        <is>
          <t>May</t>
        </is>
      </c>
      <c r="C148" s="5" t="inlineStr">
        <is>
          <t>South</t>
        </is>
      </c>
      <c r="D148" s="5" t="inlineStr">
        <is>
          <t>Partner</t>
        </is>
      </c>
      <c r="E148" s="5" t="inlineStr">
        <is>
          <t>Webcam</t>
        </is>
      </c>
      <c r="F148" s="6" t="n">
        <v>662592</v>
      </c>
      <c r="G148" s="6" t="n">
        <v>84434</v>
      </c>
      <c r="H148" s="5" t="n">
        <v>336</v>
      </c>
      <c r="I148" s="7" t="n">
        <v>0.03495492754341343</v>
      </c>
      <c r="J148" s="7" t="n">
        <v>0.934994987117467</v>
      </c>
    </row>
    <row r="149">
      <c r="A149" s="4" t="n">
        <v>46167</v>
      </c>
      <c r="B149" s="5" t="inlineStr">
        <is>
          <t>May</t>
        </is>
      </c>
      <c r="C149" s="5" t="inlineStr">
        <is>
          <t>West</t>
        </is>
      </c>
      <c r="D149" s="5" t="inlineStr">
        <is>
          <t>Partner</t>
        </is>
      </c>
      <c r="E149" s="5" t="inlineStr">
        <is>
          <t>Mouse</t>
        </is>
      </c>
      <c r="F149" s="6" t="n">
        <v>480312</v>
      </c>
      <c r="G149" s="6" t="n">
        <v>78586.03</v>
      </c>
      <c r="H149" s="5" t="n">
        <v>168</v>
      </c>
      <c r="I149" s="7" t="n">
        <v>0.03193141708834341</v>
      </c>
      <c r="J149" s="7" t="n">
        <v>0.9858735646634296</v>
      </c>
    </row>
    <row r="150">
      <c r="A150" s="4" t="n">
        <v>46168</v>
      </c>
      <c r="B150" s="5" t="inlineStr">
        <is>
          <t>May</t>
        </is>
      </c>
      <c r="C150" s="5" t="inlineStr">
        <is>
          <t>East</t>
        </is>
      </c>
      <c r="D150" s="5" t="inlineStr">
        <is>
          <t>Partner</t>
        </is>
      </c>
      <c r="E150" s="5" t="inlineStr">
        <is>
          <t>Mouse</t>
        </is>
      </c>
      <c r="F150" s="6" t="n">
        <v>1284616</v>
      </c>
      <c r="G150" s="6" t="n">
        <v>206416.33</v>
      </c>
      <c r="H150" s="5" t="n">
        <v>412</v>
      </c>
      <c r="I150" s="7" t="n">
        <v>0.08182908435007238</v>
      </c>
      <c r="J150" s="7" t="n">
        <v>0.9020244171089942</v>
      </c>
    </row>
    <row r="151">
      <c r="A151" s="4" t="n">
        <v>46169</v>
      </c>
      <c r="B151" s="5" t="inlineStr">
        <is>
          <t>May</t>
        </is>
      </c>
      <c r="C151" s="5" t="inlineStr">
        <is>
          <t>South</t>
        </is>
      </c>
      <c r="D151" s="5" t="inlineStr">
        <is>
          <t>Partner</t>
        </is>
      </c>
      <c r="E151" s="5" t="inlineStr">
        <is>
          <t>Tablet</t>
        </is>
      </c>
      <c r="F151" s="6" t="n">
        <v>598500</v>
      </c>
      <c r="G151" s="6" t="n">
        <v>54050.37</v>
      </c>
      <c r="H151" s="5" t="n">
        <v>350</v>
      </c>
      <c r="I151" s="7" t="n">
        <v>0.06471061957121704</v>
      </c>
      <c r="J151" s="7" t="n">
        <v>0.958280666800953</v>
      </c>
    </row>
    <row r="152">
      <c r="A152" s="4" t="n">
        <v>46170</v>
      </c>
      <c r="B152" s="5" t="inlineStr">
        <is>
          <t>May</t>
        </is>
      </c>
      <c r="C152" s="5" t="inlineStr">
        <is>
          <t>West</t>
        </is>
      </c>
      <c r="D152" s="5" t="inlineStr">
        <is>
          <t>Partner</t>
        </is>
      </c>
      <c r="E152" s="5" t="inlineStr">
        <is>
          <t>Webcam</t>
        </is>
      </c>
      <c r="F152" s="6" t="n">
        <v>439932</v>
      </c>
      <c r="G152" s="6" t="n">
        <v>86121.63</v>
      </c>
      <c r="H152" s="5" t="n">
        <v>366</v>
      </c>
      <c r="I152" s="7" t="n">
        <v>0.05902202667250071</v>
      </c>
      <c r="J152" s="7" t="n">
        <v>0.9421782963410424</v>
      </c>
    </row>
    <row r="153">
      <c r="A153" s="4" t="n">
        <v>46171</v>
      </c>
      <c r="B153" s="5" t="inlineStr">
        <is>
          <t>May</t>
        </is>
      </c>
      <c r="C153" s="5" t="inlineStr">
        <is>
          <t>West</t>
        </is>
      </c>
      <c r="D153" s="5" t="inlineStr">
        <is>
          <t>Partner</t>
        </is>
      </c>
      <c r="E153" s="5" t="inlineStr">
        <is>
          <t>Headset</t>
        </is>
      </c>
      <c r="F153" s="6" t="n">
        <v>437360</v>
      </c>
      <c r="G153" s="6" t="n">
        <v>107638.64</v>
      </c>
      <c r="H153" s="5" t="n">
        <v>385</v>
      </c>
      <c r="I153" s="7" t="n">
        <v>0.05715151737434684</v>
      </c>
      <c r="J153" s="7" t="n">
        <v>0.9368688240345586</v>
      </c>
    </row>
    <row r="154">
      <c r="A154" s="4" t="n">
        <v>46172</v>
      </c>
      <c r="B154" s="5" t="inlineStr">
        <is>
          <t>May</t>
        </is>
      </c>
      <c r="C154" s="5" t="inlineStr">
        <is>
          <t>West</t>
        </is>
      </c>
      <c r="D154" s="5" t="inlineStr">
        <is>
          <t>Partner</t>
        </is>
      </c>
      <c r="E154" s="5" t="inlineStr">
        <is>
          <t>Tablet</t>
        </is>
      </c>
      <c r="F154" s="6" t="n">
        <v>169257</v>
      </c>
      <c r="G154" s="6" t="n">
        <v>35831.77</v>
      </c>
      <c r="H154" s="5" t="n">
        <v>223</v>
      </c>
      <c r="I154" s="7" t="n">
        <v>0.07108711278306669</v>
      </c>
      <c r="J154" s="7" t="n">
        <v>0.9656149365736069</v>
      </c>
    </row>
    <row r="155">
      <c r="A155" s="4" t="n">
        <v>46173</v>
      </c>
      <c r="B155" s="5" t="inlineStr">
        <is>
          <t>May</t>
        </is>
      </c>
      <c r="C155" s="5" t="inlineStr">
        <is>
          <t>North</t>
        </is>
      </c>
      <c r="D155" s="5" t="inlineStr">
        <is>
          <t>Partner</t>
        </is>
      </c>
      <c r="E155" s="5" t="inlineStr">
        <is>
          <t>Laptop</t>
        </is>
      </c>
      <c r="F155" s="6" t="n">
        <v>97875</v>
      </c>
      <c r="G155" s="6" t="n">
        <v>15281.9</v>
      </c>
      <c r="H155" s="5" t="n">
        <v>45</v>
      </c>
      <c r="I155" s="7" t="n">
        <v>0.07586613338816585</v>
      </c>
      <c r="J155" s="7" t="n">
        <v>0.8996847691979308</v>
      </c>
    </row>
    <row r="156">
      <c r="A156" s="4" t="n">
        <v>46174</v>
      </c>
      <c r="B156" s="5" t="inlineStr">
        <is>
          <t>Jun</t>
        </is>
      </c>
      <c r="C156" s="5" t="inlineStr">
        <is>
          <t>East</t>
        </is>
      </c>
      <c r="D156" s="5" t="inlineStr">
        <is>
          <t>Retail</t>
        </is>
      </c>
      <c r="E156" s="5" t="inlineStr">
        <is>
          <t>Mouse</t>
        </is>
      </c>
      <c r="F156" s="6" t="n">
        <v>293514</v>
      </c>
      <c r="G156" s="6" t="n">
        <v>31871.22</v>
      </c>
      <c r="H156" s="5" t="n">
        <v>318</v>
      </c>
      <c r="I156" s="7" t="n">
        <v>0.04372342131362979</v>
      </c>
      <c r="J156" s="7" t="n">
        <v>0.9834556710104881</v>
      </c>
    </row>
    <row r="157">
      <c r="A157" s="4" t="n">
        <v>46175</v>
      </c>
      <c r="B157" s="5" t="inlineStr">
        <is>
          <t>Jun</t>
        </is>
      </c>
      <c r="C157" s="5" t="inlineStr">
        <is>
          <t>South</t>
        </is>
      </c>
      <c r="D157" s="5" t="inlineStr">
        <is>
          <t>Online</t>
        </is>
      </c>
      <c r="E157" s="5" t="inlineStr">
        <is>
          <t>Monitor</t>
        </is>
      </c>
      <c r="F157" s="6" t="n">
        <v>706862</v>
      </c>
      <c r="G157" s="6" t="n">
        <v>63869.9</v>
      </c>
      <c r="H157" s="5" t="n">
        <v>403</v>
      </c>
      <c r="I157" s="7" t="n">
        <v>0.03333486395201465</v>
      </c>
      <c r="J157" s="7" t="n">
        <v>0.8667131447470136</v>
      </c>
    </row>
    <row r="158">
      <c r="A158" s="4" t="n">
        <v>46176</v>
      </c>
      <c r="B158" s="5" t="inlineStr">
        <is>
          <t>Jun</t>
        </is>
      </c>
      <c r="C158" s="5" t="inlineStr">
        <is>
          <t>North</t>
        </is>
      </c>
      <c r="D158" s="5" t="inlineStr">
        <is>
          <t>Retail</t>
        </is>
      </c>
      <c r="E158" s="5" t="inlineStr">
        <is>
          <t>Printer</t>
        </is>
      </c>
      <c r="F158" s="6" t="n">
        <v>660570</v>
      </c>
      <c r="G158" s="6" t="n">
        <v>107660.48</v>
      </c>
      <c r="H158" s="5" t="n">
        <v>227</v>
      </c>
      <c r="I158" s="7" t="n">
        <v>0.0252422714350354</v>
      </c>
      <c r="J158" s="7" t="n">
        <v>0.9164797723365318</v>
      </c>
    </row>
    <row r="159">
      <c r="A159" s="4" t="n">
        <v>46177</v>
      </c>
      <c r="B159" s="5" t="inlineStr">
        <is>
          <t>Jun</t>
        </is>
      </c>
      <c r="C159" s="5" t="inlineStr">
        <is>
          <t>North</t>
        </is>
      </c>
      <c r="D159" s="5" t="inlineStr">
        <is>
          <t>Partner</t>
        </is>
      </c>
      <c r="E159" s="5" t="inlineStr">
        <is>
          <t>Webcam</t>
        </is>
      </c>
      <c r="F159" s="6" t="n">
        <v>96327</v>
      </c>
      <c r="G159" s="6" t="n">
        <v>22661.24</v>
      </c>
      <c r="H159" s="5" t="n">
        <v>99</v>
      </c>
      <c r="I159" s="7" t="n">
        <v>0.02046517406533762</v>
      </c>
      <c r="J159" s="7" t="n">
        <v>0.9195091219691411</v>
      </c>
    </row>
    <row r="160">
      <c r="A160" s="4" t="n">
        <v>46178</v>
      </c>
      <c r="B160" s="5" t="inlineStr">
        <is>
          <t>Jun</t>
        </is>
      </c>
      <c r="C160" s="5" t="inlineStr">
        <is>
          <t>East</t>
        </is>
      </c>
      <c r="D160" s="5" t="inlineStr">
        <is>
          <t>Retail</t>
        </is>
      </c>
      <c r="E160" s="5" t="inlineStr">
        <is>
          <t>Tablet</t>
        </is>
      </c>
      <c r="F160" s="6" t="n">
        <v>260946</v>
      </c>
      <c r="G160" s="6" t="n">
        <v>55066.96</v>
      </c>
      <c r="H160" s="5" t="n">
        <v>327</v>
      </c>
      <c r="I160" s="7" t="n">
        <v>0.0553019687631716</v>
      </c>
      <c r="J160" s="7" t="n">
        <v>0.972675941639814</v>
      </c>
    </row>
    <row r="161">
      <c r="A161" s="4" t="n">
        <v>46179</v>
      </c>
      <c r="B161" s="5" t="inlineStr">
        <is>
          <t>Jun</t>
        </is>
      </c>
      <c r="C161" s="5" t="inlineStr">
        <is>
          <t>West</t>
        </is>
      </c>
      <c r="D161" s="5" t="inlineStr">
        <is>
          <t>Retail</t>
        </is>
      </c>
      <c r="E161" s="5" t="inlineStr">
        <is>
          <t>Printer</t>
        </is>
      </c>
      <c r="F161" s="6" t="n">
        <v>391670</v>
      </c>
      <c r="G161" s="6" t="n">
        <v>93580.38</v>
      </c>
      <c r="H161" s="5" t="n">
        <v>265</v>
      </c>
      <c r="I161" s="7" t="n">
        <v>0.03592139599361649</v>
      </c>
      <c r="J161" s="7" t="n">
        <v>0.9856450426801222</v>
      </c>
    </row>
    <row r="162">
      <c r="A162" s="4" t="n">
        <v>46180</v>
      </c>
      <c r="B162" s="5" t="inlineStr">
        <is>
          <t>Jun</t>
        </is>
      </c>
      <c r="C162" s="5" t="inlineStr">
        <is>
          <t>North</t>
        </is>
      </c>
      <c r="D162" s="5" t="inlineStr">
        <is>
          <t>Online</t>
        </is>
      </c>
      <c r="E162" s="5" t="inlineStr">
        <is>
          <t>Headset</t>
        </is>
      </c>
      <c r="F162" s="6" t="n">
        <v>431750</v>
      </c>
      <c r="G162" s="6" t="n">
        <v>80760.3</v>
      </c>
      <c r="H162" s="5" t="n">
        <v>314</v>
      </c>
      <c r="I162" s="7" t="n">
        <v>0.08269939039995565</v>
      </c>
      <c r="J162" s="7" t="n">
        <v>0.9156992098754606</v>
      </c>
    </row>
    <row r="163">
      <c r="A163" s="4" t="n">
        <v>46181</v>
      </c>
      <c r="B163" s="5" t="inlineStr">
        <is>
          <t>Jun</t>
        </is>
      </c>
      <c r="C163" s="5" t="inlineStr">
        <is>
          <t>South</t>
        </is>
      </c>
      <c r="D163" s="5" t="inlineStr">
        <is>
          <t>Online</t>
        </is>
      </c>
      <c r="E163" s="5" t="inlineStr">
        <is>
          <t>Mouse</t>
        </is>
      </c>
      <c r="F163" s="6" t="n">
        <v>711704</v>
      </c>
      <c r="G163" s="6" t="n">
        <v>136428.7</v>
      </c>
      <c r="H163" s="5" t="n">
        <v>284</v>
      </c>
      <c r="I163" s="7" t="n">
        <v>0.07014394603909363</v>
      </c>
      <c r="J163" s="7" t="n">
        <v>0.8727612753770866</v>
      </c>
    </row>
    <row r="164">
      <c r="A164" s="4" t="n">
        <v>46182</v>
      </c>
      <c r="B164" s="5" t="inlineStr">
        <is>
          <t>Jun</t>
        </is>
      </c>
      <c r="C164" s="5" t="inlineStr">
        <is>
          <t>West</t>
        </is>
      </c>
      <c r="D164" s="5" t="inlineStr">
        <is>
          <t>Partner</t>
        </is>
      </c>
      <c r="E164" s="5" t="inlineStr">
        <is>
          <t>Printer</t>
        </is>
      </c>
      <c r="F164" s="6" t="n">
        <v>258300</v>
      </c>
      <c r="G164" s="6" t="n">
        <v>31169.3</v>
      </c>
      <c r="H164" s="5" t="n">
        <v>105</v>
      </c>
      <c r="I164" s="7" t="n">
        <v>0.03177228795388236</v>
      </c>
      <c r="J164" s="7" t="n">
        <v>0.8814958537966027</v>
      </c>
    </row>
    <row r="165">
      <c r="A165" s="4" t="n">
        <v>46183</v>
      </c>
      <c r="B165" s="5" t="inlineStr">
        <is>
          <t>Jun</t>
        </is>
      </c>
      <c r="C165" s="5" t="inlineStr">
        <is>
          <t>North</t>
        </is>
      </c>
      <c r="D165" s="5" t="inlineStr">
        <is>
          <t>Online</t>
        </is>
      </c>
      <c r="E165" s="5" t="inlineStr">
        <is>
          <t>Headset</t>
        </is>
      </c>
      <c r="F165" s="6" t="n">
        <v>749844</v>
      </c>
      <c r="G165" s="6" t="n">
        <v>71209.82000000001</v>
      </c>
      <c r="H165" s="5" t="n">
        <v>393</v>
      </c>
      <c r="I165" s="7" t="n">
        <v>0.04387082669260343</v>
      </c>
      <c r="J165" s="7" t="n">
        <v>0.9085202602503695</v>
      </c>
    </row>
    <row r="166">
      <c r="A166" s="4" t="n">
        <v>46184</v>
      </c>
      <c r="B166" s="5" t="inlineStr">
        <is>
          <t>Jun</t>
        </is>
      </c>
      <c r="C166" s="5" t="inlineStr">
        <is>
          <t>North</t>
        </is>
      </c>
      <c r="D166" s="5" t="inlineStr">
        <is>
          <t>Retail</t>
        </is>
      </c>
      <c r="E166" s="5" t="inlineStr">
        <is>
          <t>Keyboard</t>
        </is>
      </c>
      <c r="F166" s="6" t="n">
        <v>57798</v>
      </c>
      <c r="G166" s="6" t="n">
        <v>8596.15</v>
      </c>
      <c r="H166" s="5" t="n">
        <v>78</v>
      </c>
      <c r="I166" s="7" t="n">
        <v>0.03102639990890202</v>
      </c>
      <c r="J166" s="7" t="n">
        <v>0.8945773562977648</v>
      </c>
    </row>
    <row r="167">
      <c r="A167" s="4" t="n">
        <v>46185</v>
      </c>
      <c r="B167" s="5" t="inlineStr">
        <is>
          <t>Jun</t>
        </is>
      </c>
      <c r="C167" s="5" t="inlineStr">
        <is>
          <t>North</t>
        </is>
      </c>
      <c r="D167" s="5" t="inlineStr">
        <is>
          <t>Partner</t>
        </is>
      </c>
      <c r="E167" s="5" t="inlineStr">
        <is>
          <t>Keyboard</t>
        </is>
      </c>
      <c r="F167" s="6" t="n">
        <v>566865</v>
      </c>
      <c r="G167" s="6" t="n">
        <v>102014.09</v>
      </c>
      <c r="H167" s="5" t="n">
        <v>195</v>
      </c>
      <c r="I167" s="7" t="n">
        <v>0.04908687371314847</v>
      </c>
      <c r="J167" s="7" t="n">
        <v>0.9069423522888324</v>
      </c>
    </row>
    <row r="168">
      <c r="A168" s="4" t="n">
        <v>46186</v>
      </c>
      <c r="B168" s="5" t="inlineStr">
        <is>
          <t>Jun</t>
        </is>
      </c>
      <c r="C168" s="5" t="inlineStr">
        <is>
          <t>East</t>
        </is>
      </c>
      <c r="D168" s="5" t="inlineStr">
        <is>
          <t>Partner</t>
        </is>
      </c>
      <c r="E168" s="5" t="inlineStr">
        <is>
          <t>Monitor</t>
        </is>
      </c>
      <c r="F168" s="6" t="n">
        <v>153890</v>
      </c>
      <c r="G168" s="6" t="n">
        <v>17535.31</v>
      </c>
      <c r="H168" s="5" t="n">
        <v>110</v>
      </c>
      <c r="I168" s="7" t="n">
        <v>0.04415314406039075</v>
      </c>
      <c r="J168" s="7" t="n">
        <v>0.9393777636237988</v>
      </c>
    </row>
    <row r="169">
      <c r="A169" s="4" t="n">
        <v>46187</v>
      </c>
      <c r="B169" s="5" t="inlineStr">
        <is>
          <t>Jun</t>
        </is>
      </c>
      <c r="C169" s="5" t="inlineStr">
        <is>
          <t>South</t>
        </is>
      </c>
      <c r="D169" s="5" t="inlineStr">
        <is>
          <t>Retail</t>
        </is>
      </c>
      <c r="E169" s="5" t="inlineStr">
        <is>
          <t>Headset</t>
        </is>
      </c>
      <c r="F169" s="6" t="n">
        <v>614547</v>
      </c>
      <c r="G169" s="6" t="n">
        <v>74095.78</v>
      </c>
      <c r="H169" s="5" t="n">
        <v>281</v>
      </c>
      <c r="I169" s="7" t="n">
        <v>0.0223271829928028</v>
      </c>
      <c r="J169" s="7" t="n">
        <v>0.9463612712573837</v>
      </c>
    </row>
    <row r="170">
      <c r="A170" s="4" t="n">
        <v>46188</v>
      </c>
      <c r="B170" s="5" t="inlineStr">
        <is>
          <t>Jun</t>
        </is>
      </c>
      <c r="C170" s="5" t="inlineStr">
        <is>
          <t>North</t>
        </is>
      </c>
      <c r="D170" s="5" t="inlineStr">
        <is>
          <t>Partner</t>
        </is>
      </c>
      <c r="E170" s="5" t="inlineStr">
        <is>
          <t>Tablet</t>
        </is>
      </c>
      <c r="F170" s="6" t="n">
        <v>204375</v>
      </c>
      <c r="G170" s="6" t="n">
        <v>44498.73</v>
      </c>
      <c r="H170" s="5" t="n">
        <v>109</v>
      </c>
      <c r="I170" s="7" t="n">
        <v>0.07478271537780171</v>
      </c>
      <c r="J170" s="7" t="n">
        <v>0.8905547806772379</v>
      </c>
    </row>
    <row r="171">
      <c r="A171" s="4" t="n">
        <v>46189</v>
      </c>
      <c r="B171" s="5" t="inlineStr">
        <is>
          <t>Jun</t>
        </is>
      </c>
      <c r="C171" s="5" t="inlineStr">
        <is>
          <t>North</t>
        </is>
      </c>
      <c r="D171" s="5" t="inlineStr">
        <is>
          <t>Retail</t>
        </is>
      </c>
      <c r="E171" s="5" t="inlineStr">
        <is>
          <t>Printer</t>
        </is>
      </c>
      <c r="F171" s="6" t="n">
        <v>477840</v>
      </c>
      <c r="G171" s="6" t="n">
        <v>91565.00999999999</v>
      </c>
      <c r="H171" s="5" t="n">
        <v>181</v>
      </c>
      <c r="I171" s="7" t="n">
        <v>0.03597245344100124</v>
      </c>
      <c r="J171" s="7" t="n">
        <v>0.9130008691182053</v>
      </c>
    </row>
    <row r="172">
      <c r="A172" s="4" t="n">
        <v>46190</v>
      </c>
      <c r="B172" s="5" t="inlineStr">
        <is>
          <t>Jun</t>
        </is>
      </c>
      <c r="C172" s="5" t="inlineStr">
        <is>
          <t>North</t>
        </is>
      </c>
      <c r="D172" s="5" t="inlineStr">
        <is>
          <t>Retail</t>
        </is>
      </c>
      <c r="E172" s="5" t="inlineStr">
        <is>
          <t>Webcam</t>
        </is>
      </c>
      <c r="F172" s="6" t="n">
        <v>454815</v>
      </c>
      <c r="G172" s="6" t="n">
        <v>56057.07</v>
      </c>
      <c r="H172" s="5" t="n">
        <v>405</v>
      </c>
      <c r="I172" s="7" t="n">
        <v>0.02281338527856584</v>
      </c>
      <c r="J172" s="7" t="n">
        <v>0.9026882016534583</v>
      </c>
    </row>
    <row r="173">
      <c r="A173" s="4" t="n">
        <v>46191</v>
      </c>
      <c r="B173" s="5" t="inlineStr">
        <is>
          <t>Jun</t>
        </is>
      </c>
      <c r="C173" s="5" t="inlineStr">
        <is>
          <t>North</t>
        </is>
      </c>
      <c r="D173" s="5" t="inlineStr">
        <is>
          <t>Online</t>
        </is>
      </c>
      <c r="E173" s="5" t="inlineStr">
        <is>
          <t>Mouse</t>
        </is>
      </c>
      <c r="F173" s="6" t="n">
        <v>237312</v>
      </c>
      <c r="G173" s="6" t="n">
        <v>58241.87</v>
      </c>
      <c r="H173" s="5" t="n">
        <v>192</v>
      </c>
      <c r="I173" s="7" t="n">
        <v>0.06867617026079992</v>
      </c>
      <c r="J173" s="7" t="n">
        <v>0.8721603553613789</v>
      </c>
    </row>
    <row r="174">
      <c r="A174" s="4" t="n">
        <v>46192</v>
      </c>
      <c r="B174" s="5" t="inlineStr">
        <is>
          <t>Jun</t>
        </is>
      </c>
      <c r="C174" s="5" t="inlineStr">
        <is>
          <t>North</t>
        </is>
      </c>
      <c r="D174" s="5" t="inlineStr">
        <is>
          <t>Online</t>
        </is>
      </c>
      <c r="E174" s="5" t="inlineStr">
        <is>
          <t>Tablet</t>
        </is>
      </c>
      <c r="F174" s="6" t="n">
        <v>218647</v>
      </c>
      <c r="G174" s="6" t="n">
        <v>52462.69</v>
      </c>
      <c r="H174" s="5" t="n">
        <v>143</v>
      </c>
      <c r="I174" s="7" t="n">
        <v>0.03153810281945591</v>
      </c>
      <c r="J174" s="7" t="n">
        <v>0.9445236904435527</v>
      </c>
    </row>
    <row r="175">
      <c r="A175" s="4" t="n">
        <v>46193</v>
      </c>
      <c r="B175" s="5" t="inlineStr">
        <is>
          <t>Jun</t>
        </is>
      </c>
      <c r="C175" s="5" t="inlineStr">
        <is>
          <t>West</t>
        </is>
      </c>
      <c r="D175" s="5" t="inlineStr">
        <is>
          <t>Partner</t>
        </is>
      </c>
      <c r="E175" s="5" t="inlineStr">
        <is>
          <t>Tablet</t>
        </is>
      </c>
      <c r="F175" s="6" t="n">
        <v>220052</v>
      </c>
      <c r="G175" s="6" t="n">
        <v>28713.11</v>
      </c>
      <c r="H175" s="5" t="n">
        <v>203</v>
      </c>
      <c r="I175" s="7" t="n">
        <v>0.05422099670004402</v>
      </c>
      <c r="J175" s="7" t="n">
        <v>0.9430996048044324</v>
      </c>
    </row>
    <row r="176">
      <c r="A176" s="4" t="n">
        <v>46194</v>
      </c>
      <c r="B176" s="5" t="inlineStr">
        <is>
          <t>Jun</t>
        </is>
      </c>
      <c r="C176" s="5" t="inlineStr">
        <is>
          <t>West</t>
        </is>
      </c>
      <c r="D176" s="5" t="inlineStr">
        <is>
          <t>Partner</t>
        </is>
      </c>
      <c r="E176" s="5" t="inlineStr">
        <is>
          <t>Headset</t>
        </is>
      </c>
      <c r="F176" s="6" t="n">
        <v>132065</v>
      </c>
      <c r="G176" s="6" t="n">
        <v>29676.82</v>
      </c>
      <c r="H176" s="5" t="n">
        <v>61</v>
      </c>
      <c r="I176" s="7" t="n">
        <v>0.06422738680049576</v>
      </c>
      <c r="J176" s="7" t="n">
        <v>0.8684093857141068</v>
      </c>
    </row>
    <row r="177">
      <c r="A177" s="4" t="n">
        <v>46195</v>
      </c>
      <c r="B177" s="5" t="inlineStr">
        <is>
          <t>Jun</t>
        </is>
      </c>
      <c r="C177" s="5" t="inlineStr">
        <is>
          <t>South</t>
        </is>
      </c>
      <c r="D177" s="5" t="inlineStr">
        <is>
          <t>Partner</t>
        </is>
      </c>
      <c r="E177" s="5" t="inlineStr">
        <is>
          <t>Mouse</t>
        </is>
      </c>
      <c r="F177" s="6" t="n">
        <v>783673</v>
      </c>
      <c r="G177" s="6" t="n">
        <v>180095.99</v>
      </c>
      <c r="H177" s="5" t="n">
        <v>373</v>
      </c>
      <c r="I177" s="7" t="n">
        <v>0.05517412746307948</v>
      </c>
      <c r="J177" s="7" t="n">
        <v>0.9308466277382856</v>
      </c>
    </row>
    <row r="178">
      <c r="A178" s="4" t="n">
        <v>46196</v>
      </c>
      <c r="B178" s="5" t="inlineStr">
        <is>
          <t>Jun</t>
        </is>
      </c>
      <c r="C178" s="5" t="inlineStr">
        <is>
          <t>North</t>
        </is>
      </c>
      <c r="D178" s="5" t="inlineStr">
        <is>
          <t>Partner</t>
        </is>
      </c>
      <c r="E178" s="5" t="inlineStr">
        <is>
          <t>Laptop</t>
        </is>
      </c>
      <c r="F178" s="6" t="n">
        <v>713400</v>
      </c>
      <c r="G178" s="6" t="n">
        <v>162379.23</v>
      </c>
      <c r="H178" s="5" t="n">
        <v>246</v>
      </c>
      <c r="I178" s="7" t="n">
        <v>0.04703678672167075</v>
      </c>
      <c r="J178" s="7" t="n">
        <v>0.9860021738119057</v>
      </c>
    </row>
    <row r="179">
      <c r="A179" s="4" t="n">
        <v>46197</v>
      </c>
      <c r="B179" s="5" t="inlineStr">
        <is>
          <t>Jun</t>
        </is>
      </c>
      <c r="C179" s="5" t="inlineStr">
        <is>
          <t>South</t>
        </is>
      </c>
      <c r="D179" s="5" t="inlineStr">
        <is>
          <t>Partner</t>
        </is>
      </c>
      <c r="E179" s="5" t="inlineStr">
        <is>
          <t>Headset</t>
        </is>
      </c>
      <c r="F179" s="6" t="n">
        <v>207966</v>
      </c>
      <c r="G179" s="6" t="n">
        <v>20031.85</v>
      </c>
      <c r="H179" s="5" t="n">
        <v>66</v>
      </c>
      <c r="I179" s="7" t="n">
        <v>0.04503030125841029</v>
      </c>
      <c r="J179" s="7" t="n">
        <v>0.9563583145184578</v>
      </c>
    </row>
    <row r="180">
      <c r="A180" s="4" t="n">
        <v>46198</v>
      </c>
      <c r="B180" s="5" t="inlineStr">
        <is>
          <t>Jun</t>
        </is>
      </c>
      <c r="C180" s="5" t="inlineStr">
        <is>
          <t>East</t>
        </is>
      </c>
      <c r="D180" s="5" t="inlineStr">
        <is>
          <t>Online</t>
        </is>
      </c>
      <c r="E180" s="5" t="inlineStr">
        <is>
          <t>Keyboard</t>
        </is>
      </c>
      <c r="F180" s="6" t="n">
        <v>798090</v>
      </c>
      <c r="G180" s="6" t="n">
        <v>194087.94</v>
      </c>
      <c r="H180" s="5" t="n">
        <v>370</v>
      </c>
      <c r="I180" s="7" t="n">
        <v>0.04631911270404154</v>
      </c>
      <c r="J180" s="7" t="n">
        <v>0.9471216680707525</v>
      </c>
    </row>
    <row r="181">
      <c r="A181" s="4" t="n">
        <v>46199</v>
      </c>
      <c r="B181" s="5" t="inlineStr">
        <is>
          <t>Jun</t>
        </is>
      </c>
      <c r="C181" s="5" t="inlineStr">
        <is>
          <t>North</t>
        </is>
      </c>
      <c r="D181" s="5" t="inlineStr">
        <is>
          <t>Online</t>
        </is>
      </c>
      <c r="E181" s="5" t="inlineStr">
        <is>
          <t>Laptop</t>
        </is>
      </c>
      <c r="F181" s="6" t="n">
        <v>286468</v>
      </c>
      <c r="G181" s="6" t="n">
        <v>46873.52</v>
      </c>
      <c r="H181" s="5" t="n">
        <v>182</v>
      </c>
      <c r="I181" s="7" t="n">
        <v>0.06758036403391006</v>
      </c>
      <c r="J181" s="7" t="n">
        <v>0.9312153645535876</v>
      </c>
    </row>
    <row r="182">
      <c r="A182" s="4" t="n">
        <v>46200</v>
      </c>
      <c r="B182" s="5" t="inlineStr">
        <is>
          <t>Jun</t>
        </is>
      </c>
      <c r="C182" s="5" t="inlineStr">
        <is>
          <t>South</t>
        </is>
      </c>
      <c r="D182" s="5" t="inlineStr">
        <is>
          <t>Online</t>
        </is>
      </c>
      <c r="E182" s="5" t="inlineStr">
        <is>
          <t>Mouse</t>
        </is>
      </c>
      <c r="F182" s="6" t="n">
        <v>308133</v>
      </c>
      <c r="G182" s="6" t="n">
        <v>47144.81</v>
      </c>
      <c r="H182" s="5" t="n">
        <v>219</v>
      </c>
      <c r="I182" s="7" t="n">
        <v>0.03001724660112883</v>
      </c>
      <c r="J182" s="7" t="n">
        <v>0.9613766291972828</v>
      </c>
    </row>
    <row r="183">
      <c r="A183" s="4" t="n">
        <v>46201</v>
      </c>
      <c r="B183" s="5" t="inlineStr">
        <is>
          <t>Jun</t>
        </is>
      </c>
      <c r="C183" s="5" t="inlineStr">
        <is>
          <t>West</t>
        </is>
      </c>
      <c r="D183" s="5" t="inlineStr">
        <is>
          <t>Online</t>
        </is>
      </c>
      <c r="E183" s="5" t="inlineStr">
        <is>
          <t>Monitor</t>
        </is>
      </c>
      <c r="F183" s="6" t="n">
        <v>452166</v>
      </c>
      <c r="G183" s="6" t="n">
        <v>100102.34</v>
      </c>
      <c r="H183" s="5" t="n">
        <v>186</v>
      </c>
      <c r="I183" s="7" t="n">
        <v>0.04456828558583278</v>
      </c>
      <c r="J183" s="7" t="n">
        <v>0.974661244263364</v>
      </c>
    </row>
    <row r="184">
      <c r="A184" s="4" t="n">
        <v>46202</v>
      </c>
      <c r="B184" s="5" t="inlineStr">
        <is>
          <t>Jun</t>
        </is>
      </c>
      <c r="C184" s="5" t="inlineStr">
        <is>
          <t>West</t>
        </is>
      </c>
      <c r="D184" s="5" t="inlineStr">
        <is>
          <t>Retail</t>
        </is>
      </c>
      <c r="E184" s="5" t="inlineStr">
        <is>
          <t>Tablet</t>
        </is>
      </c>
      <c r="F184" s="6" t="n">
        <v>478500</v>
      </c>
      <c r="G184" s="6" t="n">
        <v>84683.48</v>
      </c>
      <c r="H184" s="5" t="n">
        <v>150</v>
      </c>
      <c r="I184" s="7" t="n">
        <v>0.08355513951816253</v>
      </c>
      <c r="J184" s="7" t="n">
        <v>0.8922349123936749</v>
      </c>
    </row>
    <row r="185">
      <c r="A185" s="4" t="n">
        <v>46203</v>
      </c>
      <c r="B185" s="5" t="inlineStr">
        <is>
          <t>Jun</t>
        </is>
      </c>
      <c r="C185" s="5" t="inlineStr">
        <is>
          <t>South</t>
        </is>
      </c>
      <c r="D185" s="5" t="inlineStr">
        <is>
          <t>Partner</t>
        </is>
      </c>
      <c r="E185" s="5" t="inlineStr">
        <is>
          <t>Mouse</t>
        </is>
      </c>
      <c r="F185" s="6" t="n">
        <v>860626</v>
      </c>
      <c r="G185" s="6" t="n">
        <v>153179.74</v>
      </c>
      <c r="H185" s="5" t="n">
        <v>419</v>
      </c>
      <c r="I185" s="7" t="n">
        <v>0.03050417181333735</v>
      </c>
      <c r="J185" s="7" t="n">
        <v>0.9220971437449336</v>
      </c>
    </row>
    <row r="186">
      <c r="A186" s="4" t="n">
        <v>46023</v>
      </c>
      <c r="B186" s="5" t="inlineStr">
        <is>
          <t>Jan</t>
        </is>
      </c>
      <c r="C186" s="5" t="inlineStr">
        <is>
          <t>West</t>
        </is>
      </c>
      <c r="D186" s="5" t="inlineStr">
        <is>
          <t>Retail</t>
        </is>
      </c>
      <c r="E186" s="5" t="inlineStr">
        <is>
          <t>Headset</t>
        </is>
      </c>
      <c r="F186" s="6" t="n">
        <v>246696</v>
      </c>
      <c r="G186" s="6" t="n">
        <v>58933.58</v>
      </c>
      <c r="H186" s="5" t="n">
        <v>152</v>
      </c>
      <c r="I186" s="7" t="n">
        <v>0.0208753819491654</v>
      </c>
      <c r="J186" s="7" t="n">
        <v>0.8970086906876626</v>
      </c>
    </row>
    <row r="187">
      <c r="A187" s="4" t="n">
        <v>46024</v>
      </c>
      <c r="B187" s="5" t="inlineStr">
        <is>
          <t>Jan</t>
        </is>
      </c>
      <c r="C187" s="5" t="inlineStr">
        <is>
          <t>North</t>
        </is>
      </c>
      <c r="D187" s="5" t="inlineStr">
        <is>
          <t>Retail</t>
        </is>
      </c>
      <c r="E187" s="5" t="inlineStr">
        <is>
          <t>Headset</t>
        </is>
      </c>
      <c r="F187" s="6" t="n">
        <v>770304</v>
      </c>
      <c r="G187" s="6" t="n">
        <v>154869.61</v>
      </c>
      <c r="H187" s="5" t="n">
        <v>408</v>
      </c>
      <c r="I187" s="7" t="n">
        <v>0.04052129843525162</v>
      </c>
      <c r="J187" s="7" t="n">
        <v>0.9692750691926957</v>
      </c>
    </row>
    <row r="188">
      <c r="A188" s="4" t="n">
        <v>46025</v>
      </c>
      <c r="B188" s="5" t="inlineStr">
        <is>
          <t>Jan</t>
        </is>
      </c>
      <c r="C188" s="5" t="inlineStr">
        <is>
          <t>East</t>
        </is>
      </c>
      <c r="D188" s="5" t="inlineStr">
        <is>
          <t>Retail</t>
        </is>
      </c>
      <c r="E188" s="5" t="inlineStr">
        <is>
          <t>Monitor</t>
        </is>
      </c>
      <c r="F188" s="6" t="n">
        <v>678538</v>
      </c>
      <c r="G188" s="6" t="n">
        <v>116555.69</v>
      </c>
      <c r="H188" s="5" t="n">
        <v>238</v>
      </c>
      <c r="I188" s="7" t="n">
        <v>0.02601760855192895</v>
      </c>
      <c r="J188" s="7" t="n">
        <v>0.9525918295817066</v>
      </c>
    </row>
    <row r="189">
      <c r="A189" s="4" t="n">
        <v>46026</v>
      </c>
      <c r="B189" s="5" t="inlineStr">
        <is>
          <t>Jan</t>
        </is>
      </c>
      <c r="C189" s="5" t="inlineStr">
        <is>
          <t>South</t>
        </is>
      </c>
      <c r="D189" s="5" t="inlineStr">
        <is>
          <t>Online</t>
        </is>
      </c>
      <c r="E189" s="5" t="inlineStr">
        <is>
          <t>Tablet</t>
        </is>
      </c>
      <c r="F189" s="6" t="n">
        <v>93425</v>
      </c>
      <c r="G189" s="6" t="n">
        <v>16204.77</v>
      </c>
      <c r="H189" s="5" t="n">
        <v>101</v>
      </c>
      <c r="I189" s="7" t="n">
        <v>0.07226350050916638</v>
      </c>
      <c r="J189" s="7" t="n">
        <v>0.9833875809078939</v>
      </c>
    </row>
    <row r="190">
      <c r="A190" s="4" t="n">
        <v>46027</v>
      </c>
      <c r="B190" s="5" t="inlineStr">
        <is>
          <t>Jan</t>
        </is>
      </c>
      <c r="C190" s="5" t="inlineStr">
        <is>
          <t>East</t>
        </is>
      </c>
      <c r="D190" s="5" t="inlineStr">
        <is>
          <t>Online</t>
        </is>
      </c>
      <c r="E190" s="5" t="inlineStr">
        <is>
          <t>Mouse</t>
        </is>
      </c>
      <c r="F190" s="6" t="n">
        <v>276830</v>
      </c>
      <c r="G190" s="6" t="n">
        <v>52117.18</v>
      </c>
      <c r="H190" s="5" t="n">
        <v>155</v>
      </c>
      <c r="I190" s="7" t="n">
        <v>0.07899541954252398</v>
      </c>
      <c r="J190" s="7" t="n">
        <v>0.9363755110321057</v>
      </c>
    </row>
    <row r="191">
      <c r="A191" s="4" t="n">
        <v>46028</v>
      </c>
      <c r="B191" s="5" t="inlineStr">
        <is>
          <t>Jan</t>
        </is>
      </c>
      <c r="C191" s="5" t="inlineStr">
        <is>
          <t>North</t>
        </is>
      </c>
      <c r="D191" s="5" t="inlineStr">
        <is>
          <t>Partner</t>
        </is>
      </c>
      <c r="E191" s="5" t="inlineStr">
        <is>
          <t>Printer</t>
        </is>
      </c>
      <c r="F191" s="6" t="n">
        <v>480600</v>
      </c>
      <c r="G191" s="6" t="n">
        <v>64665.06</v>
      </c>
      <c r="H191" s="5" t="n">
        <v>180</v>
      </c>
      <c r="I191" s="7" t="n">
        <v>0.03581481175770571</v>
      </c>
      <c r="J191" s="7" t="n">
        <v>0.8959631094983357</v>
      </c>
    </row>
    <row r="192">
      <c r="A192" s="4" t="n">
        <v>46029</v>
      </c>
      <c r="B192" s="5" t="inlineStr">
        <is>
          <t>Jan</t>
        </is>
      </c>
      <c r="C192" s="5" t="inlineStr">
        <is>
          <t>North</t>
        </is>
      </c>
      <c r="D192" s="5" t="inlineStr">
        <is>
          <t>Partner</t>
        </is>
      </c>
      <c r="E192" s="5" t="inlineStr">
        <is>
          <t>Tablet</t>
        </is>
      </c>
      <c r="F192" s="6" t="n">
        <v>63096</v>
      </c>
      <c r="G192" s="6" t="n">
        <v>9624.17</v>
      </c>
      <c r="H192" s="5" t="n">
        <v>44</v>
      </c>
      <c r="I192" s="7" t="n">
        <v>0.04505947816817518</v>
      </c>
      <c r="J192" s="7" t="n">
        <v>0.9354105441881607</v>
      </c>
    </row>
    <row r="193">
      <c r="A193" s="4" t="n">
        <v>46030</v>
      </c>
      <c r="B193" s="5" t="inlineStr">
        <is>
          <t>Jan</t>
        </is>
      </c>
      <c r="C193" s="5" t="inlineStr">
        <is>
          <t>North</t>
        </is>
      </c>
      <c r="D193" s="5" t="inlineStr">
        <is>
          <t>Online</t>
        </is>
      </c>
      <c r="E193" s="5" t="inlineStr">
        <is>
          <t>Laptop</t>
        </is>
      </c>
      <c r="F193" s="6" t="n">
        <v>128570</v>
      </c>
      <c r="G193" s="6" t="n">
        <v>11580.58</v>
      </c>
      <c r="H193" s="5" t="n">
        <v>43</v>
      </c>
      <c r="I193" s="7" t="n">
        <v>0.05996176218244131</v>
      </c>
      <c r="J193" s="7" t="n">
        <v>0.9456870680503109</v>
      </c>
    </row>
    <row r="194">
      <c r="A194" s="4" t="n">
        <v>46031</v>
      </c>
      <c r="B194" s="5" t="inlineStr">
        <is>
          <t>Jan</t>
        </is>
      </c>
      <c r="C194" s="5" t="inlineStr">
        <is>
          <t>North</t>
        </is>
      </c>
      <c r="D194" s="5" t="inlineStr">
        <is>
          <t>Partner</t>
        </is>
      </c>
      <c r="E194" s="5" t="inlineStr">
        <is>
          <t>Monitor</t>
        </is>
      </c>
      <c r="F194" s="6" t="n">
        <v>38514</v>
      </c>
      <c r="G194" s="6" t="n">
        <v>6482.94</v>
      </c>
      <c r="H194" s="5" t="n">
        <v>49</v>
      </c>
      <c r="I194" s="7" t="n">
        <v>0.04772702784422306</v>
      </c>
      <c r="J194" s="7" t="n">
        <v>0.8668679321693734</v>
      </c>
    </row>
    <row r="195">
      <c r="A195" s="4" t="n">
        <v>46032</v>
      </c>
      <c r="B195" s="5" t="inlineStr">
        <is>
          <t>Jan</t>
        </is>
      </c>
      <c r="C195" s="5" t="inlineStr">
        <is>
          <t>South</t>
        </is>
      </c>
      <c r="D195" s="5" t="inlineStr">
        <is>
          <t>Online</t>
        </is>
      </c>
      <c r="E195" s="5" t="inlineStr">
        <is>
          <t>Tablet</t>
        </is>
      </c>
      <c r="F195" s="6" t="n">
        <v>460272</v>
      </c>
      <c r="G195" s="6" t="n">
        <v>77712.39</v>
      </c>
      <c r="H195" s="5" t="n">
        <v>344</v>
      </c>
      <c r="I195" s="7" t="n">
        <v>0.04834946561755932</v>
      </c>
      <c r="J195" s="7" t="n">
        <v>0.8869223474702672</v>
      </c>
    </row>
    <row r="196">
      <c r="A196" s="4" t="n">
        <v>46033</v>
      </c>
      <c r="B196" s="5" t="inlineStr">
        <is>
          <t>Jan</t>
        </is>
      </c>
      <c r="C196" s="5" t="inlineStr">
        <is>
          <t>West</t>
        </is>
      </c>
      <c r="D196" s="5" t="inlineStr">
        <is>
          <t>Retail</t>
        </is>
      </c>
      <c r="E196" s="5" t="inlineStr">
        <is>
          <t>Monitor</t>
        </is>
      </c>
      <c r="F196" s="6" t="n">
        <v>567349</v>
      </c>
      <c r="G196" s="6" t="n">
        <v>140512.03</v>
      </c>
      <c r="H196" s="5" t="n">
        <v>199</v>
      </c>
      <c r="I196" s="7" t="n">
        <v>0.07805909603963865</v>
      </c>
      <c r="J196" s="7" t="n">
        <v>0.9904609808767784</v>
      </c>
    </row>
    <row r="197">
      <c r="A197" s="4" t="n">
        <v>46034</v>
      </c>
      <c r="B197" s="5" t="inlineStr">
        <is>
          <t>Jan</t>
        </is>
      </c>
      <c r="C197" s="5" t="inlineStr">
        <is>
          <t>East</t>
        </is>
      </c>
      <c r="D197" s="5" t="inlineStr">
        <is>
          <t>Retail</t>
        </is>
      </c>
      <c r="E197" s="5" t="inlineStr">
        <is>
          <t>Keyboard</t>
        </is>
      </c>
      <c r="F197" s="6" t="n">
        <v>248148</v>
      </c>
      <c r="G197" s="6" t="n">
        <v>57991.7</v>
      </c>
      <c r="H197" s="5" t="n">
        <v>244</v>
      </c>
      <c r="I197" s="7" t="n">
        <v>0.04181680164935221</v>
      </c>
      <c r="J197" s="7" t="n">
        <v>0.8708249825289649</v>
      </c>
    </row>
    <row r="198">
      <c r="A198" s="4" t="n">
        <v>46035</v>
      </c>
      <c r="B198" s="5" t="inlineStr">
        <is>
          <t>Jan</t>
        </is>
      </c>
      <c r="C198" s="5" t="inlineStr">
        <is>
          <t>South</t>
        </is>
      </c>
      <c r="D198" s="5" t="inlineStr">
        <is>
          <t>Online</t>
        </is>
      </c>
      <c r="E198" s="5" t="inlineStr">
        <is>
          <t>Laptop</t>
        </is>
      </c>
      <c r="F198" s="6" t="n">
        <v>110160</v>
      </c>
      <c r="G198" s="6" t="n">
        <v>14238.44</v>
      </c>
      <c r="H198" s="5" t="n">
        <v>135</v>
      </c>
      <c r="I198" s="7" t="n">
        <v>0.07492482366012462</v>
      </c>
      <c r="J198" s="7" t="n">
        <v>0.8607573360952158</v>
      </c>
    </row>
    <row r="199">
      <c r="A199" s="4" t="n">
        <v>46036</v>
      </c>
      <c r="B199" s="5" t="inlineStr">
        <is>
          <t>Jan</t>
        </is>
      </c>
      <c r="C199" s="5" t="inlineStr">
        <is>
          <t>East</t>
        </is>
      </c>
      <c r="D199" s="5" t="inlineStr">
        <is>
          <t>Online</t>
        </is>
      </c>
      <c r="E199" s="5" t="inlineStr">
        <is>
          <t>Webcam</t>
        </is>
      </c>
      <c r="F199" s="6" t="n">
        <v>103530</v>
      </c>
      <c r="G199" s="6" t="n">
        <v>25050.76</v>
      </c>
      <c r="H199" s="5" t="n">
        <v>145</v>
      </c>
      <c r="I199" s="7" t="n">
        <v>0.03118859906940686</v>
      </c>
      <c r="J199" s="7" t="n">
        <v>0.9198197469126811</v>
      </c>
    </row>
    <row r="200">
      <c r="A200" s="4" t="n">
        <v>46037</v>
      </c>
      <c r="B200" s="5" t="inlineStr">
        <is>
          <t>Jan</t>
        </is>
      </c>
      <c r="C200" s="5" t="inlineStr">
        <is>
          <t>East</t>
        </is>
      </c>
      <c r="D200" s="5" t="inlineStr">
        <is>
          <t>Retail</t>
        </is>
      </c>
      <c r="E200" s="5" t="inlineStr">
        <is>
          <t>Printer</t>
        </is>
      </c>
      <c r="F200" s="6" t="n">
        <v>206976</v>
      </c>
      <c r="G200" s="6" t="n">
        <v>34939.04</v>
      </c>
      <c r="H200" s="5" t="n">
        <v>84</v>
      </c>
      <c r="I200" s="7" t="n">
        <v>0.07255242506143222</v>
      </c>
      <c r="J200" s="7" t="n">
        <v>0.8930496496588136</v>
      </c>
    </row>
    <row r="201">
      <c r="A201" s="4" t="n">
        <v>46038</v>
      </c>
      <c r="B201" s="5" t="inlineStr">
        <is>
          <t>Jan</t>
        </is>
      </c>
      <c r="C201" s="5" t="inlineStr">
        <is>
          <t>South</t>
        </is>
      </c>
      <c r="D201" s="5" t="inlineStr">
        <is>
          <t>Retail</t>
        </is>
      </c>
      <c r="E201" s="5" t="inlineStr">
        <is>
          <t>Headset</t>
        </is>
      </c>
      <c r="F201" s="6" t="n">
        <v>64108</v>
      </c>
      <c r="G201" s="6" t="n">
        <v>14892.66</v>
      </c>
      <c r="H201" s="5" t="n">
        <v>62</v>
      </c>
      <c r="I201" s="7" t="n">
        <v>0.02083081364817504</v>
      </c>
      <c r="J201" s="7" t="n">
        <v>0.9550981344478701</v>
      </c>
    </row>
    <row r="202">
      <c r="A202" s="4" t="n">
        <v>46039</v>
      </c>
      <c r="B202" s="5" t="inlineStr">
        <is>
          <t>Jan</t>
        </is>
      </c>
      <c r="C202" s="5" t="inlineStr">
        <is>
          <t>West</t>
        </is>
      </c>
      <c r="D202" s="5" t="inlineStr">
        <is>
          <t>Retail</t>
        </is>
      </c>
      <c r="E202" s="5" t="inlineStr">
        <is>
          <t>Laptop</t>
        </is>
      </c>
      <c r="F202" s="6" t="n">
        <v>367256</v>
      </c>
      <c r="G202" s="6" t="n">
        <v>83720.97</v>
      </c>
      <c r="H202" s="5" t="n">
        <v>116</v>
      </c>
      <c r="I202" s="7" t="n">
        <v>0.07598898309264589</v>
      </c>
      <c r="J202" s="7" t="n">
        <v>0.9662106464978237</v>
      </c>
    </row>
    <row r="203">
      <c r="A203" s="4" t="n">
        <v>46040</v>
      </c>
      <c r="B203" s="5" t="inlineStr">
        <is>
          <t>Jan</t>
        </is>
      </c>
      <c r="C203" s="5" t="inlineStr">
        <is>
          <t>South</t>
        </is>
      </c>
      <c r="D203" s="5" t="inlineStr">
        <is>
          <t>Online</t>
        </is>
      </c>
      <c r="E203" s="5" t="inlineStr">
        <is>
          <t>Monitor</t>
        </is>
      </c>
      <c r="F203" s="6" t="n">
        <v>491741</v>
      </c>
      <c r="G203" s="6" t="n">
        <v>90250.03999999999</v>
      </c>
      <c r="H203" s="5" t="n">
        <v>349</v>
      </c>
      <c r="I203" s="7" t="n">
        <v>0.06722743693577968</v>
      </c>
      <c r="J203" s="7" t="n">
        <v>0.9810552478260337</v>
      </c>
    </row>
    <row r="204">
      <c r="A204" s="4" t="n">
        <v>46041</v>
      </c>
      <c r="B204" s="5" t="inlineStr">
        <is>
          <t>Jan</t>
        </is>
      </c>
      <c r="C204" s="5" t="inlineStr">
        <is>
          <t>South</t>
        </is>
      </c>
      <c r="D204" s="5" t="inlineStr">
        <is>
          <t>Retail</t>
        </is>
      </c>
      <c r="E204" s="5" t="inlineStr">
        <is>
          <t>Monitor</t>
        </is>
      </c>
      <c r="F204" s="6" t="n">
        <v>379680</v>
      </c>
      <c r="G204" s="6" t="n">
        <v>37901.96</v>
      </c>
      <c r="H204" s="5" t="n">
        <v>140</v>
      </c>
      <c r="I204" s="7" t="n">
        <v>0.05231754084010889</v>
      </c>
      <c r="J204" s="7" t="n">
        <v>0.8766055902440394</v>
      </c>
    </row>
    <row r="205">
      <c r="A205" s="4" t="n">
        <v>46042</v>
      </c>
      <c r="B205" s="5" t="inlineStr">
        <is>
          <t>Jan</t>
        </is>
      </c>
      <c r="C205" s="5" t="inlineStr">
        <is>
          <t>North</t>
        </is>
      </c>
      <c r="D205" s="5" t="inlineStr">
        <is>
          <t>Retail</t>
        </is>
      </c>
      <c r="E205" s="5" t="inlineStr">
        <is>
          <t>Headset</t>
        </is>
      </c>
      <c r="F205" s="6" t="n">
        <v>387075</v>
      </c>
      <c r="G205" s="6" t="n">
        <v>43218.9</v>
      </c>
      <c r="H205" s="5" t="n">
        <v>325</v>
      </c>
      <c r="I205" s="7" t="n">
        <v>0.0799800011854708</v>
      </c>
      <c r="J205" s="7" t="n">
        <v>0.9498012554224761</v>
      </c>
    </row>
    <row r="206">
      <c r="A206" s="4" t="n">
        <v>46043</v>
      </c>
      <c r="B206" s="5" t="inlineStr">
        <is>
          <t>Jan</t>
        </is>
      </c>
      <c r="C206" s="5" t="inlineStr">
        <is>
          <t>East</t>
        </is>
      </c>
      <c r="D206" s="5" t="inlineStr">
        <is>
          <t>Online</t>
        </is>
      </c>
      <c r="E206" s="5" t="inlineStr">
        <is>
          <t>Webcam</t>
        </is>
      </c>
      <c r="F206" s="6" t="n">
        <v>588695</v>
      </c>
      <c r="G206" s="6" t="n">
        <v>82561.22</v>
      </c>
      <c r="H206" s="5" t="n">
        <v>281</v>
      </c>
      <c r="I206" s="7" t="n">
        <v>0.04448289113388516</v>
      </c>
      <c r="J206" s="7" t="n">
        <v>0.9905161883013296</v>
      </c>
    </row>
    <row r="207">
      <c r="A207" s="4" t="n">
        <v>46044</v>
      </c>
      <c r="B207" s="5" t="inlineStr">
        <is>
          <t>Jan</t>
        </is>
      </c>
      <c r="C207" s="5" t="inlineStr">
        <is>
          <t>West</t>
        </is>
      </c>
      <c r="D207" s="5" t="inlineStr">
        <is>
          <t>Partner</t>
        </is>
      </c>
      <c r="E207" s="5" t="inlineStr">
        <is>
          <t>Printer</t>
        </is>
      </c>
      <c r="F207" s="6" t="n">
        <v>227552</v>
      </c>
      <c r="G207" s="6" t="n">
        <v>34848.84</v>
      </c>
      <c r="H207" s="5" t="n">
        <v>208</v>
      </c>
      <c r="I207" s="7" t="n">
        <v>0.08415762467336438</v>
      </c>
      <c r="J207" s="7" t="n">
        <v>0.9698268598521975</v>
      </c>
    </row>
    <row r="208">
      <c r="A208" s="4" t="n">
        <v>46045</v>
      </c>
      <c r="B208" s="5" t="inlineStr">
        <is>
          <t>Jan</t>
        </is>
      </c>
      <c r="C208" s="5" t="inlineStr">
        <is>
          <t>North</t>
        </is>
      </c>
      <c r="D208" s="5" t="inlineStr">
        <is>
          <t>Online</t>
        </is>
      </c>
      <c r="E208" s="5" t="inlineStr">
        <is>
          <t>Mouse</t>
        </is>
      </c>
      <c r="F208" s="6" t="n">
        <v>875863</v>
      </c>
      <c r="G208" s="6" t="n">
        <v>106287.61</v>
      </c>
      <c r="H208" s="5" t="n">
        <v>337</v>
      </c>
      <c r="I208" s="7" t="n">
        <v>0.02595020295305298</v>
      </c>
      <c r="J208" s="7" t="n">
        <v>0.9807119956087352</v>
      </c>
    </row>
    <row r="209">
      <c r="A209" s="4" t="n">
        <v>46046</v>
      </c>
      <c r="B209" s="5" t="inlineStr">
        <is>
          <t>Jan</t>
        </is>
      </c>
      <c r="C209" s="5" t="inlineStr">
        <is>
          <t>South</t>
        </is>
      </c>
      <c r="D209" s="5" t="inlineStr">
        <is>
          <t>Partner</t>
        </is>
      </c>
      <c r="E209" s="5" t="inlineStr">
        <is>
          <t>Webcam</t>
        </is>
      </c>
      <c r="F209" s="6" t="n">
        <v>530010</v>
      </c>
      <c r="G209" s="6" t="n">
        <v>79591.37</v>
      </c>
      <c r="H209" s="5" t="n">
        <v>390</v>
      </c>
      <c r="I209" s="7" t="n">
        <v>0.04450298989657462</v>
      </c>
      <c r="J209" s="7" t="n">
        <v>0.8804462273775389</v>
      </c>
    </row>
    <row r="210">
      <c r="A210" s="4" t="n">
        <v>46047</v>
      </c>
      <c r="B210" s="5" t="inlineStr">
        <is>
          <t>Jan</t>
        </is>
      </c>
      <c r="C210" s="5" t="inlineStr">
        <is>
          <t>South</t>
        </is>
      </c>
      <c r="D210" s="5" t="inlineStr">
        <is>
          <t>Online</t>
        </is>
      </c>
      <c r="E210" s="5" t="inlineStr">
        <is>
          <t>Printer</t>
        </is>
      </c>
      <c r="F210" s="6" t="n">
        <v>386715</v>
      </c>
      <c r="G210" s="6" t="n">
        <v>36342.27</v>
      </c>
      <c r="H210" s="5" t="n">
        <v>127</v>
      </c>
      <c r="I210" s="7" t="n">
        <v>0.06517983786987623</v>
      </c>
      <c r="J210" s="7" t="n">
        <v>0.9018667696478675</v>
      </c>
    </row>
    <row r="211">
      <c r="A211" s="4" t="n">
        <v>46048</v>
      </c>
      <c r="B211" s="5" t="inlineStr">
        <is>
          <t>Jan</t>
        </is>
      </c>
      <c r="C211" s="5" t="inlineStr">
        <is>
          <t>East</t>
        </is>
      </c>
      <c r="D211" s="5" t="inlineStr">
        <is>
          <t>Online</t>
        </is>
      </c>
      <c r="E211" s="5" t="inlineStr">
        <is>
          <t>Webcam</t>
        </is>
      </c>
      <c r="F211" s="6" t="n">
        <v>483879</v>
      </c>
      <c r="G211" s="6" t="n">
        <v>45640.31</v>
      </c>
      <c r="H211" s="5" t="n">
        <v>363</v>
      </c>
      <c r="I211" s="7" t="n">
        <v>0.0289302339251682</v>
      </c>
      <c r="J211" s="7" t="n">
        <v>0.8901959626939552</v>
      </c>
    </row>
    <row r="212">
      <c r="A212" s="4" t="n">
        <v>46049</v>
      </c>
      <c r="B212" s="5" t="inlineStr">
        <is>
          <t>Jan</t>
        </is>
      </c>
      <c r="C212" s="5" t="inlineStr">
        <is>
          <t>East</t>
        </is>
      </c>
      <c r="D212" s="5" t="inlineStr">
        <is>
          <t>Online</t>
        </is>
      </c>
      <c r="E212" s="5" t="inlineStr">
        <is>
          <t>Webcam</t>
        </is>
      </c>
      <c r="F212" s="6" t="n">
        <v>224037</v>
      </c>
      <c r="G212" s="6" t="n">
        <v>48274.23</v>
      </c>
      <c r="H212" s="5" t="n">
        <v>279</v>
      </c>
      <c r="I212" s="7" t="n">
        <v>0.02203462233961145</v>
      </c>
      <c r="J212" s="7" t="n">
        <v>0.9948654188020589</v>
      </c>
    </row>
    <row r="213">
      <c r="A213" s="4" t="n">
        <v>46050</v>
      </c>
      <c r="B213" s="5" t="inlineStr">
        <is>
          <t>Jan</t>
        </is>
      </c>
      <c r="C213" s="5" t="inlineStr">
        <is>
          <t>West</t>
        </is>
      </c>
      <c r="D213" s="5" t="inlineStr">
        <is>
          <t>Online</t>
        </is>
      </c>
      <c r="E213" s="5" t="inlineStr">
        <is>
          <t>Mouse</t>
        </is>
      </c>
      <c r="F213" s="6" t="n">
        <v>295021</v>
      </c>
      <c r="G213" s="6" t="n">
        <v>73082.23</v>
      </c>
      <c r="H213" s="5" t="n">
        <v>101</v>
      </c>
      <c r="I213" s="7" t="n">
        <v>0.02618345688252394</v>
      </c>
      <c r="J213" s="7" t="n">
        <v>0.876264673862202</v>
      </c>
    </row>
    <row r="214">
      <c r="A214" s="4" t="n">
        <v>46051</v>
      </c>
      <c r="B214" s="5" t="inlineStr">
        <is>
          <t>Jan</t>
        </is>
      </c>
      <c r="C214" s="5" t="inlineStr">
        <is>
          <t>South</t>
        </is>
      </c>
      <c r="D214" s="5" t="inlineStr">
        <is>
          <t>Online</t>
        </is>
      </c>
      <c r="E214" s="5" t="inlineStr">
        <is>
          <t>Printer</t>
        </is>
      </c>
      <c r="F214" s="6" t="n">
        <v>289822</v>
      </c>
      <c r="G214" s="6" t="n">
        <v>64131.43</v>
      </c>
      <c r="H214" s="5" t="n">
        <v>314</v>
      </c>
      <c r="I214" s="7" t="n">
        <v>0.04097559835778369</v>
      </c>
      <c r="J214" s="7" t="n">
        <v>0.8840336730841811</v>
      </c>
    </row>
    <row r="215">
      <c r="A215" s="4" t="n">
        <v>46052</v>
      </c>
      <c r="B215" s="5" t="inlineStr">
        <is>
          <t>Jan</t>
        </is>
      </c>
      <c r="C215" s="5" t="inlineStr">
        <is>
          <t>West</t>
        </is>
      </c>
      <c r="D215" s="5" t="inlineStr">
        <is>
          <t>Partner</t>
        </is>
      </c>
      <c r="E215" s="5" t="inlineStr">
        <is>
          <t>Keyboard</t>
        </is>
      </c>
      <c r="F215" s="6" t="n">
        <v>749664</v>
      </c>
      <c r="G215" s="6" t="n">
        <v>174065.13</v>
      </c>
      <c r="H215" s="5" t="n">
        <v>342</v>
      </c>
      <c r="I215" s="7" t="n">
        <v>0.08415108516986178</v>
      </c>
      <c r="J215" s="7" t="n">
        <v>0.9235323847532733</v>
      </c>
    </row>
    <row r="216">
      <c r="A216" s="4" t="n">
        <v>46053</v>
      </c>
      <c r="B216" s="5" t="inlineStr">
        <is>
          <t>Jan</t>
        </is>
      </c>
      <c r="C216" s="5" t="inlineStr">
        <is>
          <t>North</t>
        </is>
      </c>
      <c r="D216" s="5" t="inlineStr">
        <is>
          <t>Partner</t>
        </is>
      </c>
      <c r="E216" s="5" t="inlineStr">
        <is>
          <t>Printer</t>
        </is>
      </c>
      <c r="F216" s="6" t="n">
        <v>290376</v>
      </c>
      <c r="G216" s="6" t="n">
        <v>44528.2</v>
      </c>
      <c r="H216" s="5" t="n">
        <v>111</v>
      </c>
      <c r="I216" s="7" t="n">
        <v>0.0243989665740437</v>
      </c>
      <c r="J216" s="7" t="n">
        <v>0.975482872496539</v>
      </c>
    </row>
    <row r="217">
      <c r="A217" s="4" t="n">
        <v>46054</v>
      </c>
      <c r="B217" s="5" t="inlineStr">
        <is>
          <t>Feb</t>
        </is>
      </c>
      <c r="C217" s="5" t="inlineStr">
        <is>
          <t>South</t>
        </is>
      </c>
      <c r="D217" s="5" t="inlineStr">
        <is>
          <t>Partner</t>
        </is>
      </c>
      <c r="E217" s="5" t="inlineStr">
        <is>
          <t>Tablet</t>
        </is>
      </c>
      <c r="F217" s="6" t="n">
        <v>282162</v>
      </c>
      <c r="G217" s="6" t="n">
        <v>33288.46</v>
      </c>
      <c r="H217" s="5" t="n">
        <v>246</v>
      </c>
      <c r="I217" s="7" t="n">
        <v>0.04490327412693729</v>
      </c>
      <c r="J217" s="7" t="n">
        <v>0.9215640475276936</v>
      </c>
    </row>
    <row r="218">
      <c r="A218" s="4" t="n">
        <v>46055</v>
      </c>
      <c r="B218" s="5" t="inlineStr">
        <is>
          <t>Feb</t>
        </is>
      </c>
      <c r="C218" s="5" t="inlineStr">
        <is>
          <t>West</t>
        </is>
      </c>
      <c r="D218" s="5" t="inlineStr">
        <is>
          <t>Partner</t>
        </is>
      </c>
      <c r="E218" s="5" t="inlineStr">
        <is>
          <t>Webcam</t>
        </is>
      </c>
      <c r="F218" s="6" t="n">
        <v>69050</v>
      </c>
      <c r="G218" s="6" t="n">
        <v>7629.85</v>
      </c>
      <c r="H218" s="5" t="n">
        <v>50</v>
      </c>
      <c r="I218" s="7" t="n">
        <v>0.05829472663542622</v>
      </c>
      <c r="J218" s="7" t="n">
        <v>0.9051427185358176</v>
      </c>
    </row>
    <row r="219">
      <c r="A219" s="4" t="n">
        <v>46056</v>
      </c>
      <c r="B219" s="5" t="inlineStr">
        <is>
          <t>Feb</t>
        </is>
      </c>
      <c r="C219" s="5" t="inlineStr">
        <is>
          <t>East</t>
        </is>
      </c>
      <c r="D219" s="5" t="inlineStr">
        <is>
          <t>Retail</t>
        </is>
      </c>
      <c r="E219" s="5" t="inlineStr">
        <is>
          <t>Tablet</t>
        </is>
      </c>
      <c r="F219" s="6" t="n">
        <v>278011</v>
      </c>
      <c r="G219" s="6" t="n">
        <v>30646.39</v>
      </c>
      <c r="H219" s="5" t="n">
        <v>173</v>
      </c>
      <c r="I219" s="7" t="n">
        <v>0.07560696480034276</v>
      </c>
      <c r="J219" s="7" t="n">
        <v>0.8645907375877596</v>
      </c>
    </row>
    <row r="220">
      <c r="A220" s="4" t="n">
        <v>46057</v>
      </c>
      <c r="B220" s="5" t="inlineStr">
        <is>
          <t>Feb</t>
        </is>
      </c>
      <c r="C220" s="5" t="inlineStr">
        <is>
          <t>North</t>
        </is>
      </c>
      <c r="D220" s="5" t="inlineStr">
        <is>
          <t>Retail</t>
        </is>
      </c>
      <c r="E220" s="5" t="inlineStr">
        <is>
          <t>Keyboard</t>
        </is>
      </c>
      <c r="F220" s="6" t="n">
        <v>312026</v>
      </c>
      <c r="G220" s="6" t="n">
        <v>34032.23</v>
      </c>
      <c r="H220" s="5" t="n">
        <v>143</v>
      </c>
      <c r="I220" s="7" t="n">
        <v>0.07680588752810701</v>
      </c>
      <c r="J220" s="7" t="n">
        <v>0.9571021362424615</v>
      </c>
    </row>
    <row r="221">
      <c r="A221" s="4" t="n">
        <v>46058</v>
      </c>
      <c r="B221" s="5" t="inlineStr">
        <is>
          <t>Feb</t>
        </is>
      </c>
      <c r="C221" s="5" t="inlineStr">
        <is>
          <t>North</t>
        </is>
      </c>
      <c r="D221" s="5" t="inlineStr">
        <is>
          <t>Online</t>
        </is>
      </c>
      <c r="E221" s="5" t="inlineStr">
        <is>
          <t>Mouse</t>
        </is>
      </c>
      <c r="F221" s="6" t="n">
        <v>200868</v>
      </c>
      <c r="G221" s="6" t="n">
        <v>20411.44</v>
      </c>
      <c r="H221" s="5" t="n">
        <v>76</v>
      </c>
      <c r="I221" s="7" t="n">
        <v>0.0331708285121281</v>
      </c>
      <c r="J221" s="7" t="n">
        <v>0.9450343349531137</v>
      </c>
    </row>
    <row r="222">
      <c r="A222" s="4" t="n">
        <v>46059</v>
      </c>
      <c r="B222" s="5" t="inlineStr">
        <is>
          <t>Feb</t>
        </is>
      </c>
      <c r="C222" s="5" t="inlineStr">
        <is>
          <t>East</t>
        </is>
      </c>
      <c r="D222" s="5" t="inlineStr">
        <is>
          <t>Online</t>
        </is>
      </c>
      <c r="E222" s="5" t="inlineStr">
        <is>
          <t>Webcam</t>
        </is>
      </c>
      <c r="F222" s="6" t="n">
        <v>185647</v>
      </c>
      <c r="G222" s="6" t="n">
        <v>26771.05</v>
      </c>
      <c r="H222" s="5" t="n">
        <v>77</v>
      </c>
      <c r="I222" s="7" t="n">
        <v>0.08370944521233094</v>
      </c>
      <c r="J222" s="7" t="n">
        <v>0.862150990920217</v>
      </c>
    </row>
    <row r="223">
      <c r="A223" s="4" t="n">
        <v>46060</v>
      </c>
      <c r="B223" s="5" t="inlineStr">
        <is>
          <t>Feb</t>
        </is>
      </c>
      <c r="C223" s="5" t="inlineStr">
        <is>
          <t>North</t>
        </is>
      </c>
      <c r="D223" s="5" t="inlineStr">
        <is>
          <t>Retail</t>
        </is>
      </c>
      <c r="E223" s="5" t="inlineStr">
        <is>
          <t>Monitor</t>
        </is>
      </c>
      <c r="F223" s="6" t="n">
        <v>188790</v>
      </c>
      <c r="G223" s="6" t="n">
        <v>24654.74</v>
      </c>
      <c r="H223" s="5" t="n">
        <v>93</v>
      </c>
      <c r="I223" s="7" t="n">
        <v>0.02079988274744241</v>
      </c>
      <c r="J223" s="7" t="n">
        <v>0.9839586121194637</v>
      </c>
    </row>
    <row r="224">
      <c r="A224" s="4" t="n">
        <v>46061</v>
      </c>
      <c r="B224" s="5" t="inlineStr">
        <is>
          <t>Feb</t>
        </is>
      </c>
      <c r="C224" s="5" t="inlineStr">
        <is>
          <t>North</t>
        </is>
      </c>
      <c r="D224" s="5" t="inlineStr">
        <is>
          <t>Online</t>
        </is>
      </c>
      <c r="E224" s="5" t="inlineStr">
        <is>
          <t>Monitor</t>
        </is>
      </c>
      <c r="F224" s="6" t="n">
        <v>67184</v>
      </c>
      <c r="G224" s="6" t="n">
        <v>7948.73</v>
      </c>
      <c r="H224" s="5" t="n">
        <v>52</v>
      </c>
      <c r="I224" s="7" t="n">
        <v>0.04175069194607336</v>
      </c>
      <c r="J224" s="7" t="n">
        <v>0.8813778623212196</v>
      </c>
    </row>
    <row r="225">
      <c r="A225" s="4" t="n">
        <v>46062</v>
      </c>
      <c r="B225" s="5" t="inlineStr">
        <is>
          <t>Feb</t>
        </is>
      </c>
      <c r="C225" s="5" t="inlineStr">
        <is>
          <t>South</t>
        </is>
      </c>
      <c r="D225" s="5" t="inlineStr">
        <is>
          <t>Partner</t>
        </is>
      </c>
      <c r="E225" s="5" t="inlineStr">
        <is>
          <t>Mouse</t>
        </is>
      </c>
      <c r="F225" s="6" t="n">
        <v>269496</v>
      </c>
      <c r="G225" s="6" t="n">
        <v>27882.8</v>
      </c>
      <c r="H225" s="5" t="n">
        <v>228</v>
      </c>
      <c r="I225" s="7" t="n">
        <v>0.07301563668121457</v>
      </c>
      <c r="J225" s="7" t="n">
        <v>0.9690440881913825</v>
      </c>
    </row>
    <row r="226">
      <c r="A226" s="4" t="n">
        <v>46063</v>
      </c>
      <c r="B226" s="5" t="inlineStr">
        <is>
          <t>Feb</t>
        </is>
      </c>
      <c r="C226" s="5" t="inlineStr">
        <is>
          <t>North</t>
        </is>
      </c>
      <c r="D226" s="5" t="inlineStr">
        <is>
          <t>Partner</t>
        </is>
      </c>
      <c r="E226" s="5" t="inlineStr">
        <is>
          <t>Printer</t>
        </is>
      </c>
      <c r="F226" s="6" t="n">
        <v>278684</v>
      </c>
      <c r="G226" s="6" t="n">
        <v>30253.66</v>
      </c>
      <c r="H226" s="5" t="n">
        <v>148</v>
      </c>
      <c r="I226" s="7" t="n">
        <v>0.07235723302772525</v>
      </c>
      <c r="J226" s="7" t="n">
        <v>0.9937953731695479</v>
      </c>
    </row>
    <row r="227">
      <c r="A227" s="4" t="n">
        <v>46064</v>
      </c>
      <c r="B227" s="5" t="inlineStr">
        <is>
          <t>Feb</t>
        </is>
      </c>
      <c r="C227" s="5" t="inlineStr">
        <is>
          <t>East</t>
        </is>
      </c>
      <c r="D227" s="5" t="inlineStr">
        <is>
          <t>Online</t>
        </is>
      </c>
      <c r="E227" s="5" t="inlineStr">
        <is>
          <t>Monitor</t>
        </is>
      </c>
      <c r="F227" s="6" t="n">
        <v>238374</v>
      </c>
      <c r="G227" s="6" t="n">
        <v>52962.48</v>
      </c>
      <c r="H227" s="5" t="n">
        <v>246</v>
      </c>
      <c r="I227" s="7" t="n">
        <v>0.07859474035526863</v>
      </c>
      <c r="J227" s="7" t="n">
        <v>0.8776507704700891</v>
      </c>
    </row>
    <row r="228">
      <c r="A228" s="4" t="n">
        <v>46065</v>
      </c>
      <c r="B228" s="5" t="inlineStr">
        <is>
          <t>Feb</t>
        </is>
      </c>
      <c r="C228" s="5" t="inlineStr">
        <is>
          <t>West</t>
        </is>
      </c>
      <c r="D228" s="5" t="inlineStr">
        <is>
          <t>Online</t>
        </is>
      </c>
      <c r="E228" s="5" t="inlineStr">
        <is>
          <t>Headset</t>
        </is>
      </c>
      <c r="F228" s="6" t="n">
        <v>204465</v>
      </c>
      <c r="G228" s="6" t="n">
        <v>41362.67</v>
      </c>
      <c r="H228" s="5" t="n">
        <v>129</v>
      </c>
      <c r="I228" s="7" t="n">
        <v>0.07113707293024585</v>
      </c>
      <c r="J228" s="7" t="n">
        <v>0.9867548845829688</v>
      </c>
    </row>
    <row r="229">
      <c r="A229" s="4" t="n">
        <v>46066</v>
      </c>
      <c r="B229" s="5" t="inlineStr">
        <is>
          <t>Feb</t>
        </is>
      </c>
      <c r="C229" s="5" t="inlineStr">
        <is>
          <t>North</t>
        </is>
      </c>
      <c r="D229" s="5" t="inlineStr">
        <is>
          <t>Retail</t>
        </is>
      </c>
      <c r="E229" s="5" t="inlineStr">
        <is>
          <t>Laptop</t>
        </is>
      </c>
      <c r="F229" s="6" t="n">
        <v>811200</v>
      </c>
      <c r="G229" s="6" t="n">
        <v>136025.41</v>
      </c>
      <c r="H229" s="5" t="n">
        <v>312</v>
      </c>
      <c r="I229" s="7" t="n">
        <v>0.04209220727108416</v>
      </c>
      <c r="J229" s="7" t="n">
        <v>0.9827402879531406</v>
      </c>
    </row>
    <row r="230">
      <c r="A230" s="4" t="n">
        <v>46067</v>
      </c>
      <c r="B230" s="5" t="inlineStr">
        <is>
          <t>Feb</t>
        </is>
      </c>
      <c r="C230" s="5" t="inlineStr">
        <is>
          <t>East</t>
        </is>
      </c>
      <c r="D230" s="5" t="inlineStr">
        <is>
          <t>Retail</t>
        </is>
      </c>
      <c r="E230" s="5" t="inlineStr">
        <is>
          <t>Printer</t>
        </is>
      </c>
      <c r="F230" s="6" t="n">
        <v>425382</v>
      </c>
      <c r="G230" s="6" t="n">
        <v>73649.67</v>
      </c>
      <c r="H230" s="5" t="n">
        <v>186</v>
      </c>
      <c r="I230" s="7" t="n">
        <v>0.03514933621438285</v>
      </c>
      <c r="J230" s="7" t="n">
        <v>0.9621025174511886</v>
      </c>
    </row>
    <row r="231">
      <c r="A231" s="4" t="n">
        <v>46068</v>
      </c>
      <c r="B231" s="5" t="inlineStr">
        <is>
          <t>Feb</t>
        </is>
      </c>
      <c r="C231" s="5" t="inlineStr">
        <is>
          <t>North</t>
        </is>
      </c>
      <c r="D231" s="5" t="inlineStr">
        <is>
          <t>Partner</t>
        </is>
      </c>
      <c r="E231" s="5" t="inlineStr">
        <is>
          <t>Printer</t>
        </is>
      </c>
      <c r="F231" s="6" t="n">
        <v>468260</v>
      </c>
      <c r="G231" s="6" t="n">
        <v>104667.58</v>
      </c>
      <c r="H231" s="5" t="n">
        <v>260</v>
      </c>
      <c r="I231" s="7" t="n">
        <v>0.05914834310248582</v>
      </c>
      <c r="J231" s="7" t="n">
        <v>0.9812333927645646</v>
      </c>
    </row>
    <row r="232">
      <c r="A232" s="4" t="n">
        <v>46069</v>
      </c>
      <c r="B232" s="5" t="inlineStr">
        <is>
          <t>Feb</t>
        </is>
      </c>
      <c r="C232" s="5" t="inlineStr">
        <is>
          <t>West</t>
        </is>
      </c>
      <c r="D232" s="5" t="inlineStr">
        <is>
          <t>Retail</t>
        </is>
      </c>
      <c r="E232" s="5" t="inlineStr">
        <is>
          <t>Webcam</t>
        </is>
      </c>
      <c r="F232" s="6" t="n">
        <v>977227</v>
      </c>
      <c r="G232" s="6" t="n">
        <v>136487.42</v>
      </c>
      <c r="H232" s="5" t="n">
        <v>361</v>
      </c>
      <c r="I232" s="7" t="n">
        <v>0.02064673213277864</v>
      </c>
      <c r="J232" s="7" t="n">
        <v>0.9720629105673187</v>
      </c>
    </row>
    <row r="233">
      <c r="A233" s="4" t="n">
        <v>46070</v>
      </c>
      <c r="B233" s="5" t="inlineStr">
        <is>
          <t>Feb</t>
        </is>
      </c>
      <c r="C233" s="5" t="inlineStr">
        <is>
          <t>South</t>
        </is>
      </c>
      <c r="D233" s="5" t="inlineStr">
        <is>
          <t>Retail</t>
        </is>
      </c>
      <c r="E233" s="5" t="inlineStr">
        <is>
          <t>Laptop</t>
        </is>
      </c>
      <c r="F233" s="6" t="n">
        <v>296019</v>
      </c>
      <c r="G233" s="6" t="n">
        <v>37246.91</v>
      </c>
      <c r="H233" s="5" t="n">
        <v>279</v>
      </c>
      <c r="I233" s="7" t="n">
        <v>0.06233580577538421</v>
      </c>
      <c r="J233" s="7" t="n">
        <v>0.9059718015630348</v>
      </c>
    </row>
    <row r="234">
      <c r="A234" s="4" t="n">
        <v>46071</v>
      </c>
      <c r="B234" s="5" t="inlineStr">
        <is>
          <t>Feb</t>
        </is>
      </c>
      <c r="C234" s="5" t="inlineStr">
        <is>
          <t>West</t>
        </is>
      </c>
      <c r="D234" s="5" t="inlineStr">
        <is>
          <t>Online</t>
        </is>
      </c>
      <c r="E234" s="5" t="inlineStr">
        <is>
          <t>Webcam</t>
        </is>
      </c>
      <c r="F234" s="6" t="n">
        <v>564805</v>
      </c>
      <c r="G234" s="6" t="n">
        <v>86445.25</v>
      </c>
      <c r="H234" s="5" t="n">
        <v>185</v>
      </c>
      <c r="I234" s="7" t="n">
        <v>0.02122142338477291</v>
      </c>
      <c r="J234" s="7" t="n">
        <v>0.9176639834103617</v>
      </c>
    </row>
    <row r="235">
      <c r="A235" s="4" t="n">
        <v>46072</v>
      </c>
      <c r="B235" s="5" t="inlineStr">
        <is>
          <t>Feb</t>
        </is>
      </c>
      <c r="C235" s="5" t="inlineStr">
        <is>
          <t>West</t>
        </is>
      </c>
      <c r="D235" s="5" t="inlineStr">
        <is>
          <t>Partner</t>
        </is>
      </c>
      <c r="E235" s="5" t="inlineStr">
        <is>
          <t>Printer</t>
        </is>
      </c>
      <c r="F235" s="6" t="n">
        <v>633996</v>
      </c>
      <c r="G235" s="6" t="n">
        <v>80215.88</v>
      </c>
      <c r="H235" s="5" t="n">
        <v>396</v>
      </c>
      <c r="I235" s="7" t="n">
        <v>0.04404283643837031</v>
      </c>
      <c r="J235" s="7" t="n">
        <v>0.9739674933654101</v>
      </c>
    </row>
    <row r="236">
      <c r="A236" s="4" t="n">
        <v>46073</v>
      </c>
      <c r="B236" s="5" t="inlineStr">
        <is>
          <t>Feb</t>
        </is>
      </c>
      <c r="C236" s="5" t="inlineStr">
        <is>
          <t>West</t>
        </is>
      </c>
      <c r="D236" s="5" t="inlineStr">
        <is>
          <t>Retail</t>
        </is>
      </c>
      <c r="E236" s="5" t="inlineStr">
        <is>
          <t>Mouse</t>
        </is>
      </c>
      <c r="F236" s="6" t="n">
        <v>317719</v>
      </c>
      <c r="G236" s="6" t="n">
        <v>29111</v>
      </c>
      <c r="H236" s="5" t="n">
        <v>277</v>
      </c>
      <c r="I236" s="7" t="n">
        <v>0.03718416458195296</v>
      </c>
      <c r="J236" s="7" t="n">
        <v>0.9718816035666269</v>
      </c>
    </row>
    <row r="237">
      <c r="A237" s="4" t="n">
        <v>46074</v>
      </c>
      <c r="B237" s="5" t="inlineStr">
        <is>
          <t>Feb</t>
        </is>
      </c>
      <c r="C237" s="5" t="inlineStr">
        <is>
          <t>West</t>
        </is>
      </c>
      <c r="D237" s="5" t="inlineStr">
        <is>
          <t>Online</t>
        </is>
      </c>
      <c r="E237" s="5" t="inlineStr">
        <is>
          <t>Laptop</t>
        </is>
      </c>
      <c r="F237" s="6" t="n">
        <v>173068</v>
      </c>
      <c r="G237" s="6" t="n">
        <v>39877.6</v>
      </c>
      <c r="H237" s="5" t="n">
        <v>196</v>
      </c>
      <c r="I237" s="7" t="n">
        <v>0.03899631763955599</v>
      </c>
      <c r="J237" s="7" t="n">
        <v>0.9328181578812135</v>
      </c>
    </row>
    <row r="238">
      <c r="A238" s="4" t="n">
        <v>46075</v>
      </c>
      <c r="B238" s="5" t="inlineStr">
        <is>
          <t>Feb</t>
        </is>
      </c>
      <c r="C238" s="5" t="inlineStr">
        <is>
          <t>North</t>
        </is>
      </c>
      <c r="D238" s="5" t="inlineStr">
        <is>
          <t>Retail</t>
        </is>
      </c>
      <c r="E238" s="5" t="inlineStr">
        <is>
          <t>Tablet</t>
        </is>
      </c>
      <c r="F238" s="6" t="n">
        <v>254415</v>
      </c>
      <c r="G238" s="6" t="n">
        <v>38731.54</v>
      </c>
      <c r="H238" s="5" t="n">
        <v>105</v>
      </c>
      <c r="I238" s="7" t="n">
        <v>0.04404276603278512</v>
      </c>
      <c r="J238" s="7" t="n">
        <v>0.9400128328975618</v>
      </c>
    </row>
    <row r="239">
      <c r="A239" s="4" t="n">
        <v>46076</v>
      </c>
      <c r="B239" s="5" t="inlineStr">
        <is>
          <t>Feb</t>
        </is>
      </c>
      <c r="C239" s="5" t="inlineStr">
        <is>
          <t>East</t>
        </is>
      </c>
      <c r="D239" s="5" t="inlineStr">
        <is>
          <t>Partner</t>
        </is>
      </c>
      <c r="E239" s="5" t="inlineStr">
        <is>
          <t>Laptop</t>
        </is>
      </c>
      <c r="F239" s="6" t="n">
        <v>505015</v>
      </c>
      <c r="G239" s="6" t="n">
        <v>51898.21</v>
      </c>
      <c r="H239" s="5" t="n">
        <v>235</v>
      </c>
      <c r="I239" s="7" t="n">
        <v>0.05147072634600035</v>
      </c>
      <c r="J239" s="7" t="n">
        <v>0.9307396748186443</v>
      </c>
    </row>
    <row r="240">
      <c r="A240" s="4" t="n">
        <v>46077</v>
      </c>
      <c r="B240" s="5" t="inlineStr">
        <is>
          <t>Feb</t>
        </is>
      </c>
      <c r="C240" s="5" t="inlineStr">
        <is>
          <t>South</t>
        </is>
      </c>
      <c r="D240" s="5" t="inlineStr">
        <is>
          <t>Online</t>
        </is>
      </c>
      <c r="E240" s="5" t="inlineStr">
        <is>
          <t>Laptop</t>
        </is>
      </c>
      <c r="F240" s="6" t="n">
        <v>106578</v>
      </c>
      <c r="G240" s="6" t="n">
        <v>19357.06</v>
      </c>
      <c r="H240" s="5" t="n">
        <v>62</v>
      </c>
      <c r="I240" s="7" t="n">
        <v>0.05690831918227286</v>
      </c>
      <c r="J240" s="7" t="n">
        <v>0.9319193231282957</v>
      </c>
    </row>
    <row r="241">
      <c r="A241" s="4" t="n">
        <v>46078</v>
      </c>
      <c r="B241" s="5" t="inlineStr">
        <is>
          <t>Feb</t>
        </is>
      </c>
      <c r="C241" s="5" t="inlineStr">
        <is>
          <t>South</t>
        </is>
      </c>
      <c r="D241" s="5" t="inlineStr">
        <is>
          <t>Partner</t>
        </is>
      </c>
      <c r="E241" s="5" t="inlineStr">
        <is>
          <t>Headset</t>
        </is>
      </c>
      <c r="F241" s="6" t="n">
        <v>632548</v>
      </c>
      <c r="G241" s="6" t="n">
        <v>114987.23</v>
      </c>
      <c r="H241" s="5" t="n">
        <v>266</v>
      </c>
      <c r="I241" s="7" t="n">
        <v>0.02392531738825584</v>
      </c>
      <c r="J241" s="7" t="n">
        <v>0.8609049579017146</v>
      </c>
    </row>
    <row r="242">
      <c r="A242" s="4" t="n">
        <v>46079</v>
      </c>
      <c r="B242" s="5" t="inlineStr">
        <is>
          <t>Feb</t>
        </is>
      </c>
      <c r="C242" s="5" t="inlineStr">
        <is>
          <t>West</t>
        </is>
      </c>
      <c r="D242" s="5" t="inlineStr">
        <is>
          <t>Retail</t>
        </is>
      </c>
      <c r="E242" s="5" t="inlineStr">
        <is>
          <t>Laptop</t>
        </is>
      </c>
      <c r="F242" s="6" t="n">
        <v>933420</v>
      </c>
      <c r="G242" s="6" t="n">
        <v>173395.01</v>
      </c>
      <c r="H242" s="5" t="n">
        <v>331</v>
      </c>
      <c r="I242" s="7" t="n">
        <v>0.01997312458452896</v>
      </c>
      <c r="J242" s="7" t="n">
        <v>0.9622104016600033</v>
      </c>
    </row>
    <row r="243">
      <c r="A243" s="4" t="n">
        <v>46080</v>
      </c>
      <c r="B243" s="5" t="inlineStr">
        <is>
          <t>Feb</t>
        </is>
      </c>
      <c r="C243" s="5" t="inlineStr">
        <is>
          <t>West</t>
        </is>
      </c>
      <c r="D243" s="5" t="inlineStr">
        <is>
          <t>Online</t>
        </is>
      </c>
      <c r="E243" s="5" t="inlineStr">
        <is>
          <t>Monitor</t>
        </is>
      </c>
      <c r="F243" s="6" t="n">
        <v>145320</v>
      </c>
      <c r="G243" s="6" t="n">
        <v>32987.39</v>
      </c>
      <c r="H243" s="5" t="n">
        <v>105</v>
      </c>
      <c r="I243" s="7" t="n">
        <v>0.06010697054632479</v>
      </c>
      <c r="J243" s="7" t="n">
        <v>0.9684486588260979</v>
      </c>
    </row>
    <row r="244">
      <c r="A244" s="4" t="n">
        <v>46081</v>
      </c>
      <c r="B244" s="5" t="inlineStr">
        <is>
          <t>Feb</t>
        </is>
      </c>
      <c r="C244" s="5" t="inlineStr">
        <is>
          <t>East</t>
        </is>
      </c>
      <c r="D244" s="5" t="inlineStr">
        <is>
          <t>Retail</t>
        </is>
      </c>
      <c r="E244" s="5" t="inlineStr">
        <is>
          <t>Printer</t>
        </is>
      </c>
      <c r="F244" s="6" t="n">
        <v>459015</v>
      </c>
      <c r="G244" s="6" t="n">
        <v>113922.14</v>
      </c>
      <c r="H244" s="5" t="n">
        <v>355</v>
      </c>
      <c r="I244" s="7" t="n">
        <v>0.08427707787888997</v>
      </c>
      <c r="J244" s="7" t="n">
        <v>0.9297239379909894</v>
      </c>
    </row>
  </sheetData>
  <mergeCells count="2">
    <mergeCell ref="A1:J1"/>
    <mergeCell ref="A2:J2"/>
  </mergeCell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44" customWidth="1" min="4" max="4"/>
    <col width="31" customWidth="1" min="5" max="5"/>
    <col width="35" customWidth="1" min="6" max="6"/>
    <col width="38" customWidth="1" min="7" max="7"/>
    <col width="12" customWidth="1" min="8" max="8"/>
  </cols>
  <sheetData>
    <row r="1">
      <c r="A1" s="1" t="inlineStr">
        <is>
          <t>CHAPTER 2 — DYNAMIC CHARTS | PRACTICE LAB</t>
        </is>
      </c>
    </row>
    <row r="2">
      <c r="A2" s="2" t="inlineStr">
        <is>
          <t>Build the architecture: RAW DATA → SUMMARY → DYNAMIC RANGE → CHART. Test that every selector and source change reacts correctly.</t>
        </is>
      </c>
    </row>
    <row r="3"/>
    <row r="4">
      <c r="A4" s="8" t="inlineStr">
        <is>
          <t>CORE ARCHITECTURE</t>
        </is>
      </c>
    </row>
    <row r="5">
      <c r="A5" s="5" t="inlineStr">
        <is>
          <t>RAW DATA = transaction-level detail. Do not point an executive chart at an unnecessarily granular source.</t>
        </is>
      </c>
    </row>
    <row r="6">
      <c r="A6" s="5" t="inlineStr">
        <is>
          <t>SUMMARY = clean Dimension + KPI table created with formulas/Pivot logic.</t>
        </is>
      </c>
    </row>
    <row r="7">
      <c r="A7" s="5" t="inlineStr">
        <is>
          <t>DYNAMIC SOURCE = Table, INDEX-based range, OFFSET named range, or dynamic-array output.</t>
        </is>
      </c>
    </row>
    <row r="8">
      <c r="A8" s="5" t="inlineStr">
        <is>
          <t>CHART = consumes the dynamic source. A chart is only as dynamic as the range feeding it.</t>
        </is>
      </c>
    </row>
    <row r="9"/>
    <row r="10"/>
    <row r="11">
      <c r="A11" s="9" t="inlineStr">
        <is>
          <t>PRACTICE TASKS</t>
        </is>
      </c>
    </row>
    <row r="12">
      <c r="A12" s="10" t="inlineStr">
        <is>
          <t>#</t>
        </is>
      </c>
      <c r="B12" s="10" t="inlineStr">
        <is>
          <t>Challenge</t>
        </is>
      </c>
      <c r="C12" s="10" t="inlineStr">
        <is>
          <t>Business scenario</t>
        </is>
      </c>
      <c r="D12" s="10" t="inlineStr">
        <is>
          <t>Required build</t>
        </is>
      </c>
      <c r="E12" s="10" t="inlineStr">
        <is>
          <t>Dynamic technique</t>
        </is>
      </c>
      <c r="F12" s="10" t="inlineStr">
        <is>
          <t>Test</t>
        </is>
      </c>
      <c r="G12" s="10" t="inlineStr">
        <is>
          <t>Expected behavior</t>
        </is>
      </c>
      <c r="H12" s="10" t="inlineStr">
        <is>
          <t>Done?</t>
        </is>
      </c>
    </row>
    <row r="13">
      <c r="A13" s="5" t="n">
        <v>1</v>
      </c>
      <c r="B13" s="5" t="inlineStr">
        <is>
          <t>Dynamic monthly sales</t>
        </is>
      </c>
      <c r="C13" s="5" t="inlineStr">
        <is>
          <t>Sales manager</t>
        </is>
      </c>
      <c r="D13" s="5" t="inlineStr">
        <is>
          <t>Month + Sales summary</t>
        </is>
      </c>
      <c r="E13" s="5" t="inlineStr">
        <is>
          <t>Excel Table</t>
        </is>
      </c>
      <c r="F13" s="5" t="inlineStr">
        <is>
          <t>Append a month</t>
        </is>
      </c>
      <c r="G13" s="5" t="inlineStr">
        <is>
          <t>Chart expands</t>
        </is>
      </c>
      <c r="H13" s="5" t="inlineStr"/>
    </row>
    <row r="14">
      <c r="A14" s="5" t="n">
        <v>2</v>
      </c>
      <c r="B14" s="5" t="inlineStr">
        <is>
          <t>Dynamic KPI selector</t>
        </is>
      </c>
      <c r="C14" s="5" t="inlineStr">
        <is>
          <t>Management</t>
        </is>
      </c>
      <c r="D14" s="5" t="inlineStr">
        <is>
          <t>Sales / Profit / Orders selector</t>
        </is>
      </c>
      <c r="E14" s="5" t="inlineStr">
        <is>
          <t>CHOOSE or INDEX/MATCH</t>
        </is>
      </c>
      <c r="F14" s="5" t="inlineStr">
        <is>
          <t>Change dropdown</t>
        </is>
      </c>
      <c r="G14" s="5" t="inlineStr">
        <is>
          <t>Series changes</t>
        </is>
      </c>
      <c r="H14" s="5" t="inlineStr"/>
    </row>
    <row r="15">
      <c r="A15" s="5" t="n">
        <v>3</v>
      </c>
      <c r="B15" s="5" t="inlineStr">
        <is>
          <t>Dynamic dimension selector</t>
        </is>
      </c>
      <c r="C15" s="5" t="inlineStr">
        <is>
          <t>Regional manager</t>
        </is>
      </c>
      <c r="D15" s="5" t="inlineStr">
        <is>
          <t>Month / Region / Product</t>
        </is>
      </c>
      <c r="E15" s="5" t="inlineStr">
        <is>
          <t>CHOOSE/INDEX or helper summaries</t>
        </is>
      </c>
      <c r="F15" s="5" t="inlineStr">
        <is>
          <t>Change dimension</t>
        </is>
      </c>
      <c r="G15" s="5" t="inlineStr">
        <is>
          <t>X-axis changes</t>
        </is>
      </c>
      <c r="H15" s="5" t="inlineStr"/>
    </row>
    <row r="16">
      <c r="A16" s="5" t="n">
        <v>4</v>
      </c>
      <c r="B16" s="5" t="inlineStr">
        <is>
          <t>Dynamic series selector</t>
        </is>
      </c>
      <c r="C16" s="5" t="inlineStr">
        <is>
          <t>Analyst</t>
        </is>
      </c>
      <c r="D16" s="5" t="inlineStr">
        <is>
          <t>Select 1–3 KPIs</t>
        </is>
      </c>
      <c r="E16" s="5" t="inlineStr">
        <is>
          <t>FILTER/CHOOSE</t>
        </is>
      </c>
      <c r="F16" s="5" t="inlineStr">
        <is>
          <t>Tick/untick KPIs</t>
        </is>
      </c>
      <c r="G16" s="5" t="inlineStr">
        <is>
          <t>Series changes</t>
        </is>
      </c>
      <c r="H16" s="5" t="inlineStr"/>
    </row>
    <row r="17">
      <c r="A17" s="5" t="n">
        <v>5</v>
      </c>
      <c r="B17" s="5" t="inlineStr">
        <is>
          <t>Dynamic chart title</t>
        </is>
      </c>
      <c r="C17" s="5" t="inlineStr">
        <is>
          <t>Executive report</t>
        </is>
      </c>
      <c r="D17" s="5" t="inlineStr">
        <is>
          <t>Title follows selections</t>
        </is>
      </c>
      <c r="E17" s="5" t="inlineStr">
        <is>
          <t>Cell formula + linked title</t>
        </is>
      </c>
      <c r="F17" s="5" t="inlineStr">
        <is>
          <t>Change KPI/Region</t>
        </is>
      </c>
      <c r="G17" s="5" t="inlineStr">
        <is>
          <t>Title changes</t>
        </is>
      </c>
      <c r="H17" s="5" t="inlineStr"/>
    </row>
    <row r="18">
      <c r="A18" s="5" t="n">
        <v>6</v>
      </c>
      <c r="B18" s="5" t="inlineStr">
        <is>
          <t>Dynamic axis labels</t>
        </is>
      </c>
      <c r="C18" s="5" t="inlineStr">
        <is>
          <t>Reporting template</t>
        </is>
      </c>
      <c r="D18" s="5" t="inlineStr">
        <is>
          <t>Metric + unit</t>
        </is>
      </c>
      <c r="E18" s="5" t="inlineStr">
        <is>
          <t>Formula/helper cell</t>
        </is>
      </c>
      <c r="F18" s="5" t="inlineStr">
        <is>
          <t>Change metric</t>
        </is>
      </c>
      <c r="G18" s="5" t="inlineStr">
        <is>
          <t>Axis label changes</t>
        </is>
      </c>
      <c r="H18" s="5" t="inlineStr"/>
    </row>
    <row r="19">
      <c r="A19" s="5" t="n">
        <v>7</v>
      </c>
      <c r="B19" s="5" t="inlineStr">
        <is>
          <t>Dynamic Top-N</t>
        </is>
      </c>
      <c r="C19" s="5" t="inlineStr">
        <is>
          <t>E-commerce</t>
        </is>
      </c>
      <c r="D19" s="5" t="inlineStr">
        <is>
          <t>Top 5 products by Sales</t>
        </is>
      </c>
      <c r="E19" s="5" t="inlineStr">
        <is>
          <t>SORT + TAKE</t>
        </is>
      </c>
      <c r="F19" s="5" t="inlineStr">
        <is>
          <t>Change data</t>
        </is>
      </c>
      <c r="G19" s="5" t="inlineStr">
        <is>
          <t>Top list changes</t>
        </is>
      </c>
      <c r="H19" s="5" t="inlineStr"/>
    </row>
    <row r="20">
      <c r="A20" s="5" t="n">
        <v>8</v>
      </c>
      <c r="B20" s="5" t="inlineStr">
        <is>
          <t>Dynamic filtering</t>
        </is>
      </c>
      <c r="C20" s="5" t="inlineStr">
        <is>
          <t>Regional dashboard</t>
        </is>
      </c>
      <c r="D20" s="5" t="inlineStr">
        <is>
          <t>Region + Channel + Year/period</t>
        </is>
      </c>
      <c r="E20" s="5" t="inlineStr">
        <is>
          <t>FILTER</t>
        </is>
      </c>
      <c r="F20" s="5" t="inlineStr">
        <is>
          <t>Change selectors</t>
        </is>
      </c>
      <c r="G20" s="5" t="inlineStr">
        <is>
          <t>Summary/chart filters</t>
        </is>
      </c>
      <c r="H20" s="5" t="inlineStr"/>
    </row>
    <row r="21">
      <c r="A21" s="5" t="n">
        <v>9</v>
      </c>
      <c r="B21" s="5" t="inlineStr">
        <is>
          <t>Modern dynamic arrays</t>
        </is>
      </c>
      <c r="C21" s="5" t="inlineStr">
        <is>
          <t>Product ranking</t>
        </is>
      </c>
      <c r="D21" s="5" t="inlineStr">
        <is>
          <t>Top 10 products</t>
        </is>
      </c>
      <c r="E21" s="5" t="inlineStr">
        <is>
          <t>SORT/FILTER/TAKE/DROP/CHOOSECOLS</t>
        </is>
      </c>
      <c r="F21" s="5" t="inlineStr">
        <is>
          <t>Add data</t>
        </is>
      </c>
      <c r="G21" s="5" t="inlineStr">
        <is>
          <t>Spill range updates</t>
        </is>
      </c>
      <c r="H21" s="5" t="inlineStr"/>
    </row>
    <row r="22">
      <c r="A22" s="5" t="n">
        <v>10</v>
      </c>
      <c r="B22" s="5" t="inlineStr">
        <is>
          <t>Pivot + Slicers</t>
        </is>
      </c>
      <c r="C22" s="5" t="inlineStr">
        <is>
          <t>Management</t>
        </is>
      </c>
      <c r="D22" s="5" t="inlineStr">
        <is>
          <t>Region + Month analysis</t>
        </is>
      </c>
      <c r="E22" s="5" t="inlineStr">
        <is>
          <t>PivotTable + slicers</t>
        </is>
      </c>
      <c r="F22" s="5" t="inlineStr">
        <is>
          <t>Use slicer</t>
        </is>
      </c>
      <c r="G22" s="5" t="inlineStr">
        <is>
          <t>Pivot chart updates</t>
        </is>
      </c>
      <c r="H22" s="5" t="inlineStr"/>
    </row>
    <row r="23">
      <c r="A23" s="5" t="n">
        <v>11</v>
      </c>
      <c r="B23" s="5" t="inlineStr">
        <is>
          <t>Blank/error handling</t>
        </is>
      </c>
      <c r="C23" s="5" t="inlineStr">
        <is>
          <t>Operations</t>
        </is>
      </c>
      <c r="D23" s="5" t="inlineStr">
        <is>
          <t>Missing/invalid source</t>
        </is>
      </c>
      <c r="E23" s="5" t="inlineStr">
        <is>
          <t>IFERROR + chart empty cells</t>
        </is>
      </c>
      <c r="F23" s="5" t="inlineStr">
        <is>
          <t>Create blank/error</t>
        </is>
      </c>
      <c r="G23" s="5" t="inlineStr">
        <is>
          <t>Chart remains clean</t>
        </is>
      </c>
      <c r="H23" s="5" t="inlineStr"/>
    </row>
    <row r="24">
      <c r="A24" s="5" t="n">
        <v>12</v>
      </c>
      <c r="B24" s="5" t="inlineStr">
        <is>
          <t>Performance audit</t>
        </is>
      </c>
      <c r="C24" s="5" t="inlineStr">
        <is>
          <t>Large dashboard</t>
        </is>
      </c>
      <c r="D24" s="5" t="inlineStr">
        <is>
          <t>Compare OFFSET vs INDEX/Table</t>
        </is>
      </c>
      <c r="E24" s="5" t="inlineStr">
        <is>
          <t>Architecture decision</t>
        </is>
      </c>
      <c r="F24" s="5" t="inlineStr">
        <is>
          <t>Explain choice</t>
        </is>
      </c>
      <c r="G24" s="5" t="inlineStr">
        <is>
          <t>Choose scalable method</t>
        </is>
      </c>
      <c r="H24" s="5" t="inlineStr"/>
    </row>
    <row r="25"/>
    <row r="26"/>
    <row r="27">
      <c r="A27" s="11" t="inlineStr">
        <is>
          <t>FORMULA PRACTICE — DYNAMIC NAMED RANGES</t>
        </is>
      </c>
    </row>
    <row r="28">
      <c r="A28" s="10" t="inlineStr">
        <is>
          <t>Object</t>
        </is>
      </c>
      <c r="B28" s="10" t="inlineStr">
        <is>
          <t>Task</t>
        </is>
      </c>
      <c r="C28" s="10" t="inlineStr">
        <is>
          <t>Formula to construct</t>
        </is>
      </c>
      <c r="D28" s="10" t="inlineStr">
        <is>
          <t>Why</t>
        </is>
      </c>
      <c r="E28" s="10" t="inlineStr">
        <is>
          <t>Your formula</t>
        </is>
      </c>
      <c r="F28" s="10" t="inlineStr">
        <is>
          <t>Checked</t>
        </is>
      </c>
    </row>
    <row r="29">
      <c r="A29" s="5" t="inlineStr">
        <is>
          <t>Month_Range</t>
        </is>
      </c>
      <c r="B29" s="5" t="inlineStr">
        <is>
          <t>Dynamic X-axis</t>
        </is>
      </c>
      <c r="C29" s="5" t="inlineStr">
        <is>
          <t>OFFSET(summary_start,0,0,COUNTA(month_col)-header_rows,1)</t>
        </is>
      </c>
      <c r="D29" s="5" t="inlineStr">
        <is>
          <t>Rows grow when months are added</t>
        </is>
      </c>
      <c r="E29" s="5" t="inlineStr"/>
      <c r="F29" s="5" t="inlineStr"/>
    </row>
    <row r="30">
      <c r="A30" s="5" t="inlineStr">
        <is>
          <t>Sales_Range</t>
        </is>
      </c>
      <c r="B30" s="5" t="inlineStr">
        <is>
          <t>Dynamic Y-axis</t>
        </is>
      </c>
      <c r="C30" s="5" t="inlineStr">
        <is>
          <t>OFFSET(sales_start,0,0,COUNTA(sales_col)-header_rows,1)</t>
        </is>
      </c>
      <c r="D30" s="5" t="inlineStr">
        <is>
          <t>Keeps series aligned</t>
        </is>
      </c>
      <c r="E30" s="5" t="inlineStr"/>
      <c r="F30" s="5" t="inlineStr"/>
    </row>
    <row r="31">
      <c r="A31" s="5" t="inlineStr">
        <is>
          <t>INDEX alternative</t>
        </is>
      </c>
      <c r="B31" s="5" t="inlineStr">
        <is>
          <t>Non-volatile range</t>
        </is>
      </c>
      <c r="C31" s="5" t="inlineStr">
        <is>
          <t>INDEX(first:last, MATCH(...))</t>
        </is>
      </c>
      <c r="D31" s="5" t="inlineStr">
        <is>
          <t>Better for large models</t>
        </is>
      </c>
      <c r="E31" s="5" t="inlineStr"/>
      <c r="F31" s="5" t="inlineStr"/>
    </row>
    <row r="32">
      <c r="A32" s="5" t="inlineStr">
        <is>
          <t>Top-N</t>
        </is>
      </c>
      <c r="B32" s="5" t="inlineStr">
        <is>
          <t>Top 10 by Sales</t>
        </is>
      </c>
      <c r="C32" s="5">
        <f>TAKE(SORT(Table[Sales],1,-1),10)</f>
        <v/>
      </c>
      <c r="D32" s="5" t="inlineStr">
        <is>
          <t>Modern dynamic array</t>
        </is>
      </c>
      <c r="E32" s="5" t="inlineStr"/>
      <c r="F32" s="5" t="inlineStr"/>
    </row>
    <row r="33">
      <c r="A33" s="5" t="inlineStr">
        <is>
          <t>Filter</t>
        </is>
      </c>
      <c r="B33" s="5" t="inlineStr">
        <is>
          <t>Region + Channel</t>
        </is>
      </c>
      <c r="C33" s="5">
        <f>FILTER(Data,(Data[Region]=selRegion)*(Data[Channel]=selChannel))</f>
        <v/>
      </c>
      <c r="D33" s="5" t="inlineStr">
        <is>
          <t>Multiple conditions</t>
        </is>
      </c>
      <c r="E33" s="5" t="inlineStr"/>
      <c r="F33" s="5" t="inlineStr"/>
    </row>
    <row r="34">
      <c r="A34" s="5" t="inlineStr">
        <is>
          <t>Error-safe KPI</t>
        </is>
      </c>
      <c r="B34" s="5" t="inlineStr">
        <is>
          <t>No-result case</t>
        </is>
      </c>
      <c r="C34" s="5">
        <f>IFERROR(formula,"")</f>
        <v/>
      </c>
      <c r="D34" s="5" t="inlineStr">
        <is>
          <t>Prevents ugly errors</t>
        </is>
      </c>
      <c r="E34" s="5" t="inlineStr"/>
      <c r="F34" s="5" t="inlineStr"/>
    </row>
    <row r="35"/>
    <row r="36"/>
    <row r="37"/>
    <row r="38">
      <c r="A38" s="12" t="inlineStr">
        <is>
          <t>VALIDATION CHECKLIST</t>
        </is>
      </c>
    </row>
    <row r="39">
      <c r="A39" s="5" t="inlineStr">
        <is>
          <t>□ Add a new row — does the chart expand?</t>
        </is>
      </c>
    </row>
    <row r="40">
      <c r="A40" s="5" t="inlineStr">
        <is>
          <t>□ Delete a row — does the chart shrink?</t>
        </is>
      </c>
    </row>
    <row r="41">
      <c r="A41" s="5" t="inlineStr">
        <is>
          <t>□ Change the KPI dropdown — does the series change?</t>
        </is>
      </c>
    </row>
    <row r="42">
      <c r="A42" s="5" t="inlineStr">
        <is>
          <t>□ Change the Dimension selector — does the axis change?</t>
        </is>
      </c>
    </row>
    <row r="43">
      <c r="A43" s="5" t="inlineStr">
        <is>
          <t>□ Change filters — does the summary and chart react?</t>
        </is>
      </c>
    </row>
    <row r="44">
      <c r="A44" s="5" t="inlineStr">
        <is>
          <t>□ Test blanks, zero and errors.</t>
        </is>
      </c>
    </row>
    <row r="45">
      <c r="A45" s="5" t="inlineStr">
        <is>
          <t>□ Verify chart title and axis labels always describe the current view.</t>
        </is>
      </c>
    </row>
    <row r="46">
      <c r="A46" s="5" t="inlineStr">
        <is>
          <t>□ Test performance before using many volatile OFFSET/INDIRECT formulas.</t>
        </is>
      </c>
    </row>
  </sheetData>
  <mergeCells count="18">
    <mergeCell ref="A1:H1"/>
    <mergeCell ref="A4:H4"/>
    <mergeCell ref="A45:H45"/>
    <mergeCell ref="A39:H39"/>
    <mergeCell ref="A7:H7"/>
    <mergeCell ref="A43:H43"/>
    <mergeCell ref="A38:H38"/>
    <mergeCell ref="A2:H2"/>
    <mergeCell ref="A42:H42"/>
    <mergeCell ref="A41:H41"/>
    <mergeCell ref="A11:H11"/>
    <mergeCell ref="A44:H44"/>
    <mergeCell ref="A5:H5"/>
    <mergeCell ref="A46:H46"/>
    <mergeCell ref="A27:H27"/>
    <mergeCell ref="A8:H8"/>
    <mergeCell ref="A6:H6"/>
    <mergeCell ref="A40:H40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43" customWidth="1" min="3" max="3"/>
    <col width="43" customWidth="1" min="4" max="4"/>
    <col width="38" customWidth="1" min="5" max="5"/>
    <col width="34" customWidth="1" min="6" max="6"/>
    <col width="38" customWidth="1" min="7" max="7"/>
    <col width="28" customWidth="1" min="8" max="8"/>
  </cols>
  <sheetData>
    <row r="1">
      <c r="A1" s="1" t="inlineStr">
        <is>
          <t>CHAPTER 2 — DYNAMIC CHARTS | SOLUTION &amp; MASTER GUIDE</t>
        </is>
      </c>
    </row>
    <row r="2">
      <c r="A2" s="2" t="inlineStr">
        <is>
          <t>Reference architecture, formulas and decision rules. Rebuild these rather than copying blindly.</t>
        </is>
      </c>
    </row>
    <row r="3"/>
    <row r="4">
      <c r="A4" s="12" t="inlineStr">
        <is>
          <t>MASTER SOLUTION MAP</t>
        </is>
      </c>
    </row>
    <row r="5">
      <c r="A5" s="10" t="inlineStr">
        <is>
          <t>#</t>
        </is>
      </c>
      <c r="B5" s="10" t="inlineStr">
        <is>
          <t>Requirement</t>
        </is>
      </c>
      <c r="C5" s="10" t="inlineStr">
        <is>
          <t>Recommended method</t>
        </is>
      </c>
      <c r="D5" s="10" t="inlineStr">
        <is>
          <t>Why</t>
        </is>
      </c>
      <c r="E5" s="10" t="inlineStr">
        <is>
          <t>Alternative</t>
        </is>
      </c>
      <c r="F5" s="10" t="inlineStr">
        <is>
          <t>Main risk</t>
        </is>
      </c>
      <c r="G5" s="10" t="inlineStr">
        <is>
          <t>Best use</t>
        </is>
      </c>
      <c r="H5" s="10" t="inlineStr">
        <is>
          <t>Skill</t>
        </is>
      </c>
    </row>
    <row r="6">
      <c r="A6" s="5" t="n">
        <v>1</v>
      </c>
      <c r="B6" s="5" t="inlineStr">
        <is>
          <t>Growing source</t>
        </is>
      </c>
      <c r="C6" s="5" t="inlineStr">
        <is>
          <t>Excel Table</t>
        </is>
      </c>
      <c r="D6" s="5" t="inlineStr">
        <is>
          <t>Automatically expands rows/columns</t>
        </is>
      </c>
      <c r="E6" s="5" t="inlineStr">
        <is>
          <t>INDEX/OFFSET</t>
        </is>
      </c>
      <c r="F6" s="5" t="inlineStr">
        <is>
          <t>Table must be maintained correctly</t>
        </is>
      </c>
      <c r="G6" s="5" t="inlineStr">
        <is>
          <t>Most dashboards</t>
        </is>
      </c>
      <c r="H6" s="5" t="inlineStr">
        <is>
          <t>Foundation</t>
        </is>
      </c>
    </row>
    <row r="7">
      <c r="A7" s="5" t="n">
        <v>2</v>
      </c>
      <c r="B7" s="5" t="inlineStr">
        <is>
          <t>KPI selector</t>
        </is>
      </c>
      <c r="C7" s="5" t="inlineStr">
        <is>
          <t>CHOOSE / INDEX-MATCH</t>
        </is>
      </c>
      <c r="D7" s="5" t="inlineStr">
        <is>
          <t>Maps one selection to one series</t>
        </is>
      </c>
      <c r="E7" s="5" t="inlineStr">
        <is>
          <t>FILTER/CHOOSECOLS</t>
        </is>
      </c>
      <c r="F7" s="5" t="inlineStr">
        <is>
          <t>Invalid selection</t>
        </is>
      </c>
      <c r="G7" s="5" t="inlineStr">
        <is>
          <t>Metric switcher</t>
        </is>
      </c>
      <c r="H7" s="5" t="inlineStr">
        <is>
          <t>Dynamic metric</t>
        </is>
      </c>
    </row>
    <row r="8">
      <c r="A8" s="5" t="n">
        <v>3</v>
      </c>
      <c r="B8" s="5" t="inlineStr">
        <is>
          <t>Dimension selector</t>
        </is>
      </c>
      <c r="C8" s="5" t="inlineStr">
        <is>
          <t>Helper summaries + CHOOSE/INDEX</t>
        </is>
      </c>
      <c r="D8" s="5" t="inlineStr">
        <is>
          <t>Controls the X-axis safely</t>
        </is>
      </c>
      <c r="E8" s="5" t="inlineStr">
        <is>
          <t>Pivot + slicer</t>
        </is>
      </c>
      <c r="F8" s="5" t="inlineStr">
        <is>
          <t>Different dimensions need compatible summaries</t>
        </is>
      </c>
      <c r="G8" s="5" t="inlineStr">
        <is>
          <t>Management dashboard</t>
        </is>
      </c>
      <c r="H8" s="5" t="inlineStr">
        <is>
          <t>Dynamic dimension</t>
        </is>
      </c>
    </row>
    <row r="9">
      <c r="A9" s="5" t="n">
        <v>4</v>
      </c>
      <c r="B9" s="5" t="inlineStr">
        <is>
          <t>Series selector</t>
        </is>
      </c>
      <c r="C9" s="5" t="inlineStr">
        <is>
          <t>FILTER/CHOOSE</t>
        </is>
      </c>
      <c r="D9" s="5" t="inlineStr">
        <is>
          <t>Shows selected KPIs</t>
        </is>
      </c>
      <c r="E9" s="5" t="inlineStr">
        <is>
          <t>Separate helper ranges</t>
        </is>
      </c>
      <c r="F9" s="5" t="inlineStr">
        <is>
          <t>Too many series</t>
        </is>
      </c>
      <c r="G9" s="5" t="inlineStr">
        <is>
          <t>Multi-KPI chart</t>
        </is>
      </c>
      <c r="H9" s="5" t="inlineStr">
        <is>
          <t>Dynamic series</t>
        </is>
      </c>
    </row>
    <row r="10">
      <c r="A10" s="5" t="n">
        <v>5</v>
      </c>
      <c r="B10" s="5" t="inlineStr">
        <is>
          <t>Chart title</t>
        </is>
      </c>
      <c r="C10" s="5" t="inlineStr">
        <is>
          <t>Linked helper cell</t>
        </is>
      </c>
      <c r="D10" s="5" t="inlineStr">
        <is>
          <t>Explains current state</t>
        </is>
      </c>
      <c r="E10" s="5" t="inlineStr">
        <is>
          <t>Direct formula</t>
        </is>
      </c>
      <c r="F10" s="5" t="inlineStr">
        <is>
          <t>Stale text</t>
        </is>
      </c>
      <c r="G10" s="5" t="inlineStr">
        <is>
          <t>Executive dashboard</t>
        </is>
      </c>
      <c r="H10" s="5" t="inlineStr">
        <is>
          <t>Communication</t>
        </is>
      </c>
    </row>
    <row r="11">
      <c r="A11" s="5" t="n">
        <v>6</v>
      </c>
      <c r="B11" s="5" t="inlineStr">
        <is>
          <t>Axis labels</t>
        </is>
      </c>
      <c r="C11" s="5" t="inlineStr">
        <is>
          <t>Formula/helper cells</t>
        </is>
      </c>
      <c r="D11" s="5" t="inlineStr">
        <is>
          <t>Units follow metric</t>
        </is>
      </c>
      <c r="E11" s="5" t="inlineStr">
        <is>
          <t>Static labels</t>
        </is>
      </c>
      <c r="F11" s="5" t="inlineStr">
        <is>
          <t>Wrong unit</t>
        </is>
      </c>
      <c r="G11" s="5" t="inlineStr">
        <is>
          <t>Reusable templates</t>
        </is>
      </c>
      <c r="H11" s="5" t="inlineStr">
        <is>
          <t>Clarity</t>
        </is>
      </c>
    </row>
    <row r="12">
      <c r="A12" s="5" t="n">
        <v>7</v>
      </c>
      <c r="B12" s="5" t="inlineStr">
        <is>
          <t>Top-N</t>
        </is>
      </c>
      <c r="C12" s="5" t="inlineStr">
        <is>
          <t>SORT + TAKE</t>
        </is>
      </c>
      <c r="D12" s="5" t="inlineStr">
        <is>
          <t>Automatic ranking</t>
        </is>
      </c>
      <c r="E12" s="5" t="inlineStr">
        <is>
          <t>LARGE/INDEX</t>
        </is>
      </c>
      <c r="F12" s="5" t="inlineStr">
        <is>
          <t>Ties/duplicates</t>
        </is>
      </c>
      <c r="G12" s="5" t="inlineStr">
        <is>
          <t>Product ranking</t>
        </is>
      </c>
      <c r="H12" s="5" t="inlineStr">
        <is>
          <t>Modern Excel</t>
        </is>
      </c>
    </row>
    <row r="13">
      <c r="A13" s="5" t="n">
        <v>8</v>
      </c>
      <c r="B13" s="5" t="inlineStr">
        <is>
          <t>Filtering</t>
        </is>
      </c>
      <c r="C13" s="5" t="inlineStr">
        <is>
          <t>FILTER</t>
        </is>
      </c>
      <c r="D13" s="5" t="inlineStr">
        <is>
          <t>Multiple criteria</t>
        </is>
      </c>
      <c r="E13" s="5" t="inlineStr">
        <is>
          <t>Pivot/Slicer</t>
        </is>
      </c>
      <c r="F13" s="5" t="inlineStr">
        <is>
          <t>No matching rows</t>
        </is>
      </c>
      <c r="G13" s="5" t="inlineStr">
        <is>
          <t>Interactive charts</t>
        </is>
      </c>
      <c r="H13" s="5" t="inlineStr">
        <is>
          <t>Interactivity</t>
        </is>
      </c>
    </row>
    <row r="14">
      <c r="A14" s="5" t="n">
        <v>9</v>
      </c>
      <c r="B14" s="5" t="inlineStr">
        <is>
          <t>Modern functions</t>
        </is>
      </c>
      <c r="C14" s="5" t="inlineStr">
        <is>
          <t>SORT/FILTER/UNIQUE/TAKE/DROP/CHOOSECOLS</t>
        </is>
      </c>
      <c r="D14" s="5" t="inlineStr">
        <is>
          <t>Compact dynamic arrays</t>
        </is>
      </c>
      <c r="E14" s="5" t="inlineStr">
        <is>
          <t>Older formulas</t>
        </is>
      </c>
      <c r="F14" s="5" t="inlineStr">
        <is>
          <t>Version compatibility</t>
        </is>
      </c>
      <c r="G14" s="5" t="inlineStr">
        <is>
          <t>Microsoft 365</t>
        </is>
      </c>
      <c r="H14" s="5" t="inlineStr">
        <is>
          <t>Efficiency</t>
        </is>
      </c>
    </row>
    <row r="15">
      <c r="A15" s="5" t="n">
        <v>10</v>
      </c>
      <c r="B15" s="5" t="inlineStr">
        <is>
          <t>Pivot + slicers</t>
        </is>
      </c>
      <c r="C15" s="5" t="inlineStr">
        <is>
          <t>PivotTable + PivotChart</t>
        </is>
      </c>
      <c r="D15" s="5" t="inlineStr">
        <is>
          <t>Strong interactive analysis</t>
        </is>
      </c>
      <c r="E15" s="5" t="inlineStr">
        <is>
          <t>Formula summary</t>
        </is>
      </c>
      <c r="F15" s="5" t="inlineStr">
        <is>
          <t>Pivot refresh required</t>
        </is>
      </c>
      <c r="G15" s="5" t="inlineStr">
        <is>
          <t>Management reporting</t>
        </is>
      </c>
      <c r="H15" s="5" t="inlineStr">
        <is>
          <t>Alternative architecture</t>
        </is>
      </c>
    </row>
    <row r="16">
      <c r="A16" s="5" t="n">
        <v>11</v>
      </c>
      <c r="B16" s="5" t="inlineStr">
        <is>
          <t>Errors</t>
        </is>
      </c>
      <c r="C16" s="5" t="inlineStr">
        <is>
          <t>IFERROR + chart empty-cell setting</t>
        </is>
      </c>
      <c r="D16" s="5" t="inlineStr">
        <is>
          <t>Clean visual</t>
        </is>
      </c>
      <c r="E16" s="5" t="inlineStr">
        <is>
          <t>Helper status column</t>
        </is>
      </c>
      <c r="F16" s="5" t="inlineStr">
        <is>
          <t>Hiding real data problems</t>
        </is>
      </c>
      <c r="G16" s="5" t="inlineStr">
        <is>
          <t>Operational dashboards</t>
        </is>
      </c>
      <c r="H16" s="5" t="inlineStr">
        <is>
          <t>Robustness</t>
        </is>
      </c>
    </row>
    <row r="17">
      <c r="A17" s="5" t="n">
        <v>12</v>
      </c>
      <c r="B17" s="5" t="inlineStr">
        <is>
          <t>Performance</t>
        </is>
      </c>
      <c r="C17" s="5" t="inlineStr">
        <is>
          <t>Table / INDEX first</t>
        </is>
      </c>
      <c r="D17" s="5" t="inlineStr">
        <is>
          <t>Non-volatile and scalable</t>
        </is>
      </c>
      <c r="E17" s="5" t="inlineStr">
        <is>
          <t>OFFSET only when useful</t>
        </is>
      </c>
      <c r="F17" s="5" t="inlineStr">
        <is>
          <t>Volatile formulas recalc often</t>
        </is>
      </c>
      <c r="G17" s="5" t="inlineStr">
        <is>
          <t>Large models</t>
        </is>
      </c>
      <c r="H17" s="5" t="inlineStr">
        <is>
          <t>Architecture</t>
        </is>
      </c>
    </row>
    <row r="18"/>
    <row r="19"/>
    <row r="20">
      <c r="A20" s="9" t="inlineStr">
        <is>
          <t>STEP-BY-STEP — INDEX METHOD</t>
        </is>
      </c>
    </row>
    <row r="21">
      <c r="A21" s="5" t="inlineStr">
        <is>
          <t>STEP 1 — Build a clean summary table: Month | Total Sales | Total Profit | Orders.</t>
        </is>
      </c>
    </row>
    <row r="22">
      <c r="A22" s="5" t="inlineStr">
        <is>
          <t>STEP 2 — Determine the last populated summary row using MATCH/COUNTA rather than hard-coding the end.</t>
        </is>
      </c>
    </row>
    <row r="23">
      <c r="A23" s="5" t="inlineStr">
        <is>
          <t>STEP 3 — Form a named range such as Sales_Range using INDEX to return the final cell.</t>
        </is>
      </c>
    </row>
    <row r="24">
      <c r="A24" s="5" t="inlineStr">
        <is>
          <t>STEP 4 — Create Month_Range using the same last-row logic so category and series lengths stay aligned.</t>
        </is>
      </c>
    </row>
    <row r="25">
      <c r="A25" s="5" t="inlineStr">
        <is>
          <t>STEP 5 — Insert a Clustered Column Chart and edit the series/category references to the named ranges.</t>
        </is>
      </c>
    </row>
    <row r="26">
      <c r="A26" s="5" t="inlineStr">
        <is>
          <t>STEP 6 — Add a new month to the summary/source and confirm the chart expands automatically.</t>
        </is>
      </c>
    </row>
    <row r="27">
      <c r="A27" s="5" t="inlineStr">
        <is>
          <t>STEP 7 — Add a KPI column and create another named range; confirm the new series can be added without rebuilding the whole chart.</t>
        </is>
      </c>
    </row>
    <row r="28"/>
    <row r="29"/>
    <row r="30">
      <c r="A30" s="11" t="inlineStr">
        <is>
          <t>STEP-BY-STEP — OFFSET METHOD</t>
        </is>
      </c>
    </row>
    <row r="31">
      <c r="A31" s="5" t="inlineStr">
        <is>
          <t>1. Formulas → Name Manager → New.</t>
        </is>
      </c>
    </row>
    <row r="32">
      <c r="A32" s="5" t="inlineStr">
        <is>
          <t>2. Give the range a meaningful name, e.g. nm_Month or nm_Sales.</t>
        </is>
      </c>
    </row>
    <row r="33">
      <c r="A33" s="5" t="inlineStr">
        <is>
          <t>3. Use OFFSET from the first summary cell; use COUNTA to calculate dynamic height.</t>
        </is>
      </c>
    </row>
    <row r="34">
      <c r="A34" s="5" t="inlineStr">
        <is>
          <t>4. Keep the number of rows identical for the X-axis and every Y-series.</t>
        </is>
      </c>
    </row>
    <row r="35">
      <c r="A35" s="5" t="inlineStr">
        <is>
          <t>5. Insert the chart and use the named ranges as category/series sources.</t>
        </is>
      </c>
    </row>
    <row r="36">
      <c r="A36" s="5" t="inlineStr">
        <is>
          <t>6. Test append, delete, blank, zero and filter cases.</t>
        </is>
      </c>
    </row>
    <row r="37">
      <c r="A37" s="5" t="inlineStr">
        <is>
          <t>7. Remember: OFFSET is volatile; it recalculates frequently. Prefer Tables/INDEX for large dashboards when practical.</t>
        </is>
      </c>
    </row>
    <row r="38"/>
    <row r="39"/>
    <row r="40">
      <c r="A40" s="8" t="inlineStr">
        <is>
          <t>DYNAMIC SELECTOR SOLUTIONS</t>
        </is>
      </c>
    </row>
    <row r="41">
      <c r="A41" s="10" t="inlineStr">
        <is>
          <t>Selector</t>
        </is>
      </c>
      <c r="B41" s="10" t="inlineStr">
        <is>
          <t>Example formula concept</t>
        </is>
      </c>
      <c r="C41" s="10" t="inlineStr">
        <is>
          <t>What changes</t>
        </is>
      </c>
      <c r="D41" s="10" t="inlineStr">
        <is>
          <t>Expert note</t>
        </is>
      </c>
      <c r="E41" s="10" t="inlineStr">
        <is>
          <t>Test</t>
        </is>
      </c>
    </row>
    <row r="42">
      <c r="A42" s="5" t="inlineStr">
        <is>
          <t>KPI</t>
        </is>
      </c>
      <c r="B42" s="5">
        <f>CHOOSE(selKPI,SalesRange,ProfitRange,OrdersRange)</f>
        <v/>
      </c>
      <c r="C42" s="5" t="inlineStr">
        <is>
          <t>Chart metric</t>
        </is>
      </c>
      <c r="D42" s="5" t="inlineStr">
        <is>
          <t>Best when list is small and fixed</t>
        </is>
      </c>
      <c r="E42" s="5" t="inlineStr">
        <is>
          <t>Change dropdown</t>
        </is>
      </c>
    </row>
    <row r="43">
      <c r="A43" s="5" t="inlineStr">
        <is>
          <t>KPI</t>
        </is>
      </c>
      <c r="B43" s="5">
        <f>INDEX(KPI_Helper,,MATCH(selKPI,KPI_Headers,0))</f>
        <v/>
      </c>
      <c r="C43" s="5" t="inlineStr">
        <is>
          <t>Chart metric</t>
        </is>
      </c>
      <c r="D43" s="5" t="inlineStr">
        <is>
          <t>More scalable header-driven approach</t>
        </is>
      </c>
      <c r="E43" s="5" t="inlineStr">
        <is>
          <t>Add KPI</t>
        </is>
      </c>
    </row>
    <row r="44">
      <c r="A44" s="5" t="inlineStr">
        <is>
          <t>Dimension</t>
        </is>
      </c>
      <c r="B44" s="5">
        <f>CHOOSE(selDim,MonthSummary,RegionSummary,ProductSummary)</f>
        <v/>
      </c>
      <c r="C44" s="5" t="inlineStr">
        <is>
          <t>X-axis + summary</t>
        </is>
      </c>
      <c r="D44" s="5" t="inlineStr">
        <is>
          <t>Each dimension needs compatible helper</t>
        </is>
      </c>
      <c r="E44" s="5" t="inlineStr">
        <is>
          <t>Change dimension</t>
        </is>
      </c>
    </row>
    <row r="45">
      <c r="A45" s="5" t="inlineStr">
        <is>
          <t>Series</t>
        </is>
      </c>
      <c r="B45" s="5">
        <f>FILTER(SeriesTable,Selected=TRUE)</f>
        <v/>
      </c>
      <c r="C45" s="5" t="inlineStr">
        <is>
          <t>Visible series</t>
        </is>
      </c>
      <c r="D45" s="5" t="inlineStr">
        <is>
          <t>Modern Excel option</t>
        </is>
      </c>
      <c r="E45" s="5" t="inlineStr">
        <is>
          <t>Tick boxes</t>
        </is>
      </c>
    </row>
    <row r="46">
      <c r="A46" s="5" t="inlineStr">
        <is>
          <t>Top-N</t>
        </is>
      </c>
      <c r="B46" s="5">
        <f>TAKE(SORT(Table[[Product]:[Sales]],2,-1),selTopN)</f>
        <v/>
      </c>
      <c r="C46" s="5" t="inlineStr">
        <is>
          <t>Ranking</t>
        </is>
      </c>
      <c r="D46" s="5" t="inlineStr">
        <is>
          <t>Keep Top-N selector separate</t>
        </is>
      </c>
      <c r="E46" s="5" t="inlineStr">
        <is>
          <t>Change N</t>
        </is>
      </c>
    </row>
    <row r="47">
      <c r="A47" s="5" t="inlineStr">
        <is>
          <t>Filters</t>
        </is>
      </c>
      <c r="B47" s="5">
        <f>FILTER(Data,(Region=selRegion)*(Channel=selChannel))</f>
        <v/>
      </c>
      <c r="C47" s="5" t="inlineStr">
        <is>
          <t>Rows</t>
        </is>
      </c>
      <c r="D47" s="5" t="inlineStr">
        <is>
          <t>Handle zero-result case</t>
        </is>
      </c>
      <c r="E47" s="5" t="inlineStr">
        <is>
          <t>Select no-match</t>
        </is>
      </c>
    </row>
    <row r="48"/>
    <row r="49"/>
    <row r="50">
      <c r="A50" s="13" t="inlineStr">
        <is>
          <t>PERFORMANCE &amp; FAILURE-MODE REVIEW</t>
        </is>
      </c>
    </row>
    <row r="51">
      <c r="A51" s="10" t="inlineStr">
        <is>
          <t>Failure mode</t>
        </is>
      </c>
      <c r="B51" s="10" t="inlineStr">
        <is>
          <t>Why it happens</t>
        </is>
      </c>
      <c r="C51" s="10" t="inlineStr">
        <is>
          <t>Detection</t>
        </is>
      </c>
      <c r="D51" s="10" t="inlineStr">
        <is>
          <t>Fix</t>
        </is>
      </c>
      <c r="E51" s="10" t="inlineStr">
        <is>
          <t>Priority</t>
        </is>
      </c>
      <c r="F51" s="10" t="inlineStr"/>
    </row>
    <row r="52">
      <c r="A52" s="5" t="inlineStr">
        <is>
          <t>Chart does not expand</t>
        </is>
      </c>
      <c r="B52" s="5" t="inlineStr">
        <is>
          <t>Static source range</t>
        </is>
      </c>
      <c r="C52" s="5" t="inlineStr">
        <is>
          <t>Append row test</t>
        </is>
      </c>
      <c r="D52" s="5" t="inlineStr">
        <is>
          <t>Table or dynamic named range</t>
        </is>
      </c>
      <c r="E52" s="5" t="inlineStr">
        <is>
          <t>High</t>
        </is>
      </c>
      <c r="F52" s="5" t="inlineStr"/>
    </row>
    <row r="53">
      <c r="A53" s="5" t="inlineStr">
        <is>
          <t>Series lengths differ</t>
        </is>
      </c>
      <c r="B53" s="5" t="inlineStr">
        <is>
          <t>Different COUNTA logic</t>
        </is>
      </c>
      <c r="C53" s="5" t="inlineStr">
        <is>
          <t>Inspect source ranges</t>
        </is>
      </c>
      <c r="D53" s="5" t="inlineStr">
        <is>
          <t>Use same last-row calculation</t>
        </is>
      </c>
      <c r="E53" s="5" t="inlineStr">
        <is>
          <t>High</t>
        </is>
      </c>
      <c r="F53" s="5" t="inlineStr"/>
    </row>
    <row r="54">
      <c r="A54" s="5" t="inlineStr">
        <is>
          <t>Chart shows blanks</t>
        </is>
      </c>
      <c r="B54" s="5" t="inlineStr">
        <is>
          <t>Blank cells interpreted visually</t>
        </is>
      </c>
      <c r="C54" s="5" t="inlineStr">
        <is>
          <t>Blank test</t>
        </is>
      </c>
      <c r="D54" s="5" t="inlineStr">
        <is>
          <t>IFERROR/empty-cell setting</t>
        </is>
      </c>
      <c r="E54" s="5" t="inlineStr">
        <is>
          <t>High</t>
        </is>
      </c>
      <c r="F54" s="5" t="inlineStr"/>
    </row>
    <row r="55">
      <c r="A55" s="5" t="inlineStr">
        <is>
          <t>Wrong title</t>
        </is>
      </c>
      <c r="B55" s="5" t="inlineStr">
        <is>
          <t>Title hard-coded</t>
        </is>
      </c>
      <c r="C55" s="5" t="inlineStr">
        <is>
          <t>Change selector</t>
        </is>
      </c>
      <c r="D55" s="5" t="inlineStr">
        <is>
          <t>Link title to helper cell</t>
        </is>
      </c>
      <c r="E55" s="5" t="inlineStr">
        <is>
          <t>Medium</t>
        </is>
      </c>
      <c r="F55" s="5" t="inlineStr"/>
    </row>
    <row r="56">
      <c r="A56" s="5" t="inlineStr">
        <is>
          <t>Slow workbook</t>
        </is>
      </c>
      <c r="B56" s="5" t="inlineStr">
        <is>
          <t>Many volatile OFFSET/INDIRECT formulas</t>
        </is>
      </c>
      <c r="C56" s="5" t="inlineStr">
        <is>
          <t>Calculation test</t>
        </is>
      </c>
      <c r="D56" s="5" t="inlineStr">
        <is>
          <t>Tables/INDEX/helper outputs</t>
        </is>
      </c>
      <c r="E56" s="5" t="inlineStr">
        <is>
          <t>High</t>
        </is>
      </c>
      <c r="F56" s="5" t="inlineStr"/>
    </row>
    <row r="57">
      <c r="A57" s="5" t="inlineStr">
        <is>
          <t>Top-N wrong</t>
        </is>
      </c>
      <c r="B57" s="5" t="inlineStr">
        <is>
          <t>Ranking includes blanks/ties</t>
        </is>
      </c>
      <c r="C57" s="5" t="inlineStr">
        <is>
          <t>Add duplicates/blanks</t>
        </is>
      </c>
      <c r="D57" s="5" t="inlineStr">
        <is>
          <t>Filter clean data before ranking</t>
        </is>
      </c>
      <c r="E57" s="5" t="inlineStr">
        <is>
          <t>Medium</t>
        </is>
      </c>
      <c r="F57" s="5" t="inlineStr"/>
    </row>
    <row r="58">
      <c r="A58" s="5" t="inlineStr">
        <is>
          <t>Filter shows #CALC!</t>
        </is>
      </c>
      <c r="B58" s="5" t="inlineStr">
        <is>
          <t>No matching rows</t>
        </is>
      </c>
      <c r="C58" s="5" t="inlineStr">
        <is>
          <t>Select impossible filter</t>
        </is>
      </c>
      <c r="D58" s="5" t="inlineStr">
        <is>
          <t>IFERROR/FILTER fallback</t>
        </is>
      </c>
      <c r="E58" s="5" t="inlineStr">
        <is>
          <t>High</t>
        </is>
      </c>
      <c r="F58" s="5" t="inlineStr"/>
    </row>
    <row r="59"/>
    <row r="60"/>
    <row r="61">
      <c r="A61" s="14" t="inlineStr">
        <is>
          <t>FINAL EXPERT FRAMEWORK</t>
        </is>
      </c>
    </row>
    <row r="62">
      <c r="A62" s="5" t="inlineStr">
        <is>
          <t>1. Start with the business question — not the chart.</t>
        </is>
      </c>
    </row>
    <row r="63">
      <c r="A63" s="5" t="inlineStr">
        <is>
          <t>2. Keep RAW DATA separate from chart-ready SUMMARY.</t>
        </is>
      </c>
    </row>
    <row r="64">
      <c r="A64" s="5" t="inlineStr">
        <is>
          <t>3. Prefer Excel Tables for normal growing sources.</t>
        </is>
      </c>
    </row>
    <row r="65">
      <c r="A65" s="5" t="inlineStr">
        <is>
          <t>4. Use INDEX for scalable non-volatile dynamic ranges; use OFFSET deliberately when its flexibility is valuable.</t>
        </is>
      </c>
    </row>
    <row r="66">
      <c r="A66" s="5" t="inlineStr">
        <is>
          <t>5. Use modern dynamic arrays for ranking/filtering when the Excel version supports them.</t>
        </is>
      </c>
    </row>
    <row r="67">
      <c r="A67" s="5" t="inlineStr">
        <is>
          <t>6. Make selectors control the summary/source, not just the visual decoration.</t>
        </is>
      </c>
    </row>
    <row r="68">
      <c r="A68" s="5" t="inlineStr">
        <is>
          <t>7. Every dynamic chart must pass the 7 tests: add, delete, selector, filter, blank, error, performance.</t>
        </is>
      </c>
    </row>
    <row r="69">
      <c r="A69" s="5" t="inlineStr">
        <is>
          <t>8. Dynamic charts are a system: Source → Logic → Summary → Dynamic Range → Chart → Decision.</t>
        </is>
      </c>
    </row>
    <row r="70"/>
    <row r="71"/>
    <row r="72">
      <c r="A72" s="9" t="inlineStr">
        <is>
          <t>REFERENCE CHART — MONTHLY SALES + PROFIT</t>
        </is>
      </c>
    </row>
    <row r="73">
      <c r="A73" s="10" t="inlineStr">
        <is>
          <t>Month</t>
        </is>
      </c>
      <c r="B73" s="10" t="inlineStr">
        <is>
          <t>Sales (₹)</t>
        </is>
      </c>
      <c r="C73" s="10" t="inlineStr">
        <is>
          <t>Profit (₹)</t>
        </is>
      </c>
    </row>
    <row r="74">
      <c r="A74" s="5" t="inlineStr">
        <is>
          <t>Jan</t>
        </is>
      </c>
      <c r="B74" s="6" t="n">
        <v>27167864</v>
      </c>
      <c r="C74" s="6" t="n">
        <v>4777645.34</v>
      </c>
    </row>
    <row r="75">
      <c r="A75" s="5" t="inlineStr">
        <is>
          <t>Feb</t>
        </is>
      </c>
      <c r="B75" s="6" t="n">
        <v>22477627</v>
      </c>
      <c r="C75" s="6" t="n">
        <v>3883819.34</v>
      </c>
    </row>
    <row r="76">
      <c r="A76" s="5" t="inlineStr">
        <is>
          <t>Mar</t>
        </is>
      </c>
      <c r="B76" s="6" t="n">
        <v>13009555</v>
      </c>
      <c r="C76" s="6" t="n">
        <v>2194864.48</v>
      </c>
    </row>
    <row r="77">
      <c r="A77" s="5" t="inlineStr">
        <is>
          <t>Apr</t>
        </is>
      </c>
      <c r="B77" s="6" t="n">
        <v>17232480</v>
      </c>
      <c r="C77" s="6" t="n">
        <v>2891615.15</v>
      </c>
    </row>
    <row r="78">
      <c r="A78" s="5" t="inlineStr">
        <is>
          <t>May</t>
        </is>
      </c>
      <c r="B78" s="6" t="n">
        <v>14702957</v>
      </c>
      <c r="C78" s="6" t="n">
        <v>2345803.25</v>
      </c>
    </row>
    <row r="79">
      <c r="A79" s="5" t="inlineStr">
        <is>
          <t>Jun</t>
        </is>
      </c>
      <c r="B79" s="6" t="n">
        <v>12788715</v>
      </c>
      <c r="C79" s="6" t="n">
        <v>2246313.830000001</v>
      </c>
    </row>
  </sheetData>
  <mergeCells count="31">
    <mergeCell ref="A67:H67"/>
    <mergeCell ref="A30:H30"/>
    <mergeCell ref="A24:H24"/>
    <mergeCell ref="A64:H64"/>
    <mergeCell ref="A36:H36"/>
    <mergeCell ref="A1:H1"/>
    <mergeCell ref="A61:H61"/>
    <mergeCell ref="A69:H69"/>
    <mergeCell ref="A25:H25"/>
    <mergeCell ref="A65:H65"/>
    <mergeCell ref="A66:H66"/>
    <mergeCell ref="A37:H37"/>
    <mergeCell ref="A27:H27"/>
    <mergeCell ref="A50:H50"/>
    <mergeCell ref="A26:H26"/>
    <mergeCell ref="A21:H21"/>
    <mergeCell ref="A2:H2"/>
    <mergeCell ref="A33:H33"/>
    <mergeCell ref="A23:H23"/>
    <mergeCell ref="A32:H32"/>
    <mergeCell ref="A22:H22"/>
    <mergeCell ref="A40:H40"/>
    <mergeCell ref="A4:H4"/>
    <mergeCell ref="A62:H62"/>
    <mergeCell ref="A35:H35"/>
    <mergeCell ref="A20:H20"/>
    <mergeCell ref="A63:H63"/>
    <mergeCell ref="A72:H72"/>
    <mergeCell ref="A68:H68"/>
    <mergeCell ref="A31:H31"/>
    <mergeCell ref="A34:H34"/>
  </mergeCells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2026-08-31T15:30:05Z</dcterms:created>
  <dcterms:modified xmlns:dcterms="http://purl.org/dc/terms/" xmlns:xsi="http://www.w3.org/2001/XMLSchema-instance" xsi:type="dcterms:W3CDTF">2026-08-31T15:30:05Z</dcterms:modified>
</cp:coreProperties>
</file>