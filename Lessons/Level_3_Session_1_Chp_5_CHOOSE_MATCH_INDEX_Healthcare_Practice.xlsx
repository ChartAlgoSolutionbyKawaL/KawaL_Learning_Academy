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NIC DATA" sheetId="2" state="visible" r:id="rId2"/>
    <sheet xmlns:r="http://schemas.openxmlformats.org/officeDocument/2006/relationships" name="PRACTICE" sheetId="3" state="visible" r:id="rId3"/>
    <sheet xmlns:r="http://schemas.openxmlformats.org/officeDocument/2006/relationships" name="SOLU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  <sz val="10"/>
    </font>
    <font>
      <b val="1"/>
      <color rgb="00FFFFFF"/>
    </font>
    <font>
      <b val="1"/>
      <color rgb="00B91C1C"/>
      <sz val="13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0B6B4F"/>
      </patternFill>
    </fill>
    <fill>
      <patternFill patternType="solid">
        <fgColor rgb="000F766E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inicData" displayName="ClinicData" ref="A4:J12" headerRowCount="1">
  <autoFilter ref="A4:J12"/>
  <tableColumns count="10">
    <tableColumn id="1" name="Department"/>
    <tableColumn id="2" name="Actual Visits"/>
    <tableColumn id="3" name="Target Visits"/>
    <tableColumn id="4" name="Forecast Visits"/>
    <tableColumn id="5" name="Actual Revenue"/>
    <tableColumn id="6" name="Target Revenue"/>
    <tableColumn id="7" name="Forecast Revenue"/>
    <tableColumn id="8" name="Actual Avg Wait"/>
    <tableColumn id="9" name="Target Avg Wait"/>
    <tableColumn id="10" name="Forecast Avg Wait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42" customWidth="1" min="3" max="3"/>
  </cols>
  <sheetData>
    <row r="1">
      <c r="A1" s="1" t="inlineStr">
        <is>
          <t>CHAPTER 5 PRACTICE — CHOOSE + MATCH + INDEX</t>
        </is>
      </c>
    </row>
    <row r="2">
      <c r="A2" s="2" t="inlineStr">
        <is>
          <t>Industry: Healthcare Operations | Focus: user-selected metrics, scenario switching and dynamic report outputs.</t>
        </is>
      </c>
    </row>
    <row r="3"/>
    <row r="4">
      <c r="A4" s="3" t="inlineStr">
        <is>
          <t>Challenge</t>
        </is>
      </c>
      <c r="B4" s="3" t="inlineStr">
        <is>
          <t>Task</t>
        </is>
      </c>
      <c r="C4" s="3" t="inlineStr">
        <is>
          <t>Skill</t>
        </is>
      </c>
    </row>
    <row r="5">
      <c r="A5" s="4" t="inlineStr">
        <is>
          <t>Q1</t>
        </is>
      </c>
      <c r="B5" s="4" t="inlineStr">
        <is>
          <t>Create a Metric selector: Visits / Revenue / Avg Wait.</t>
        </is>
      </c>
      <c r="C5" s="4" t="inlineStr">
        <is>
          <t>CHOOSE + MATCH.</t>
        </is>
      </c>
    </row>
    <row r="6">
      <c r="A6" s="4" t="inlineStr">
        <is>
          <t>Q2</t>
        </is>
      </c>
      <c r="B6" s="4" t="inlineStr">
        <is>
          <t>Return the selected metric for the selected department.</t>
        </is>
      </c>
      <c r="C6" s="4" t="inlineStr">
        <is>
          <t>Dynamic metric switching.</t>
        </is>
      </c>
    </row>
    <row r="7">
      <c r="A7" s="4" t="inlineStr">
        <is>
          <t>Q3</t>
        </is>
      </c>
      <c r="B7" s="4" t="inlineStr">
        <is>
          <t>Create a Scenario selector: Actual / Target / Forecast and return the corresponding value.</t>
        </is>
      </c>
      <c r="C7" s="4" t="inlineStr">
        <is>
          <t>Scenario switching.</t>
        </is>
      </c>
    </row>
    <row r="8">
      <c r="A8" s="4" t="inlineStr">
        <is>
          <t>Q4</t>
        </is>
      </c>
      <c r="B8" s="4" t="inlineStr">
        <is>
          <t>Use INDEX + MATCH to locate the selected Department, then CHOOSE + MATCH to select the metric.</t>
        </is>
      </c>
      <c r="C8" s="4" t="inlineStr">
        <is>
          <t>Nested decision logic.</t>
        </is>
      </c>
    </row>
    <row r="9">
      <c r="A9" s="4" t="inlineStr">
        <is>
          <t>Q5</t>
        </is>
      </c>
      <c r="B9" s="4" t="inlineStr">
        <is>
          <t>Create a management KPI card driven by both Department and Metric.</t>
        </is>
      </c>
      <c r="C9" s="4" t="inlineStr">
        <is>
          <t>Dashboard architecture.</t>
        </is>
      </c>
    </row>
    <row r="10">
      <c r="A10" s="4" t="inlineStr">
        <is>
          <t>Q6 — HARD</t>
        </is>
      </c>
      <c r="B10" s="4" t="inlineStr">
        <is>
          <t>Build a dynamic report where Department + Metric + Scenario determine the final KPI from one formula.</t>
        </is>
      </c>
      <c r="C10" s="4" t="inlineStr">
        <is>
          <t>Full combination.</t>
        </is>
      </c>
    </row>
    <row r="11">
      <c r="A11" s="4" t="inlineStr">
        <is>
          <t>Q7</t>
        </is>
      </c>
      <c r="B11" s="4" t="inlineStr">
        <is>
          <t>Explain when CHOOSE+MATCH+INDEX is cleaner than separate IF statements.</t>
        </is>
      </c>
      <c r="C11" s="4" t="inlineStr">
        <is>
          <t>Formula architecture.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CLINIC DATA — HEALTHCARE OPERATIONS</t>
        </is>
      </c>
    </row>
    <row r="2">
      <c r="A2" s="2" t="inlineStr">
        <is>
          <t>Synthetic healthcare operations data for formula practice.</t>
        </is>
      </c>
    </row>
    <row r="3"/>
    <row r="4">
      <c r="A4" s="5" t="inlineStr">
        <is>
          <t>Department</t>
        </is>
      </c>
      <c r="B4" s="5" t="inlineStr">
        <is>
          <t>Actual Visits</t>
        </is>
      </c>
      <c r="C4" s="5" t="inlineStr">
        <is>
          <t>Target Visits</t>
        </is>
      </c>
      <c r="D4" s="5" t="inlineStr">
        <is>
          <t>Forecast Visits</t>
        </is>
      </c>
      <c r="E4" s="5" t="inlineStr">
        <is>
          <t>Actual Revenue</t>
        </is>
      </c>
      <c r="F4" s="5" t="inlineStr">
        <is>
          <t>Target Revenue</t>
        </is>
      </c>
      <c r="G4" s="5" t="inlineStr">
        <is>
          <t>Forecast Revenue</t>
        </is>
      </c>
      <c r="H4" s="5" t="inlineStr">
        <is>
          <t>Actual Avg Wait</t>
        </is>
      </c>
      <c r="I4" s="5" t="inlineStr">
        <is>
          <t>Target Avg Wait</t>
        </is>
      </c>
      <c r="J4" s="5" t="inlineStr">
        <is>
          <t>Forecast Avg Wait</t>
        </is>
      </c>
    </row>
    <row r="5">
      <c r="A5" s="4" t="inlineStr">
        <is>
          <t>Cardiology</t>
        </is>
      </c>
      <c r="B5" s="4" t="n">
        <v>1296</v>
      </c>
      <c r="C5" s="4" t="n">
        <v>1206</v>
      </c>
      <c r="D5" s="4" t="n">
        <v>1316</v>
      </c>
      <c r="E5" s="6" t="n">
        <v>1613794</v>
      </c>
      <c r="F5" s="6" t="n">
        <v>1563995</v>
      </c>
      <c r="G5" s="6" t="n">
        <v>1760463</v>
      </c>
      <c r="H5" s="7" t="n">
        <v>30.4</v>
      </c>
      <c r="I5" s="7" t="n">
        <v>15.9</v>
      </c>
      <c r="J5" s="7" t="n">
        <v>22.2</v>
      </c>
    </row>
    <row r="6">
      <c r="A6" s="4" t="inlineStr">
        <is>
          <t>Orthopedics</t>
        </is>
      </c>
      <c r="B6" s="4" t="n">
        <v>939</v>
      </c>
      <c r="C6" s="4" t="n">
        <v>1039</v>
      </c>
      <c r="D6" s="4" t="n">
        <v>898</v>
      </c>
      <c r="E6" s="6" t="n">
        <v>2991442</v>
      </c>
      <c r="F6" s="6" t="n">
        <v>2934468</v>
      </c>
      <c r="G6" s="6" t="n">
        <v>3003523</v>
      </c>
      <c r="H6" s="7" t="n">
        <v>20.4</v>
      </c>
      <c r="I6" s="7" t="n">
        <v>9.800000000000001</v>
      </c>
      <c r="J6" s="7" t="n">
        <v>26.1</v>
      </c>
    </row>
    <row r="7">
      <c r="A7" s="4" t="inlineStr">
        <is>
          <t>Pediatrics</t>
        </is>
      </c>
      <c r="B7" s="4" t="n">
        <v>1353</v>
      </c>
      <c r="C7" s="4" t="n">
        <v>1259</v>
      </c>
      <c r="D7" s="4" t="n">
        <v>1440</v>
      </c>
      <c r="E7" s="6" t="n">
        <v>2934854</v>
      </c>
      <c r="F7" s="6" t="n">
        <v>3168947</v>
      </c>
      <c r="G7" s="6" t="n">
        <v>2842602</v>
      </c>
      <c r="H7" s="7" t="n">
        <v>30.8</v>
      </c>
      <c r="I7" s="7" t="n">
        <v>10.1</v>
      </c>
      <c r="J7" s="7" t="n">
        <v>12.4</v>
      </c>
    </row>
    <row r="8">
      <c r="A8" s="4" t="inlineStr">
        <is>
          <t>Dermatology</t>
        </is>
      </c>
      <c r="B8" s="4" t="n">
        <v>1312</v>
      </c>
      <c r="C8" s="4" t="n">
        <v>1433</v>
      </c>
      <c r="D8" s="4" t="n">
        <v>1276</v>
      </c>
      <c r="E8" s="6" t="n">
        <v>2780104</v>
      </c>
      <c r="F8" s="6" t="n">
        <v>2973537</v>
      </c>
      <c r="G8" s="6" t="n">
        <v>2732380</v>
      </c>
      <c r="H8" s="7" t="n">
        <v>12.3</v>
      </c>
      <c r="I8" s="7" t="n">
        <v>19</v>
      </c>
      <c r="J8" s="7" t="n">
        <v>21.2</v>
      </c>
    </row>
    <row r="9">
      <c r="A9" s="4" t="inlineStr">
        <is>
          <t>Neurology</t>
        </is>
      </c>
      <c r="B9" s="4" t="n">
        <v>797</v>
      </c>
      <c r="C9" s="4" t="n">
        <v>807</v>
      </c>
      <c r="D9" s="4" t="n">
        <v>787</v>
      </c>
      <c r="E9" s="6" t="n">
        <v>1628393</v>
      </c>
      <c r="F9" s="6" t="n">
        <v>1798396</v>
      </c>
      <c r="G9" s="6" t="n">
        <v>1680543</v>
      </c>
      <c r="H9" s="7" t="n">
        <v>35.9</v>
      </c>
      <c r="I9" s="7" t="n">
        <v>14.3</v>
      </c>
      <c r="J9" s="7" t="n">
        <v>22.6</v>
      </c>
    </row>
    <row r="10">
      <c r="A10" s="4" t="inlineStr">
        <is>
          <t>General Medicine</t>
        </is>
      </c>
      <c r="B10" s="4" t="n">
        <v>1002</v>
      </c>
      <c r="C10" s="4" t="n">
        <v>974</v>
      </c>
      <c r="D10" s="4" t="n">
        <v>1003</v>
      </c>
      <c r="E10" s="6" t="n">
        <v>2042758</v>
      </c>
      <c r="F10" s="6" t="n">
        <v>2277478</v>
      </c>
      <c r="G10" s="6" t="n">
        <v>2135226</v>
      </c>
      <c r="H10" s="7" t="n">
        <v>21.3</v>
      </c>
      <c r="I10" s="7" t="n">
        <v>22.5</v>
      </c>
      <c r="J10" s="7" t="n">
        <v>31</v>
      </c>
    </row>
    <row r="11">
      <c r="A11" s="4" t="inlineStr">
        <is>
          <t>ENT</t>
        </is>
      </c>
      <c r="B11" s="4" t="n">
        <v>765</v>
      </c>
      <c r="C11" s="4" t="n">
        <v>747</v>
      </c>
      <c r="D11" s="4" t="n">
        <v>780</v>
      </c>
      <c r="E11" s="6" t="n">
        <v>1754874</v>
      </c>
      <c r="F11" s="6" t="n">
        <v>1697589</v>
      </c>
      <c r="G11" s="6" t="n">
        <v>1872672</v>
      </c>
      <c r="H11" s="7" t="n">
        <v>16.4</v>
      </c>
      <c r="I11" s="7" t="n">
        <v>24</v>
      </c>
      <c r="J11" s="7" t="n">
        <v>20.5</v>
      </c>
    </row>
    <row r="12">
      <c r="A12" s="4" t="inlineStr">
        <is>
          <t>Dental</t>
        </is>
      </c>
      <c r="B12" s="4" t="n">
        <v>1517</v>
      </c>
      <c r="C12" s="4" t="n">
        <v>1687</v>
      </c>
      <c r="D12" s="4" t="n">
        <v>1609</v>
      </c>
      <c r="E12" s="6" t="n">
        <v>1546611</v>
      </c>
      <c r="F12" s="6" t="n">
        <v>1474947</v>
      </c>
      <c r="G12" s="6" t="n">
        <v>1574770</v>
      </c>
      <c r="H12" s="7" t="n">
        <v>26</v>
      </c>
      <c r="I12" s="7" t="n">
        <v>14.1</v>
      </c>
      <c r="J12" s="7" t="n">
        <v>14</v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2" customWidth="1" min="3" max="3"/>
  </cols>
  <sheetData>
    <row r="1">
      <c r="A1" s="1" t="inlineStr">
        <is>
          <t>PRACTICE WORKSPACE — COMBINATIONS</t>
        </is>
      </c>
    </row>
    <row r="2">
      <c r="A2" s="2" t="inlineStr">
        <is>
          <t>Use one dynamic formula where practical instead of building a large nested IF structure.</t>
        </is>
      </c>
    </row>
    <row r="3"/>
    <row r="4">
      <c r="A4" s="8" t="inlineStr">
        <is>
          <t>Input / Output</t>
        </is>
      </c>
      <c r="B4" s="8" t="inlineStr">
        <is>
          <t>Value</t>
        </is>
      </c>
      <c r="C4" s="8" t="inlineStr">
        <is>
          <t>Instruction</t>
        </is>
      </c>
    </row>
    <row r="5">
      <c r="A5" s="4" t="inlineStr">
        <is>
          <t>Department</t>
        </is>
      </c>
      <c r="B5" s="4" t="inlineStr">
        <is>
          <t>Cardiology</t>
        </is>
      </c>
      <c r="C5" s="4" t="inlineStr">
        <is>
          <t>Change department.</t>
        </is>
      </c>
    </row>
    <row r="6">
      <c r="A6" s="4" t="inlineStr">
        <is>
          <t>Metric</t>
        </is>
      </c>
      <c r="B6" s="4" t="inlineStr">
        <is>
          <t>Visits</t>
        </is>
      </c>
      <c r="C6" s="4" t="inlineStr">
        <is>
          <t>Visits / Revenue / Avg Wait</t>
        </is>
      </c>
    </row>
    <row r="7">
      <c r="A7" s="4" t="inlineStr">
        <is>
          <t>Scenario</t>
        </is>
      </c>
      <c r="B7" s="4" t="inlineStr">
        <is>
          <t>Actual</t>
        </is>
      </c>
      <c r="C7" s="4" t="inlineStr">
        <is>
          <t>Actual / Target / Forecast</t>
        </is>
      </c>
    </row>
    <row r="8">
      <c r="A8" s="4" t="inlineStr">
        <is>
          <t>Q1 Metric Result</t>
        </is>
      </c>
      <c r="B8" s="4" t="inlineStr"/>
      <c r="C8" s="4" t="inlineStr">
        <is>
          <t>Build CHOOSE + MATCH.</t>
        </is>
      </c>
    </row>
    <row r="9">
      <c r="A9" s="4" t="inlineStr">
        <is>
          <t>Q2 Scenario Result</t>
        </is>
      </c>
      <c r="B9" s="4" t="inlineStr"/>
      <c r="C9" s="4" t="inlineStr">
        <is>
          <t>Return selected scenario value.</t>
        </is>
      </c>
    </row>
    <row r="10">
      <c r="A10" s="4" t="inlineStr">
        <is>
          <t>Q3 Final KPI</t>
        </is>
      </c>
      <c r="B10" s="4" t="inlineStr"/>
      <c r="C10" s="4" t="inlineStr">
        <is>
          <t>Combine Department + Metric + Scenario.</t>
        </is>
      </c>
    </row>
    <row r="11">
      <c r="A11" s="4" t="inlineStr">
        <is>
          <t>Q4 Management Label</t>
        </is>
      </c>
      <c r="B11" s="4" t="inlineStr"/>
      <c r="C11" s="4" t="inlineStr">
        <is>
          <t>Create a dynamic label using CONCAT/TEXT if desired.</t>
        </is>
      </c>
    </row>
  </sheetData>
  <mergeCells count="2">
    <mergeCell ref="A1:J1"/>
    <mergeCell ref="A2:J2"/>
  </mergeCells>
  <dataValidations count="2">
    <dataValidation sqref="B6" showDropDown="0" showInputMessage="0" showErrorMessage="0" allowBlank="0" type="list">
      <formula1>"Visits,Revenue,Avg Wait"</formula1>
    </dataValidation>
    <dataValidation sqref="B7" showDropDown="0" showInputMessage="0" showErrorMessage="0" allowBlank="0" type="list">
      <formula1>"Actual,Target,Forecast"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48" customWidth="1" min="3" max="3"/>
  </cols>
  <sheetData>
    <row r="1">
      <c r="A1" s="1" t="inlineStr">
        <is>
          <t>SOLUTION — CHOOSE + MATCH + INDEX</t>
        </is>
      </c>
    </row>
    <row r="2">
      <c r="A2" s="2" t="inlineStr">
        <is>
          <t>Worked combination formulas.</t>
        </is>
      </c>
    </row>
    <row r="3"/>
    <row r="4">
      <c r="A4" s="3" t="inlineStr">
        <is>
          <t>Question</t>
        </is>
      </c>
      <c r="B4" s="3" t="inlineStr">
        <is>
          <t>Formula</t>
        </is>
      </c>
      <c r="C4" s="3" t="inlineStr">
        <is>
          <t>Logic</t>
        </is>
      </c>
    </row>
    <row r="5">
      <c r="A5" s="4" t="inlineStr">
        <is>
          <t>Q1</t>
        </is>
      </c>
      <c r="B5" s="4">
        <f>CHOOSE(MATCH(PRACTICE!$B$6,{"Visits","Revenue","Avg Wait"},0),INDEX('CLINIC DATA'!$B$5:$B$12,MATCH(PRACTICE!$B$5,'CLINIC DATA'!$A$5:$A$12,0)),INDEX('CLINIC DATA'!$E$5:$E$12,MATCH(PRACTICE!$B$5,'CLINIC DATA'!$A$5:$A$12,0)),INDEX('CLINIC DATA'!$H$5:$H$12,MATCH(PRACTICE!$B$5,'CLINIC DATA'!$A$5:$A$12,0)))</f>
        <v/>
      </c>
      <c r="C5" s="4" t="inlineStr">
        <is>
          <t>Metric selector</t>
        </is>
      </c>
    </row>
    <row r="6">
      <c r="A6" s="4" t="inlineStr">
        <is>
          <t>Q2</t>
        </is>
      </c>
      <c r="B6" s="4">
        <f>CHOOSE(MATCH(PRACTICE!$B$7,{"Actual","Target","Forecast"},0),INDEX('CLINIC DATA'!$B$5:$B$12,MATCH(PRACTICE!$B$5,'CLINIC DATA'!$A$5:$A$12,0)),INDEX('CLINIC DATA'!$C$5:$C$12,MATCH(PRACTICE!$B$5,'CLINIC DATA'!$A$5:$A$12,0)),INDEX('CLINIC DATA'!$D$5:$D$12,MATCH(PRACTICE!$B$5,'CLINIC DATA'!$A$5:$A$12,0)))</f>
        <v/>
      </c>
      <c r="C6" s="4" t="inlineStr">
        <is>
          <t>Scenario selector</t>
        </is>
      </c>
    </row>
    <row r="7">
      <c r="A7" s="4" t="inlineStr">
        <is>
          <t>Q3</t>
        </is>
      </c>
      <c r="B7" s="4" t="inlineStr">
        <is>
          <t>Build a 3×3 CHOOSE matrix where MATCH selects Scenario first and Metric selects the metric output within the selected scenario.</t>
        </is>
      </c>
      <c r="C7" s="4" t="inlineStr">
        <is>
          <t>Full combination</t>
        </is>
      </c>
    </row>
    <row r="8">
      <c r="A8" s="4" t="inlineStr">
        <is>
          <t>Q4</t>
        </is>
      </c>
      <c r="B8" s="4">
        <f>PRACTICE!$B$5&amp;" | "&amp;PRACTICE!$B$7&amp;" | "&amp;PRACTICE!$B$6</f>
        <v/>
      </c>
      <c r="C8" s="4" t="inlineStr">
        <is>
          <t>Dynamic management label</t>
        </is>
      </c>
    </row>
    <row r="9">
      <c r="A9" s="4" t="inlineStr">
        <is>
          <t>Q5</t>
        </is>
      </c>
      <c r="B9" s="4" t="inlineStr">
        <is>
          <t>Use the Q3 formula as the single source for a KPI card.</t>
        </is>
      </c>
      <c r="C9" s="4" t="inlineStr">
        <is>
          <t>Dashboard pattern</t>
        </is>
      </c>
    </row>
    <row r="10"/>
    <row r="11"/>
    <row r="12"/>
    <row r="13"/>
    <row r="14">
      <c r="A14" s="9" t="inlineStr">
        <is>
          <t>DESIGN NOTE</t>
        </is>
      </c>
    </row>
    <row r="15">
      <c r="A15" s="4" t="inlineStr">
        <is>
          <t>The strongest use case here is a small, stable set of user choices. If the number of metrics/scenarios grows dramatically, a normalized table + XLOOKUP may be easier to maintain.</t>
        </is>
      </c>
    </row>
    <row r="16"/>
    <row r="17"/>
    <row r="18"/>
  </sheetData>
  <mergeCells count="3">
    <mergeCell ref="A1:J1"/>
    <mergeCell ref="A15:F18"/>
    <mergeCell ref="A2:J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2026-08-31T05:44:47Z</dcterms:created>
  <dcterms:modified xmlns:dcterms="http://purl.org/dc/terms/" xmlns:xsi="http://www.w3.org/2001/XMLSchema-instance" xsi:type="dcterms:W3CDTF">2026-08-31T05:44:47Z</dcterms:modified>
</cp:coreProperties>
</file>