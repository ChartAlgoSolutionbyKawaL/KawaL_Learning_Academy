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Bonus Dashboards\"/>
    </mc:Choice>
  </mc:AlternateContent>
  <xr:revisionPtr revIDLastSave="0" documentId="13_ncr:1_{8FF8845C-3776-4954-A646-48E32D084B70}" xr6:coauthVersionLast="47" xr6:coauthVersionMax="47" xr10:uidLastSave="{00000000-0000-0000-0000-000000000000}"/>
  <bookViews>
    <workbookView xWindow="-108" yWindow="-108" windowWidth="23256" windowHeight="12456" activeTab="2" xr2:uid="{992ED24D-2F35-4564-B77C-8C04E7F3E7B9}"/>
  </bookViews>
  <sheets>
    <sheet name="Data" sheetId="1" r:id="rId1"/>
    <sheet name="Calc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5" i="1" l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D30" i="2"/>
  <c r="D31" i="2"/>
  <c r="D32" i="2"/>
  <c r="D33" i="2"/>
  <c r="D34" i="2"/>
  <c r="D35" i="2"/>
  <c r="D36" i="2"/>
  <c r="D37" i="2"/>
  <c r="D38" i="2"/>
  <c r="D39" i="2"/>
  <c r="C10" i="1" l="1"/>
  <c r="A2" i="2"/>
  <c r="I14" i="2" s="1"/>
  <c r="D8" i="3"/>
  <c r="F8" i="3"/>
  <c r="H8" i="3"/>
  <c r="B8" i="3"/>
  <c r="D11" i="2" a="1"/>
  <c r="D11" i="2" s="1"/>
  <c r="B15" i="3" s="1"/>
  <c r="D10" i="2" a="1"/>
  <c r="D10" i="2" s="1"/>
  <c r="B14" i="3" s="1"/>
  <c r="D9" i="2" a="1"/>
  <c r="D9" i="2" s="1"/>
  <c r="B13" i="3" s="1"/>
  <c r="D8" i="2" a="1"/>
  <c r="D8" i="2" s="1"/>
  <c r="B12" i="3" s="1"/>
  <c r="D7" i="2" a="1"/>
  <c r="D7" i="2" s="1"/>
  <c r="B11" i="3" s="1"/>
  <c r="D6" i="2" a="1"/>
  <c r="D6" i="2" s="1"/>
  <c r="G6" i="2" s="1" a="1"/>
  <c r="G6" i="2" s="1"/>
  <c r="H10" i="3" s="1"/>
  <c r="D14" i="2" l="1"/>
  <c r="H14" i="2"/>
  <c r="B10" i="3"/>
  <c r="F6" i="2" a="1"/>
  <c r="F6" i="2" s="1"/>
  <c r="F10" i="3" s="1"/>
  <c r="F9" i="2" a="1"/>
  <c r="F9" i="2" s="1"/>
  <c r="F13" i="3" s="1"/>
  <c r="E9" i="2" a="1"/>
  <c r="E9" i="2" s="1"/>
  <c r="D13" i="3" s="1"/>
  <c r="G9" i="2" a="1"/>
  <c r="G9" i="2" s="1"/>
  <c r="H13" i="3" s="1"/>
  <c r="F8" i="2" a="1"/>
  <c r="F8" i="2" s="1"/>
  <c r="F12" i="3" s="1"/>
  <c r="G8" i="2" a="1"/>
  <c r="G8" i="2" s="1"/>
  <c r="H12" i="3" s="1"/>
  <c r="E8" i="2" a="1"/>
  <c r="E8" i="2" s="1"/>
  <c r="D12" i="3" s="1"/>
  <c r="F10" i="2" a="1"/>
  <c r="F10" i="2" s="1"/>
  <c r="F14" i="3" s="1"/>
  <c r="E10" i="2" a="1"/>
  <c r="E10" i="2" s="1"/>
  <c r="D14" i="3" s="1"/>
  <c r="G10" i="2" a="1"/>
  <c r="G10" i="2" s="1"/>
  <c r="H14" i="3" s="1"/>
  <c r="F11" i="2" a="1"/>
  <c r="F11" i="2" s="1"/>
  <c r="F15" i="3" s="1"/>
  <c r="E11" i="2" a="1"/>
  <c r="E11" i="2" s="1"/>
  <c r="D15" i="3" s="1"/>
  <c r="G11" i="2" a="1"/>
  <c r="G11" i="2" s="1"/>
  <c r="H15" i="3" s="1"/>
  <c r="F7" i="2" a="1"/>
  <c r="F7" i="2" s="1"/>
  <c r="F11" i="3" s="1"/>
  <c r="G7" i="2" a="1"/>
  <c r="G7" i="2" s="1"/>
  <c r="H11" i="3" s="1"/>
  <c r="E7" i="2" a="1"/>
  <c r="E7" i="2" s="1"/>
  <c r="D11" i="3" s="1"/>
  <c r="E6" i="2" a="1"/>
  <c r="E6" i="2" s="1"/>
  <c r="D10" i="3" s="1"/>
  <c r="A4" i="2"/>
  <c r="A6" i="2" s="1"/>
  <c r="E25" i="2" l="1"/>
  <c r="C12" i="1"/>
  <c r="C14" i="1" s="1"/>
  <c r="J7" i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E30" i="2" l="1"/>
  <c r="F30" i="2" s="1"/>
  <c r="G30" i="2" s="1"/>
  <c r="H16" i="2"/>
  <c r="E24" i="2"/>
  <c r="E23" i="2"/>
  <c r="E16" i="2"/>
  <c r="E18" i="2"/>
  <c r="E17" i="2"/>
  <c r="E22" i="2"/>
  <c r="E21" i="2"/>
  <c r="E20" i="2"/>
  <c r="E19" i="2"/>
  <c r="E31" i="2" l="1"/>
  <c r="F31" i="2" s="1"/>
  <c r="G31" i="2" s="1"/>
  <c r="F16" i="2"/>
  <c r="I16" i="2" s="1"/>
  <c r="E32" i="2" l="1"/>
  <c r="F32" i="2" s="1"/>
  <c r="G32" i="2" s="1"/>
  <c r="E33" i="2" l="1"/>
  <c r="F33" i="2" s="1"/>
  <c r="G33" i="2" s="1"/>
  <c r="E34" i="2" l="1"/>
  <c r="F34" i="2" s="1"/>
  <c r="G34" i="2" s="1"/>
  <c r="E35" i="2" l="1"/>
  <c r="F35" i="2" s="1"/>
  <c r="G35" i="2" s="1"/>
  <c r="E36" i="2" l="1"/>
  <c r="F36" i="2" s="1"/>
  <c r="G36" i="2" s="1"/>
  <c r="E37" i="2" l="1"/>
  <c r="F37" i="2" s="1"/>
  <c r="G37" i="2" s="1"/>
  <c r="E38" i="2" l="1"/>
  <c r="F38" i="2" s="1"/>
  <c r="G38" i="2" s="1"/>
  <c r="A10" i="2" l="1"/>
  <c r="E39" i="2"/>
  <c r="F39" i="2" s="1"/>
  <c r="G39" i="2" s="1"/>
</calcChain>
</file>

<file path=xl/sharedStrings.xml><?xml version="1.0" encoding="utf-8"?>
<sst xmlns="http://schemas.openxmlformats.org/spreadsheetml/2006/main" count="309" uniqueCount="100">
  <si>
    <t>Credit Card info</t>
  </si>
  <si>
    <t>Card Holder</t>
  </si>
  <si>
    <t>JOHN DOE</t>
  </si>
  <si>
    <t>Card Number</t>
  </si>
  <si>
    <t>**** **** **** 0000</t>
  </si>
  <si>
    <t>Valid Thru</t>
  </si>
  <si>
    <t>DATE</t>
  </si>
  <si>
    <t>TRANSACTION</t>
  </si>
  <si>
    <t>Income</t>
  </si>
  <si>
    <t>FROM/TO</t>
  </si>
  <si>
    <t>MyCompany</t>
  </si>
  <si>
    <t>AMOUNT</t>
  </si>
  <si>
    <t>NOTE</t>
  </si>
  <si>
    <t>Salary - December 2022</t>
  </si>
  <si>
    <t>Starting Balance</t>
  </si>
  <si>
    <t>BALANCE</t>
  </si>
  <si>
    <t>Housing</t>
  </si>
  <si>
    <t>Transaction Categories</t>
  </si>
  <si>
    <t>Transportation</t>
  </si>
  <si>
    <t>Food</t>
  </si>
  <si>
    <t>Utilities</t>
  </si>
  <si>
    <t>Insurance</t>
  </si>
  <si>
    <t>Medical &amp; Healthcare</t>
  </si>
  <si>
    <t>Saving &amp; Investing</t>
  </si>
  <si>
    <t>Personal Spending</t>
  </si>
  <si>
    <t>Recreation &amp; Entertainment </t>
  </si>
  <si>
    <t>Miscellaneous</t>
  </si>
  <si>
    <t>Home maintenance</t>
  </si>
  <si>
    <t>Rent - January 2023</t>
  </si>
  <si>
    <t>Vavilon LTD</t>
  </si>
  <si>
    <t>Parkings</t>
  </si>
  <si>
    <t>Parking</t>
  </si>
  <si>
    <t>Mega Oil</t>
  </si>
  <si>
    <t>Gas</t>
  </si>
  <si>
    <t>McDonalds</t>
  </si>
  <si>
    <t>Water Co</t>
  </si>
  <si>
    <t>Water</t>
  </si>
  <si>
    <t>BeSafe LTD</t>
  </si>
  <si>
    <t>St.Johns Hospital</t>
  </si>
  <si>
    <t>Great Bank</t>
  </si>
  <si>
    <t>Benjamin Holes</t>
  </si>
  <si>
    <t>Life Insurance</t>
  </si>
  <si>
    <t>Best Gym</t>
  </si>
  <si>
    <t>Gym Membership</t>
  </si>
  <si>
    <t>Basketball Tickets</t>
  </si>
  <si>
    <t>NY Nicks</t>
  </si>
  <si>
    <t>Haircut</t>
  </si>
  <si>
    <t>Barber123</t>
  </si>
  <si>
    <t>Freelance Job</t>
  </si>
  <si>
    <t>Electricity</t>
  </si>
  <si>
    <t>Internet</t>
  </si>
  <si>
    <t>Grocery X</t>
  </si>
  <si>
    <t>Grocery Y</t>
  </si>
  <si>
    <t>Grocery Z</t>
  </si>
  <si>
    <t>Electro Storm</t>
  </si>
  <si>
    <t>World Web</t>
  </si>
  <si>
    <t>Mimi</t>
  </si>
  <si>
    <t>Bomber</t>
  </si>
  <si>
    <t>Extra Shop</t>
  </si>
  <si>
    <t>Gadget</t>
  </si>
  <si>
    <t>Clothing Co</t>
  </si>
  <si>
    <t>Instant Shop</t>
  </si>
  <si>
    <t>Persona</t>
  </si>
  <si>
    <t>Invoice #225626</t>
  </si>
  <si>
    <t>Roof Gang</t>
  </si>
  <si>
    <t>Roofing Assistance</t>
  </si>
  <si>
    <t>Big Screen</t>
  </si>
  <si>
    <t>Movies</t>
  </si>
  <si>
    <t>Tantum</t>
  </si>
  <si>
    <t>Tai Mai</t>
  </si>
  <si>
    <t>Massage</t>
  </si>
  <si>
    <t>Company A</t>
  </si>
  <si>
    <t>Company B</t>
  </si>
  <si>
    <t>Company C</t>
  </si>
  <si>
    <t>Company D</t>
  </si>
  <si>
    <t>Company E</t>
  </si>
  <si>
    <t>Lorem Ipsum</t>
  </si>
  <si>
    <t>PayMeMore</t>
  </si>
  <si>
    <t>Gift Card</t>
  </si>
  <si>
    <t>Birthday Co</t>
  </si>
  <si>
    <t>Salary - February 2023</t>
  </si>
  <si>
    <t>Salary - January 2023</t>
  </si>
  <si>
    <t>Salary - March 2023</t>
  </si>
  <si>
    <t>Selected Month</t>
  </si>
  <si>
    <t>Begins</t>
  </si>
  <si>
    <t>Ends</t>
  </si>
  <si>
    <t>6 LATEST INCOMES</t>
  </si>
  <si>
    <t>LATEST INCOME</t>
  </si>
  <si>
    <t>Current Ballance</t>
  </si>
  <si>
    <t>SELECT MONTH</t>
  </si>
  <si>
    <t>Selected Month:</t>
  </si>
  <si>
    <t>EXPENSE TYPE</t>
  </si>
  <si>
    <t>TOTAL</t>
  </si>
  <si>
    <t>Month:</t>
  </si>
  <si>
    <t>TOTAL INCOME</t>
  </si>
  <si>
    <t>11/26</t>
  </si>
  <si>
    <t>10 LATEST BALANCE DATA</t>
  </si>
  <si>
    <t>BALANCE (K)</t>
  </si>
  <si>
    <t>BALANCE (Round)</t>
  </si>
  <si>
    <t>MONTHLY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</si>
</sst>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C09]#,##0.00"/>
    <numFmt numFmtId="165" formatCode="mmmm\ yy"/>
    <numFmt numFmtId="166" formatCode="[$$-C09]#,##0.00&quot;K&quot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2"/>
      <color theme="1"/>
      <name val="Bahnschrift"/>
      <family val="2"/>
    </font>
    <font>
      <sz val="16"/>
      <color theme="1"/>
      <name val="Bahnschrift"/>
      <family val="2"/>
    </font>
    <font>
      <sz val="12"/>
      <color theme="0"/>
      <name val="Bahnschrift"/>
      <family val="2"/>
    </font>
    <font>
      <sz val="12"/>
      <color rgb="FF4A2D7F"/>
      <name val="Bahnschrift"/>
      <family val="2"/>
    </font>
    <font>
      <sz val="12"/>
      <color theme="2" tint="-0.749992370372631"/>
      <name val="Bahnschrift"/>
      <family val="2"/>
    </font>
    <font>
      <sz val="16"/>
      <color theme="2" tint="-0.749992370372631"/>
      <name val="Bahnschrift"/>
      <family val="2"/>
    </font>
    <font>
      <sz val="16"/>
      <color rgb="FF4A2D7F"/>
      <name val="Bahnschrift"/>
      <family val="2"/>
    </font>
    <font>
      <sz val="14"/>
      <color rgb="FFBC79DF"/>
      <name val="Bahnschrift"/>
      <family val="2"/>
    </font>
    <font>
      <sz val="14"/>
      <color rgb="FF4A2D7F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A2D7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3" borderId="0" xfId="0" applyNumberFormat="1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6" fillId="3" borderId="0" xfId="0" applyNumberFormat="1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14" fontId="1" fillId="4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65" fontId="10" fillId="3" borderId="0" xfId="0" applyNumberFormat="1" applyFont="1" applyFill="1" applyAlignment="1">
      <alignment horizontal="left" vertical="center"/>
    </xf>
    <xf numFmtId="165" fontId="8" fillId="3" borderId="0" xfId="0" applyNumberFormat="1" applyFont="1" applyFill="1" applyAlignment="1">
      <alignment horizontal="left" vertical="center"/>
    </xf>
    <xf numFmtId="166" fontId="1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right" vertical="center"/>
    </xf>
  </cellXfs>
  <cellStyles count="1">
    <cellStyle name="Normal" xfId="0" builtinId="0"/>
  </cellStyles>
  <dxfs count="9">
    <dxf>
      <font>
        <color rgb="FF00B050"/>
      </font>
    </dxf>
    <dxf>
      <font>
        <color rgb="FF00B05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[$$-C09]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4A2D7F"/>
      <color rgb="FF815BC5"/>
      <color rgb="FF77ECF5"/>
      <color rgb="FFEC7A2C"/>
      <color rgb="FFFE7739"/>
      <color rgb="FFFE9B6E"/>
      <color rgb="FF9EF2F8"/>
      <color rgb="FF10C1D0"/>
      <color rgb="FF0B8993"/>
      <color rgb="FFDD45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252546921047391E-2"/>
          <c:y val="4.6216738546125846E-2"/>
          <c:w val="0.56653508439548317"/>
          <c:h val="0.79708087656748583"/>
        </c:manualLayout>
      </c:layout>
      <c:doughnutChart>
        <c:varyColors val="1"/>
        <c:ser>
          <c:idx val="0"/>
          <c:order val="0"/>
          <c:tx>
            <c:strRef>
              <c:f>Calc!$E$15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noFill/>
            </a:ln>
          </c:spPr>
          <c:explosion val="3"/>
          <c:dPt>
            <c:idx val="0"/>
            <c:bubble3D val="0"/>
            <c:spPr>
              <a:solidFill>
                <a:srgbClr val="77ECF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1E-48C0-AAF5-45C252BF85A5}"/>
              </c:ext>
            </c:extLst>
          </c:dPt>
          <c:dPt>
            <c:idx val="1"/>
            <c:bubble3D val="0"/>
            <c:spPr>
              <a:solidFill>
                <a:srgbClr val="815BC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1E-48C0-AAF5-45C252BF85A5}"/>
              </c:ext>
            </c:extLst>
          </c:dPt>
          <c:dPt>
            <c:idx val="2"/>
            <c:bubble3D val="0"/>
            <c:spPr>
              <a:solidFill>
                <a:srgbClr val="0B899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1E-48C0-AAF5-45C252BF85A5}"/>
              </c:ext>
            </c:extLst>
          </c:dPt>
          <c:dPt>
            <c:idx val="3"/>
            <c:bubble3D val="0"/>
            <c:spPr>
              <a:solidFill>
                <a:srgbClr val="BC79D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61E-48C0-AAF5-45C252BF85A5}"/>
              </c:ext>
            </c:extLst>
          </c:dPt>
          <c:dPt>
            <c:idx val="4"/>
            <c:bubble3D val="0"/>
            <c:spPr>
              <a:solidFill>
                <a:srgbClr val="FE9B6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61E-48C0-AAF5-45C252BF85A5}"/>
              </c:ext>
            </c:extLst>
          </c:dPt>
          <c:dPt>
            <c:idx val="5"/>
            <c:bubble3D val="0"/>
            <c:spPr>
              <a:solidFill>
                <a:srgbClr val="10C1D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61E-48C0-AAF5-45C252BF85A5}"/>
              </c:ext>
            </c:extLst>
          </c:dPt>
          <c:dPt>
            <c:idx val="6"/>
            <c:bubble3D val="0"/>
            <c:spPr>
              <a:solidFill>
                <a:schemeClr val="bg1">
                  <a:lumMod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61E-48C0-AAF5-45C252BF85A5}"/>
              </c:ext>
            </c:extLst>
          </c:dPt>
          <c:dPt>
            <c:idx val="7"/>
            <c:bubble3D val="0"/>
            <c:spPr>
              <a:solidFill>
                <a:srgbClr val="EC7A2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61E-48C0-AAF5-45C252BF85A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61E-48C0-AAF5-45C252BF85A5}"/>
              </c:ext>
            </c:extLst>
          </c:dPt>
          <c:dPt>
            <c:idx val="9"/>
            <c:bubble3D val="0"/>
            <c:spPr>
              <a:solidFill>
                <a:srgbClr val="4A2D7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61E-48C0-AAF5-45C252BF85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19050" rIns="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Calc!$D$16:$D$25</c:f>
              <c:strCache>
                <c:ptCount val="10"/>
                <c:pt idx="0">
                  <c:v>Housing</c:v>
                </c:pt>
                <c:pt idx="1">
                  <c:v>Transportation</c:v>
                </c:pt>
                <c:pt idx="2">
                  <c:v>Food</c:v>
                </c:pt>
                <c:pt idx="3">
                  <c:v>Utilities</c:v>
                </c:pt>
                <c:pt idx="4">
                  <c:v>Insurance</c:v>
                </c:pt>
                <c:pt idx="5">
                  <c:v>Medical &amp; Healthcare</c:v>
                </c:pt>
                <c:pt idx="6">
                  <c:v>Saving &amp; Investing</c:v>
                </c:pt>
                <c:pt idx="7">
                  <c:v>Personal Spending</c:v>
                </c:pt>
                <c:pt idx="8">
                  <c:v>Recreation &amp; Entertainment </c:v>
                </c:pt>
                <c:pt idx="9">
                  <c:v>Miscellaneous</c:v>
                </c:pt>
              </c:strCache>
            </c:strRef>
          </c:cat>
          <c:val>
            <c:numRef>
              <c:f>Calc!$E$16:$E$25</c:f>
              <c:numCache>
                <c:formatCode>[$$-C09]#,##0.00</c:formatCode>
                <c:ptCount val="10"/>
                <c:pt idx="0">
                  <c:v>905</c:v>
                </c:pt>
                <c:pt idx="1">
                  <c:v>130</c:v>
                </c:pt>
                <c:pt idx="2">
                  <c:v>505.25000000000006</c:v>
                </c:pt>
                <c:pt idx="3">
                  <c:v>227</c:v>
                </c:pt>
                <c:pt idx="4">
                  <c:v>350</c:v>
                </c:pt>
                <c:pt idx="5">
                  <c:v>500</c:v>
                </c:pt>
                <c:pt idx="6">
                  <c:v>220</c:v>
                </c:pt>
                <c:pt idx="7">
                  <c:v>972.8599999999999</c:v>
                </c:pt>
                <c:pt idx="8">
                  <c:v>292.89999999999998</c:v>
                </c:pt>
                <c:pt idx="9">
                  <c:v>799.53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61E-48C0-AAF5-45C252BF8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185435460784308"/>
          <c:y val="2.298120707964104E-2"/>
          <c:w val="0.40392180696648217"/>
          <c:h val="0.976102571176418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0422143884734E-2"/>
          <c:y val="0.18302695715667119"/>
          <c:w val="0.93888888888888888"/>
          <c:h val="0.77429696287964001"/>
        </c:manualLayout>
      </c:layout>
      <c:lineChart>
        <c:grouping val="standard"/>
        <c:varyColors val="0"/>
        <c:ser>
          <c:idx val="0"/>
          <c:order val="0"/>
          <c:tx>
            <c:strRef>
              <c:f>Calc!$G$29</c:f>
              <c:strCache>
                <c:ptCount val="1"/>
                <c:pt idx="0">
                  <c:v>BALANCE (K)</c:v>
                </c:pt>
              </c:strCache>
            </c:strRef>
          </c:tx>
          <c:spPr>
            <a:ln w="28575" cap="rnd">
              <a:solidFill>
                <a:srgbClr val="815BC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4A2D7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4A2D7F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Calc!$G$30:$G$39</c:f>
              <c:numCache>
                <c:formatCode>[$$-C09]#,##0.00"K"</c:formatCode>
                <c:ptCount val="10"/>
                <c:pt idx="0">
                  <c:v>2.84</c:v>
                </c:pt>
                <c:pt idx="1">
                  <c:v>2.82</c:v>
                </c:pt>
                <c:pt idx="2">
                  <c:v>2.79</c:v>
                </c:pt>
                <c:pt idx="3">
                  <c:v>2.75</c:v>
                </c:pt>
                <c:pt idx="4">
                  <c:v>2.73</c:v>
                </c:pt>
                <c:pt idx="5">
                  <c:v>2.2799999999999998</c:v>
                </c:pt>
                <c:pt idx="6">
                  <c:v>1.85</c:v>
                </c:pt>
                <c:pt idx="7">
                  <c:v>6</c:v>
                </c:pt>
                <c:pt idx="8">
                  <c:v>5.9</c:v>
                </c:pt>
                <c:pt idx="9">
                  <c:v>5.83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50-4814-92C7-6985E84E781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0939567"/>
        <c:axId val="850941647"/>
      </c:lineChart>
      <c:catAx>
        <c:axId val="850939567"/>
        <c:scaling>
          <c:orientation val="minMax"/>
        </c:scaling>
        <c:delete val="1"/>
        <c:axPos val="b"/>
        <c:majorTickMark val="none"/>
        <c:minorTickMark val="none"/>
        <c:tickLblPos val="nextTo"/>
        <c:crossAx val="850941647"/>
        <c:crosses val="autoZero"/>
        <c:auto val="1"/>
        <c:lblAlgn val="ctr"/>
        <c:lblOffset val="100"/>
        <c:noMultiLvlLbl val="0"/>
      </c:catAx>
      <c:valAx>
        <c:axId val="850941647"/>
        <c:scaling>
          <c:orientation val="minMax"/>
        </c:scaling>
        <c:delete val="1"/>
        <c:axPos val="l"/>
        <c:numFmt formatCode="[$$-C09]#,##0.00&quot;K&quot;" sourceLinked="1"/>
        <c:majorTickMark val="none"/>
        <c:minorTickMark val="none"/>
        <c:tickLblPos val="nextTo"/>
        <c:crossAx val="85093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8966</xdr:colOff>
      <xdr:row>0</xdr:row>
      <xdr:rowOff>224118</xdr:rowOff>
    </xdr:from>
    <xdr:to>
      <xdr:col>8</xdr:col>
      <xdr:colOff>0</xdr:colOff>
      <xdr:row>4</xdr:row>
      <xdr:rowOff>17929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5FE9F71B-2942-98A3-29E9-5D5543830107}"/>
            </a:ext>
          </a:extLst>
        </xdr:cNvPr>
        <xdr:cNvGrpSpPr/>
      </xdr:nvGrpSpPr>
      <xdr:grpSpPr>
        <a:xfrm>
          <a:off x="266141" y="224118"/>
          <a:ext cx="5410759" cy="3108511"/>
          <a:chOff x="376518" y="224119"/>
          <a:chExt cx="5271247" cy="2796988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19BE9EEB-F1E4-9073-7CD2-4F3D85F5289B}"/>
              </a:ext>
            </a:extLst>
          </xdr:cNvPr>
          <xdr:cNvSpPr/>
        </xdr:nvSpPr>
        <xdr:spPr>
          <a:xfrm>
            <a:off x="376518" y="224119"/>
            <a:ext cx="5271247" cy="2796988"/>
          </a:xfrm>
          <a:prstGeom prst="roundRect">
            <a:avLst/>
          </a:prstGeom>
          <a:gradFill flip="none" rotWithShape="1">
            <a:gsLst>
              <a:gs pos="0">
                <a:srgbClr val="4A2D7F"/>
              </a:gs>
              <a:gs pos="100000">
                <a:srgbClr val="BC79DF"/>
              </a:gs>
            </a:gsLst>
            <a:lin ang="0" scaled="1"/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pic>
        <xdr:nvPicPr>
          <xdr:cNvPr id="3" name="Graphic 2">
            <a:extLst>
              <a:ext uri="{FF2B5EF4-FFF2-40B4-BE49-F238E27FC236}">
                <a16:creationId xmlns:a16="http://schemas.microsoft.com/office/drawing/2014/main" id="{63AD9065-EDFB-E001-B885-11C6BA57BD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44071" y="690282"/>
            <a:ext cx="1783742" cy="576000"/>
          </a:xfrm>
          <a:prstGeom prst="rect">
            <a:avLst/>
          </a:prstGeom>
        </xdr:spPr>
      </xdr:pic>
      <xdr:sp macro="" textlink="Data!B3">
        <xdr:nvSpPr>
          <xdr:cNvPr id="5" name="TextBox 4">
            <a:extLst>
              <a:ext uri="{FF2B5EF4-FFF2-40B4-BE49-F238E27FC236}">
                <a16:creationId xmlns:a16="http://schemas.microsoft.com/office/drawing/2014/main" id="{2FD7B957-F730-E2CF-4F12-B0ABA3FFB133}"/>
              </a:ext>
            </a:extLst>
          </xdr:cNvPr>
          <xdr:cNvSpPr txBox="1"/>
        </xdr:nvSpPr>
        <xdr:spPr>
          <a:xfrm>
            <a:off x="761999" y="1712258"/>
            <a:ext cx="4563036" cy="3854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E08C8EAB-AB1D-462A-A961-34121EAF8360}" type="TxLink">
              <a:rPr lang="en-US" sz="3200" b="0" i="0" u="none" strike="noStrike">
                <a:solidFill>
                  <a:schemeClr val="bg1"/>
                </a:solidFill>
                <a:latin typeface="Bahnschrift" panose="020B0502040204020203" pitchFamily="34" charset="0"/>
              </a:rPr>
              <a:pPr algn="l"/>
              <a:t>**** **** **** 0000</a:t>
            </a:fld>
            <a:endParaRPr lang="en-GB" sz="3200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Calc!A10">
        <xdr:nvSpPr>
          <xdr:cNvPr id="6" name="TextBox 5">
            <a:extLst>
              <a:ext uri="{FF2B5EF4-FFF2-40B4-BE49-F238E27FC236}">
                <a16:creationId xmlns:a16="http://schemas.microsoft.com/office/drawing/2014/main" id="{00F5EF33-626C-4426-8016-8E0E972210BE}"/>
              </a:ext>
            </a:extLst>
          </xdr:cNvPr>
          <xdr:cNvSpPr txBox="1"/>
        </xdr:nvSpPr>
        <xdr:spPr>
          <a:xfrm>
            <a:off x="3343835" y="708210"/>
            <a:ext cx="1999129" cy="6544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fld id="{45403407-B644-42C2-BE30-437045C3CFA1}" type="TxLink">
              <a:rPr lang="en-US" sz="3200" b="1" i="0" u="none" strike="noStrike">
                <a:solidFill>
                  <a:schemeClr val="bg1"/>
                </a:solidFill>
                <a:latin typeface="Bahnschrift"/>
              </a:rPr>
              <a:pPr algn="r"/>
              <a:t>$5,834.19</a:t>
            </a:fld>
            <a:endParaRPr lang="en-GB" sz="72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AE32DEF-3A73-40FC-9C8A-49F3F378D420}"/>
              </a:ext>
            </a:extLst>
          </xdr:cNvPr>
          <xdr:cNvSpPr txBox="1"/>
        </xdr:nvSpPr>
        <xdr:spPr>
          <a:xfrm>
            <a:off x="3863788" y="466163"/>
            <a:ext cx="1443317" cy="3854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sr-Latn-RS" sz="1600" b="0" i="0" u="none" strike="noStrike">
                <a:solidFill>
                  <a:schemeClr val="bg1"/>
                </a:solidFill>
                <a:latin typeface="Bahnschrift" panose="020B0502040204020203" pitchFamily="34" charset="0"/>
              </a:rPr>
              <a:t>BALANCE</a:t>
            </a:r>
            <a:endParaRPr lang="en-US" sz="1600" b="0" i="0" u="none" strike="noStrike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F8C110E-1801-44C7-B444-DEBD5A2FC438}"/>
              </a:ext>
            </a:extLst>
          </xdr:cNvPr>
          <xdr:cNvSpPr txBox="1"/>
        </xdr:nvSpPr>
        <xdr:spPr>
          <a:xfrm>
            <a:off x="744070" y="2241175"/>
            <a:ext cx="2061883" cy="2599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sr-Latn-RS" sz="1400" b="0" i="0" u="none" strike="noStrike">
                <a:solidFill>
                  <a:schemeClr val="bg1"/>
                </a:solidFill>
                <a:latin typeface="Bahnschrift" panose="020B0502040204020203" pitchFamily="34" charset="0"/>
              </a:rPr>
              <a:t>CARD</a:t>
            </a:r>
            <a:r>
              <a:rPr lang="sr-Latn-RS" sz="1400" b="0" i="0" u="none" strike="noStrike" baseline="0">
                <a:solidFill>
                  <a:schemeClr val="bg1"/>
                </a:solidFill>
                <a:latin typeface="Bahnschrift" panose="020B0502040204020203" pitchFamily="34" charset="0"/>
              </a:rPr>
              <a:t> HOLDER</a:t>
            </a:r>
            <a:endParaRPr lang="en-US" sz="1400" b="0" i="0" u="none" strike="noStrike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Data!A3">
        <xdr:nvSpPr>
          <xdr:cNvPr id="9" name="TextBox 8">
            <a:extLst>
              <a:ext uri="{FF2B5EF4-FFF2-40B4-BE49-F238E27FC236}">
                <a16:creationId xmlns:a16="http://schemas.microsoft.com/office/drawing/2014/main" id="{96208377-29E9-4DB2-B0CE-23CD4F57BCA2}"/>
              </a:ext>
            </a:extLst>
          </xdr:cNvPr>
          <xdr:cNvSpPr txBox="1"/>
        </xdr:nvSpPr>
        <xdr:spPr>
          <a:xfrm>
            <a:off x="735105" y="2483223"/>
            <a:ext cx="2572871" cy="3854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C11FA48C-85BF-4FFD-AD0E-DF575D928126}" type="TxLink">
              <a:rPr lang="en-US" sz="2000" b="1" i="0" u="none" strike="noStrike">
                <a:solidFill>
                  <a:schemeClr val="bg1"/>
                </a:solidFill>
                <a:latin typeface="Bahnschrift"/>
              </a:rPr>
              <a:pPr algn="l"/>
              <a:t>JOHN DOE</a:t>
            </a:fld>
            <a:endParaRPr lang="en-GB" sz="54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99E265C8-0E35-4CC8-BD32-29666CB966B4}"/>
              </a:ext>
            </a:extLst>
          </xdr:cNvPr>
          <xdr:cNvSpPr txBox="1"/>
        </xdr:nvSpPr>
        <xdr:spPr>
          <a:xfrm>
            <a:off x="4083423" y="2214281"/>
            <a:ext cx="1368000" cy="2599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sr-Latn-RS" sz="1400" b="0" i="0" u="none" strike="noStrike">
                <a:solidFill>
                  <a:schemeClr val="bg1"/>
                </a:solidFill>
                <a:latin typeface="Bahnschrift" panose="020B0502040204020203" pitchFamily="34" charset="0"/>
              </a:rPr>
              <a:t>VALIT</a:t>
            </a:r>
            <a:r>
              <a:rPr lang="sr-Latn-RS" sz="1400" b="0" i="0" u="none" strike="noStrike" baseline="0">
                <a:solidFill>
                  <a:schemeClr val="bg1"/>
                </a:solidFill>
                <a:latin typeface="Bahnschrift" panose="020B0502040204020203" pitchFamily="34" charset="0"/>
              </a:rPr>
              <a:t> THRU</a:t>
            </a:r>
            <a:endParaRPr lang="en-US" sz="1400" b="0" i="0" u="none" strike="noStrike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Data!C3">
        <xdr:nvSpPr>
          <xdr:cNvPr id="11" name="TextBox 10">
            <a:extLst>
              <a:ext uri="{FF2B5EF4-FFF2-40B4-BE49-F238E27FC236}">
                <a16:creationId xmlns:a16="http://schemas.microsoft.com/office/drawing/2014/main" id="{7290F200-8AB3-4A01-A541-C7CE2B906A88}"/>
              </a:ext>
            </a:extLst>
          </xdr:cNvPr>
          <xdr:cNvSpPr txBox="1"/>
        </xdr:nvSpPr>
        <xdr:spPr>
          <a:xfrm>
            <a:off x="4083423" y="2456329"/>
            <a:ext cx="1368000" cy="3854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FC510216-7AFE-4052-9EEC-47148AE6E038}" type="TxLink">
              <a:rPr lang="en-US" sz="2000" b="1" i="0" u="none" strike="noStrike">
                <a:solidFill>
                  <a:schemeClr val="bg1"/>
                </a:solidFill>
                <a:latin typeface="Bahnschrift"/>
                <a:ea typeface="+mn-ea"/>
                <a:cs typeface="+mn-cs"/>
              </a:rPr>
              <a:pPr marL="0" indent="0" algn="ctr"/>
              <a:t>11/26</a:t>
            </a:fld>
            <a:endParaRPr lang="en-GB" sz="2000" b="1" i="0" u="none" strike="noStrike">
              <a:solidFill>
                <a:schemeClr val="bg1"/>
              </a:solidFill>
              <a:latin typeface="Bahnschrif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9</xdr:col>
      <xdr:colOff>0</xdr:colOff>
      <xdr:row>2</xdr:row>
      <xdr:rowOff>35859</xdr:rowOff>
    </xdr:from>
    <xdr:to>
      <xdr:col>11</xdr:col>
      <xdr:colOff>1532965</xdr:colOff>
      <xdr:row>5</xdr:row>
      <xdr:rowOff>121920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47AA1A6-EDE0-4A34-95F5-8FE3904FE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53789</xdr:colOff>
      <xdr:row>3</xdr:row>
      <xdr:rowOff>23308</xdr:rowOff>
    </xdr:from>
    <xdr:to>
      <xdr:col>11</xdr:col>
      <xdr:colOff>1028700</xdr:colOff>
      <xdr:row>5</xdr:row>
      <xdr:rowOff>167640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FC1DB62A-EF32-C9D8-CE5E-AE9B7E107689}"/>
            </a:ext>
          </a:extLst>
        </xdr:cNvPr>
        <xdr:cNvGrpSpPr/>
      </xdr:nvGrpSpPr>
      <xdr:grpSpPr>
        <a:xfrm>
          <a:off x="5873564" y="794833"/>
          <a:ext cx="3432361" cy="2944682"/>
          <a:chOff x="5875469" y="800548"/>
          <a:chExt cx="3436171" cy="2834192"/>
        </a:xfrm>
      </xdr:grpSpPr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6E59A59F-C8D6-1D75-6DCE-A485F29180A4}"/>
              </a:ext>
            </a:extLst>
          </xdr:cNvPr>
          <xdr:cNvGrpSpPr/>
        </xdr:nvGrpSpPr>
        <xdr:grpSpPr>
          <a:xfrm>
            <a:off x="5875469" y="3049795"/>
            <a:ext cx="2400304" cy="319069"/>
            <a:chOff x="5907742" y="649942"/>
            <a:chExt cx="2400304" cy="324000"/>
          </a:xfrm>
        </xdr:grpSpPr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241178B-74A0-4FBE-8727-1F0535A3055D}"/>
                </a:ext>
              </a:extLst>
            </xdr:cNvPr>
            <xdr:cNvSpPr txBox="1"/>
          </xdr:nvSpPr>
          <xdr:spPr>
            <a:xfrm>
              <a:off x="5907742" y="649942"/>
              <a:ext cx="950258" cy="324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sr-Latn-RS" sz="1400" b="0" i="0" u="none" strike="noStrike">
                  <a:solidFill>
                    <a:schemeClr val="bg2">
                      <a:lumMod val="25000"/>
                    </a:schemeClr>
                  </a:solidFill>
                  <a:latin typeface="Bahnschrift" panose="020B0502040204020203" pitchFamily="34" charset="0"/>
                </a:rPr>
                <a:t>Spending</a:t>
              </a:r>
              <a:endParaRPr lang="en-US" sz="1400" b="0" i="0" u="none" strike="noStrike">
                <a:solidFill>
                  <a:schemeClr val="bg2">
                    <a:lumMod val="2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$L$2">
          <xdr:nvSpPr>
            <xdr:cNvPr id="15" name="TextBox 14">
              <a:extLst>
                <a:ext uri="{FF2B5EF4-FFF2-40B4-BE49-F238E27FC236}">
                  <a16:creationId xmlns:a16="http://schemas.microsoft.com/office/drawing/2014/main" id="{0DE12C8B-6121-42AB-B47E-E61A671225A9}"/>
                </a:ext>
              </a:extLst>
            </xdr:cNvPr>
            <xdr:cNvSpPr txBox="1"/>
          </xdr:nvSpPr>
          <xdr:spPr>
            <a:xfrm>
              <a:off x="6902822" y="649942"/>
              <a:ext cx="1405224" cy="324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algn="r"/>
              <a:fld id="{25366767-BBEA-4D54-9C66-0570065A8449}" type="TxLink">
                <a:rPr lang="en-US" sz="1400" b="0" i="0" u="none" strike="noStrike">
                  <a:solidFill>
                    <a:schemeClr val="bg2">
                      <a:lumMod val="25000"/>
                    </a:schemeClr>
                  </a:solidFill>
                  <a:latin typeface="Bahnschrift"/>
                </a:rPr>
                <a:pPr algn="r"/>
                <a:t>January 23</a:t>
              </a:fld>
              <a:endParaRPr lang="en-US" sz="1200" b="0" i="0" u="none" strike="noStrike">
                <a:solidFill>
                  <a:schemeClr val="bg2">
                    <a:lumMod val="25000"/>
                  </a:schemeClr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27" name="Group 26">
            <a:extLst>
              <a:ext uri="{FF2B5EF4-FFF2-40B4-BE49-F238E27FC236}">
                <a16:creationId xmlns:a16="http://schemas.microsoft.com/office/drawing/2014/main" id="{C0482420-E0CA-B2C6-8E0A-33CED6C3BC17}"/>
              </a:ext>
            </a:extLst>
          </xdr:cNvPr>
          <xdr:cNvGrpSpPr/>
        </xdr:nvGrpSpPr>
        <xdr:grpSpPr>
          <a:xfrm>
            <a:off x="8570707" y="800548"/>
            <a:ext cx="740933" cy="2834192"/>
            <a:chOff x="8570707" y="800548"/>
            <a:chExt cx="740933" cy="2834192"/>
          </a:xfrm>
        </xdr:grpSpPr>
        <xdr:sp macro="" textlink="Calc!E16">
          <xdr:nvSpPr>
            <xdr:cNvPr id="17" name="TextBox 16">
              <a:extLst>
                <a:ext uri="{FF2B5EF4-FFF2-40B4-BE49-F238E27FC236}">
                  <a16:creationId xmlns:a16="http://schemas.microsoft.com/office/drawing/2014/main" id="{F5C4225B-E160-4306-9139-6F606682A017}"/>
                </a:ext>
              </a:extLst>
            </xdr:cNvPr>
            <xdr:cNvSpPr txBox="1"/>
          </xdr:nvSpPr>
          <xdr:spPr>
            <a:xfrm>
              <a:off x="8570707" y="800548"/>
              <a:ext cx="740933" cy="17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algn="l"/>
              <a:fld id="{F3CC78C5-23F1-4A04-B8E7-7F66571BD04E}" type="TxLink">
                <a:rPr lang="en-US" sz="700" b="0" i="0" u="none" strike="noStrike">
                  <a:solidFill>
                    <a:srgbClr val="4A2D7F"/>
                  </a:solidFill>
                  <a:latin typeface="Bahnschrift"/>
                </a:rPr>
                <a:pPr algn="l"/>
                <a:t>$905.00</a:t>
              </a:fld>
              <a:endParaRPr lang="en-US" sz="300" b="0" i="0" u="none" strike="noStrike">
                <a:solidFill>
                  <a:srgbClr val="4A2D7F"/>
                </a:solidFill>
                <a:latin typeface="Bahnschrift" panose="020B0502040204020203" pitchFamily="34" charset="0"/>
              </a:endParaRPr>
            </a:p>
          </xdr:txBody>
        </xdr:sp>
        <xdr:sp macro="" textlink="Calc!E17">
          <xdr:nvSpPr>
            <xdr:cNvPr id="18" name="TextBox 17">
              <a:extLst>
                <a:ext uri="{FF2B5EF4-FFF2-40B4-BE49-F238E27FC236}">
                  <a16:creationId xmlns:a16="http://schemas.microsoft.com/office/drawing/2014/main" id="{2E67592D-C459-4A9A-86BB-A57806988C9E}"/>
                </a:ext>
              </a:extLst>
            </xdr:cNvPr>
            <xdr:cNvSpPr txBox="1"/>
          </xdr:nvSpPr>
          <xdr:spPr>
            <a:xfrm>
              <a:off x="8570707" y="1093495"/>
              <a:ext cx="740933" cy="17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marL="0" indent="0" algn="l"/>
              <a:fld id="{218D6B2B-5773-4164-B417-6EDF497A9B54}" type="TxLink">
                <a:rPr lang="en-US" sz="700" b="0" i="0" u="none" strike="noStrike">
                  <a:solidFill>
                    <a:srgbClr val="4A2D7F"/>
                  </a:solidFill>
                  <a:latin typeface="Bahnschrift"/>
                  <a:ea typeface="+mn-ea"/>
                  <a:cs typeface="+mn-cs"/>
                </a:rPr>
                <a:pPr marL="0" indent="0" algn="l"/>
                <a:t>$130.00</a:t>
              </a:fld>
              <a:endParaRPr lang="en-US" sz="700" b="0" i="0" u="none" strike="noStrike">
                <a:solidFill>
                  <a:srgbClr val="4A2D7F"/>
                </a:solidFill>
                <a:latin typeface="Bahnschrift"/>
                <a:ea typeface="+mn-ea"/>
                <a:cs typeface="+mn-cs"/>
              </a:endParaRPr>
            </a:p>
          </xdr:txBody>
        </xdr:sp>
        <xdr:sp macro="" textlink="Calc!E18">
          <xdr:nvSpPr>
            <xdr:cNvPr id="19" name="TextBox 18">
              <a:extLst>
                <a:ext uri="{FF2B5EF4-FFF2-40B4-BE49-F238E27FC236}">
                  <a16:creationId xmlns:a16="http://schemas.microsoft.com/office/drawing/2014/main" id="{59D75695-C306-43FB-9192-3E718ECDE764}"/>
                </a:ext>
              </a:extLst>
            </xdr:cNvPr>
            <xdr:cNvSpPr txBox="1"/>
          </xdr:nvSpPr>
          <xdr:spPr>
            <a:xfrm>
              <a:off x="8570707" y="1386442"/>
              <a:ext cx="740933" cy="17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marL="0" indent="0" algn="l"/>
              <a:fld id="{711CA93B-7C39-440A-A4D1-61B21B14A027}" type="TxLink">
                <a:rPr lang="en-US" sz="700" b="0" i="0" u="none" strike="noStrike">
                  <a:solidFill>
                    <a:srgbClr val="4A2D7F"/>
                  </a:solidFill>
                  <a:latin typeface="Bahnschrift"/>
                  <a:ea typeface="+mn-ea"/>
                  <a:cs typeface="+mn-cs"/>
                </a:rPr>
                <a:pPr marL="0" indent="0" algn="l"/>
                <a:t>$505.25</a:t>
              </a:fld>
              <a:endParaRPr lang="en-US" sz="700" b="0" i="0" u="none" strike="noStrike">
                <a:solidFill>
                  <a:srgbClr val="4A2D7F"/>
                </a:solidFill>
                <a:latin typeface="Bahnschrift"/>
                <a:ea typeface="+mn-ea"/>
                <a:cs typeface="+mn-cs"/>
              </a:endParaRPr>
            </a:p>
          </xdr:txBody>
        </xdr:sp>
        <xdr:sp macro="" textlink="Calc!E19">
          <xdr:nvSpPr>
            <xdr:cNvPr id="20" name="TextBox 19">
              <a:extLst>
                <a:ext uri="{FF2B5EF4-FFF2-40B4-BE49-F238E27FC236}">
                  <a16:creationId xmlns:a16="http://schemas.microsoft.com/office/drawing/2014/main" id="{4D375046-C3B2-4AC8-8DE0-97D5BA1CC6B3}"/>
                </a:ext>
              </a:extLst>
            </xdr:cNvPr>
            <xdr:cNvSpPr txBox="1"/>
          </xdr:nvSpPr>
          <xdr:spPr>
            <a:xfrm>
              <a:off x="8570707" y="1679389"/>
              <a:ext cx="740933" cy="17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marL="0" indent="0" algn="l"/>
              <a:fld id="{CA1634F9-8C69-47E2-88DF-8AA003AD3229}" type="TxLink">
                <a:rPr lang="en-US" sz="700" b="0" i="0" u="none" strike="noStrike">
                  <a:solidFill>
                    <a:srgbClr val="4A2D7F"/>
                  </a:solidFill>
                  <a:latin typeface="Bahnschrift"/>
                  <a:ea typeface="+mn-ea"/>
                  <a:cs typeface="+mn-cs"/>
                </a:rPr>
                <a:pPr marL="0" indent="0" algn="l"/>
                <a:t>$227.00</a:t>
              </a:fld>
              <a:endParaRPr lang="en-US" sz="700" b="0" i="0" u="none" strike="noStrike">
                <a:solidFill>
                  <a:srgbClr val="4A2D7F"/>
                </a:solidFill>
                <a:latin typeface="Bahnschrift"/>
                <a:ea typeface="+mn-ea"/>
                <a:cs typeface="+mn-cs"/>
              </a:endParaRPr>
            </a:p>
          </xdr:txBody>
        </xdr:sp>
        <xdr:sp macro="" textlink="Calc!E20">
          <xdr:nvSpPr>
            <xdr:cNvPr id="21" name="TextBox 20">
              <a:extLst>
                <a:ext uri="{FF2B5EF4-FFF2-40B4-BE49-F238E27FC236}">
                  <a16:creationId xmlns:a16="http://schemas.microsoft.com/office/drawing/2014/main" id="{3FEBABB1-5C70-4D2A-8D28-21EC71B5551D}"/>
                </a:ext>
              </a:extLst>
            </xdr:cNvPr>
            <xdr:cNvSpPr txBox="1"/>
          </xdr:nvSpPr>
          <xdr:spPr>
            <a:xfrm>
              <a:off x="8570707" y="1995196"/>
              <a:ext cx="740933" cy="17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marL="0" indent="0" algn="l"/>
              <a:fld id="{B7AC0389-3B21-4740-A4B4-E9707DCEC14A}" type="TxLink">
                <a:rPr lang="en-US" sz="700" b="0" i="0" u="none" strike="noStrike">
                  <a:solidFill>
                    <a:srgbClr val="4A2D7F"/>
                  </a:solidFill>
                  <a:latin typeface="Bahnschrift"/>
                  <a:ea typeface="+mn-ea"/>
                  <a:cs typeface="+mn-cs"/>
                </a:rPr>
                <a:pPr marL="0" indent="0" algn="l"/>
                <a:t>$350.00</a:t>
              </a:fld>
              <a:endParaRPr lang="en-US" sz="700" b="0" i="0" u="none" strike="noStrike">
                <a:solidFill>
                  <a:srgbClr val="4A2D7F"/>
                </a:solidFill>
                <a:latin typeface="Bahnschrift"/>
                <a:ea typeface="+mn-ea"/>
                <a:cs typeface="+mn-cs"/>
              </a:endParaRPr>
            </a:p>
          </xdr:txBody>
        </xdr:sp>
        <xdr:sp macro="" textlink="Calc!E21">
          <xdr:nvSpPr>
            <xdr:cNvPr id="22" name="TextBox 21">
              <a:extLst>
                <a:ext uri="{FF2B5EF4-FFF2-40B4-BE49-F238E27FC236}">
                  <a16:creationId xmlns:a16="http://schemas.microsoft.com/office/drawing/2014/main" id="{324E84D1-2493-4926-8A44-B81F38182488}"/>
                </a:ext>
              </a:extLst>
            </xdr:cNvPr>
            <xdr:cNvSpPr txBox="1"/>
          </xdr:nvSpPr>
          <xdr:spPr>
            <a:xfrm>
              <a:off x="8570707" y="2288143"/>
              <a:ext cx="740933" cy="17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marL="0" indent="0" algn="l"/>
              <a:fld id="{794D4A47-5757-44E4-B107-09AC9C369E1C}" type="TxLink">
                <a:rPr lang="en-US" sz="700" b="0" i="0" u="none" strike="noStrike">
                  <a:solidFill>
                    <a:srgbClr val="4A2D7F"/>
                  </a:solidFill>
                  <a:latin typeface="Bahnschrift"/>
                  <a:ea typeface="+mn-ea"/>
                  <a:cs typeface="+mn-cs"/>
                </a:rPr>
                <a:pPr marL="0" indent="0" algn="l"/>
                <a:t>$500.00</a:t>
              </a:fld>
              <a:endParaRPr lang="en-US" sz="700" b="0" i="0" u="none" strike="noStrike">
                <a:solidFill>
                  <a:srgbClr val="4A2D7F"/>
                </a:solidFill>
                <a:latin typeface="Bahnschrift"/>
                <a:ea typeface="+mn-ea"/>
                <a:cs typeface="+mn-cs"/>
              </a:endParaRPr>
            </a:p>
          </xdr:txBody>
        </xdr:sp>
        <xdr:sp macro="" textlink="Calc!E22">
          <xdr:nvSpPr>
            <xdr:cNvPr id="23" name="TextBox 22">
              <a:extLst>
                <a:ext uri="{FF2B5EF4-FFF2-40B4-BE49-F238E27FC236}">
                  <a16:creationId xmlns:a16="http://schemas.microsoft.com/office/drawing/2014/main" id="{16C243DC-97E6-4E1E-BFBF-F47B2279AE27}"/>
                </a:ext>
              </a:extLst>
            </xdr:cNvPr>
            <xdr:cNvSpPr txBox="1"/>
          </xdr:nvSpPr>
          <xdr:spPr>
            <a:xfrm>
              <a:off x="8570707" y="2581090"/>
              <a:ext cx="740933" cy="17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marL="0" indent="0" algn="l"/>
              <a:fld id="{65F1307A-2815-48EB-A780-EE7401EE0B20}" type="TxLink">
                <a:rPr lang="en-US" sz="700" b="0" i="0" u="none" strike="noStrike">
                  <a:solidFill>
                    <a:srgbClr val="4A2D7F"/>
                  </a:solidFill>
                  <a:latin typeface="Bahnschrift"/>
                  <a:ea typeface="+mn-ea"/>
                  <a:cs typeface="+mn-cs"/>
                </a:rPr>
                <a:pPr marL="0" indent="0" algn="l"/>
                <a:t>$220.00</a:t>
              </a:fld>
              <a:endParaRPr lang="en-US" sz="700" b="0" i="0" u="none" strike="noStrike">
                <a:solidFill>
                  <a:srgbClr val="4A2D7F"/>
                </a:solidFill>
                <a:latin typeface="Bahnschrift"/>
                <a:ea typeface="+mn-ea"/>
                <a:cs typeface="+mn-cs"/>
              </a:endParaRPr>
            </a:p>
          </xdr:txBody>
        </xdr:sp>
        <xdr:sp macro="" textlink="Calc!E23">
          <xdr:nvSpPr>
            <xdr:cNvPr id="24" name="TextBox 23">
              <a:extLst>
                <a:ext uri="{FF2B5EF4-FFF2-40B4-BE49-F238E27FC236}">
                  <a16:creationId xmlns:a16="http://schemas.microsoft.com/office/drawing/2014/main" id="{0D6A25B8-92CA-4F0D-A9DE-93134F0402CD}"/>
                </a:ext>
              </a:extLst>
            </xdr:cNvPr>
            <xdr:cNvSpPr txBox="1"/>
          </xdr:nvSpPr>
          <xdr:spPr>
            <a:xfrm>
              <a:off x="8570707" y="2874037"/>
              <a:ext cx="740933" cy="17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marL="0" indent="0" algn="l"/>
              <a:fld id="{8A782F8F-4953-4EC4-93D9-CDA5346C5606}" type="TxLink">
                <a:rPr lang="en-US" sz="700" b="0" i="0" u="none" strike="noStrike">
                  <a:solidFill>
                    <a:srgbClr val="4A2D7F"/>
                  </a:solidFill>
                  <a:latin typeface="Bahnschrift"/>
                  <a:ea typeface="+mn-ea"/>
                  <a:cs typeface="+mn-cs"/>
                </a:rPr>
                <a:pPr marL="0" indent="0" algn="l"/>
                <a:t>$972.86</a:t>
              </a:fld>
              <a:endParaRPr lang="en-US" sz="700" b="0" i="0" u="none" strike="noStrike">
                <a:solidFill>
                  <a:srgbClr val="4A2D7F"/>
                </a:solidFill>
                <a:latin typeface="Bahnschrift"/>
                <a:ea typeface="+mn-ea"/>
                <a:cs typeface="+mn-cs"/>
              </a:endParaRPr>
            </a:p>
          </xdr:txBody>
        </xdr:sp>
        <xdr:sp macro="" textlink="Calc!E24">
          <xdr:nvSpPr>
            <xdr:cNvPr id="25" name="TextBox 24">
              <a:extLst>
                <a:ext uri="{FF2B5EF4-FFF2-40B4-BE49-F238E27FC236}">
                  <a16:creationId xmlns:a16="http://schemas.microsoft.com/office/drawing/2014/main" id="{3326801B-A6D9-4A50-A573-03D9B7D80883}"/>
                </a:ext>
              </a:extLst>
            </xdr:cNvPr>
            <xdr:cNvSpPr txBox="1"/>
          </xdr:nvSpPr>
          <xdr:spPr>
            <a:xfrm>
              <a:off x="8570707" y="3166984"/>
              <a:ext cx="740933" cy="17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marL="0" indent="0" algn="l"/>
              <a:fld id="{573A5D94-1A52-4DE8-9DBE-B11E9CA1DBE2}" type="TxLink">
                <a:rPr lang="en-US" sz="700" b="0" i="0" u="none" strike="noStrike">
                  <a:solidFill>
                    <a:srgbClr val="4A2D7F"/>
                  </a:solidFill>
                  <a:latin typeface="Bahnschrift"/>
                  <a:ea typeface="+mn-ea"/>
                  <a:cs typeface="+mn-cs"/>
                </a:rPr>
                <a:pPr marL="0" indent="0" algn="l"/>
                <a:t>$292.90</a:t>
              </a:fld>
              <a:endParaRPr lang="en-US" sz="700" b="0" i="0" u="none" strike="noStrike">
                <a:solidFill>
                  <a:srgbClr val="4A2D7F"/>
                </a:solidFill>
                <a:latin typeface="Bahnschrift"/>
                <a:ea typeface="+mn-ea"/>
                <a:cs typeface="+mn-cs"/>
              </a:endParaRPr>
            </a:p>
          </xdr:txBody>
        </xdr:sp>
        <xdr:sp macro="" textlink="Calc!E25">
          <xdr:nvSpPr>
            <xdr:cNvPr id="26" name="TextBox 25">
              <a:extLst>
                <a:ext uri="{FF2B5EF4-FFF2-40B4-BE49-F238E27FC236}">
                  <a16:creationId xmlns:a16="http://schemas.microsoft.com/office/drawing/2014/main" id="{F2DF346B-9919-4A93-A6EA-1F1AD049AF71}"/>
                </a:ext>
              </a:extLst>
            </xdr:cNvPr>
            <xdr:cNvSpPr txBox="1"/>
          </xdr:nvSpPr>
          <xdr:spPr>
            <a:xfrm>
              <a:off x="8570707" y="3459928"/>
              <a:ext cx="740933" cy="17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marL="0" indent="0" algn="l"/>
              <a:fld id="{3FE4FAAF-59ED-4891-AA1E-FFBC78F61D4F}" type="TxLink">
                <a:rPr lang="en-US" sz="700" b="0" i="0" u="none" strike="noStrike">
                  <a:solidFill>
                    <a:srgbClr val="4A2D7F"/>
                  </a:solidFill>
                  <a:latin typeface="Bahnschrift"/>
                  <a:ea typeface="+mn-ea"/>
                  <a:cs typeface="+mn-cs"/>
                </a:rPr>
                <a:pPr marL="0" indent="0" algn="l"/>
                <a:t>$799.53</a:t>
              </a:fld>
              <a:endParaRPr lang="en-US" sz="700" b="0" i="0" u="none" strike="noStrike">
                <a:solidFill>
                  <a:srgbClr val="4A2D7F"/>
                </a:solidFill>
                <a:latin typeface="Bahnschrift"/>
                <a:ea typeface="+mn-ea"/>
                <a:cs typeface="+mn-cs"/>
              </a:endParaRPr>
            </a:p>
          </xdr:txBody>
        </xdr:sp>
      </xdr:grpSp>
    </xdr:grpSp>
    <xdr:clientData/>
  </xdr:twoCellAnchor>
  <xdr:twoCellAnchor>
    <xdr:from>
      <xdr:col>9</xdr:col>
      <xdr:colOff>182880</xdr:colOff>
      <xdr:row>10</xdr:row>
      <xdr:rowOff>99060</xdr:rowOff>
    </xdr:from>
    <xdr:to>
      <xdr:col>11</xdr:col>
      <xdr:colOff>1363980</xdr:colOff>
      <xdr:row>15</xdr:row>
      <xdr:rowOff>220980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D87A0050-8129-44BB-A140-69212F19B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152400</xdr:colOff>
      <xdr:row>7</xdr:row>
      <xdr:rowOff>3</xdr:rowOff>
    </xdr:from>
    <xdr:to>
      <xdr:col>10</xdr:col>
      <xdr:colOff>658800</xdr:colOff>
      <xdr:row>8</xdr:row>
      <xdr:rowOff>15003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1B9E27C5-8C62-4CB7-8716-FE9FFED59526}"/>
            </a:ext>
          </a:extLst>
        </xdr:cNvPr>
        <xdr:cNvSpPr>
          <a:spLocks/>
        </xdr:cNvSpPr>
      </xdr:nvSpPr>
      <xdr:spPr>
        <a:xfrm>
          <a:off x="5974080" y="3962403"/>
          <a:ext cx="1116000" cy="396000"/>
        </a:xfrm>
        <a:prstGeom prst="roundRect">
          <a:avLst/>
        </a:prstGeom>
        <a:gradFill flip="none" rotWithShape="1">
          <a:gsLst>
            <a:gs pos="0">
              <a:srgbClr val="4A2D7F"/>
            </a:gs>
            <a:gs pos="100000">
              <a:srgbClr val="BC79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819150</xdr:colOff>
      <xdr:row>7</xdr:row>
      <xdr:rowOff>3</xdr:rowOff>
    </xdr:from>
    <xdr:to>
      <xdr:col>11</xdr:col>
      <xdr:colOff>83490</xdr:colOff>
      <xdr:row>8</xdr:row>
      <xdr:rowOff>15003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45ED420D-18DF-4327-B328-64CC9A7825E3}"/>
            </a:ext>
          </a:extLst>
        </xdr:cNvPr>
        <xdr:cNvSpPr>
          <a:spLocks/>
        </xdr:cNvSpPr>
      </xdr:nvSpPr>
      <xdr:spPr>
        <a:xfrm>
          <a:off x="7250430" y="3962403"/>
          <a:ext cx="1116000" cy="396000"/>
        </a:xfrm>
        <a:prstGeom prst="roundRect">
          <a:avLst/>
        </a:prstGeom>
        <a:gradFill flip="none" rotWithShape="1">
          <a:gsLst>
            <a:gs pos="0">
              <a:srgbClr val="4A2D7F"/>
            </a:gs>
            <a:gs pos="100000">
              <a:srgbClr val="BC79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243840</xdr:colOff>
      <xdr:row>7</xdr:row>
      <xdr:rowOff>3</xdr:rowOff>
    </xdr:from>
    <xdr:to>
      <xdr:col>11</xdr:col>
      <xdr:colOff>1359840</xdr:colOff>
      <xdr:row>8</xdr:row>
      <xdr:rowOff>15003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3361906E-9C34-485B-B207-FCE8456AD9CB}"/>
            </a:ext>
          </a:extLst>
        </xdr:cNvPr>
        <xdr:cNvSpPr>
          <a:spLocks/>
        </xdr:cNvSpPr>
      </xdr:nvSpPr>
      <xdr:spPr>
        <a:xfrm>
          <a:off x="8526780" y="3962403"/>
          <a:ext cx="1116000" cy="396000"/>
        </a:xfrm>
        <a:prstGeom prst="roundRect">
          <a:avLst/>
        </a:prstGeom>
        <a:gradFill flip="none" rotWithShape="1">
          <a:gsLst>
            <a:gs pos="0">
              <a:srgbClr val="4A2D7F"/>
            </a:gs>
            <a:gs pos="100000">
              <a:srgbClr val="BC79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167640</xdr:colOff>
      <xdr:row>8</xdr:row>
      <xdr:rowOff>49530</xdr:rowOff>
    </xdr:from>
    <xdr:to>
      <xdr:col>10</xdr:col>
      <xdr:colOff>573660</xdr:colOff>
      <xdr:row>9</xdr:row>
      <xdr:rowOff>229530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F1368835-BC81-36A2-C787-91019F2B74E6}"/>
            </a:ext>
          </a:extLst>
        </xdr:cNvPr>
        <xdr:cNvGrpSpPr/>
      </xdr:nvGrpSpPr>
      <xdr:grpSpPr>
        <a:xfrm>
          <a:off x="5987415" y="4383405"/>
          <a:ext cx="1015620" cy="351450"/>
          <a:chOff x="5989320" y="4392930"/>
          <a:chExt cx="1015620" cy="347640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EC0C4066-76FB-423D-91C9-B9D2AFA9BA2E}"/>
              </a:ext>
            </a:extLst>
          </xdr:cNvPr>
          <xdr:cNvSpPr txBox="1"/>
        </xdr:nvSpPr>
        <xdr:spPr>
          <a:xfrm>
            <a:off x="5996940" y="4392930"/>
            <a:ext cx="1008000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l"/>
            <a:r>
              <a:rPr lang="sr-Latn-RS" sz="900" b="0" i="0" u="none" strike="noStrike">
                <a:solidFill>
                  <a:schemeClr val="bg2">
                    <a:lumMod val="25000"/>
                  </a:schemeClr>
                </a:solidFill>
                <a:latin typeface="Bahnschrift" panose="020B0502040204020203" pitchFamily="34" charset="0"/>
              </a:rPr>
              <a:t>Total Income</a:t>
            </a:r>
            <a:endParaRPr lang="en-US" sz="900" b="0" i="0" u="none" strike="noStrike">
              <a:solidFill>
                <a:schemeClr val="bg2">
                  <a:lumMod val="25000"/>
                </a:schemeClr>
              </a:solidFill>
              <a:latin typeface="Bahnschrift" panose="020B0502040204020203" pitchFamily="34" charset="0"/>
            </a:endParaRPr>
          </a:p>
        </xdr:txBody>
      </xdr:sp>
      <xdr:sp macro="" textlink="$L$2">
        <xdr:nvSpPr>
          <xdr:cNvPr id="37" name="TextBox 36">
            <a:extLst>
              <a:ext uri="{FF2B5EF4-FFF2-40B4-BE49-F238E27FC236}">
                <a16:creationId xmlns:a16="http://schemas.microsoft.com/office/drawing/2014/main" id="{7DB179F8-C605-455D-B868-3D924BA3AEEF}"/>
              </a:ext>
            </a:extLst>
          </xdr:cNvPr>
          <xdr:cNvSpPr txBox="1"/>
        </xdr:nvSpPr>
        <xdr:spPr>
          <a:xfrm>
            <a:off x="5989320" y="4560570"/>
            <a:ext cx="900000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l"/>
            <a:fld id="{25366767-BBEA-4D54-9C66-0570065A8449}" type="TxLink">
              <a:rPr lang="en-US" sz="800" b="1" i="0" u="none" strike="noStrike">
                <a:solidFill>
                  <a:srgbClr val="4A2D7F"/>
                </a:solidFill>
                <a:latin typeface="Bahnschrift"/>
              </a:rPr>
              <a:pPr algn="l"/>
              <a:t>January 23</a:t>
            </a:fld>
            <a:endParaRPr lang="en-US" sz="700" b="1" i="0" u="none" strike="noStrike">
              <a:solidFill>
                <a:srgbClr val="4A2D7F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868680</xdr:colOff>
      <xdr:row>8</xdr:row>
      <xdr:rowOff>49530</xdr:rowOff>
    </xdr:from>
    <xdr:to>
      <xdr:col>11</xdr:col>
      <xdr:colOff>32640</xdr:colOff>
      <xdr:row>9</xdr:row>
      <xdr:rowOff>229530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63DE50CD-C53C-415C-98CA-F1B0DE9FA972}"/>
            </a:ext>
          </a:extLst>
        </xdr:cNvPr>
        <xdr:cNvGrpSpPr/>
      </xdr:nvGrpSpPr>
      <xdr:grpSpPr>
        <a:xfrm>
          <a:off x="7298055" y="4383405"/>
          <a:ext cx="1011810" cy="351450"/>
          <a:chOff x="5989320" y="4392930"/>
          <a:chExt cx="1015620" cy="347640"/>
        </a:xfrm>
      </xdr:grpSpPr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94AA87BE-912D-73CB-8D5D-3F64AE55ACFA}"/>
              </a:ext>
            </a:extLst>
          </xdr:cNvPr>
          <xdr:cNvSpPr txBox="1"/>
        </xdr:nvSpPr>
        <xdr:spPr>
          <a:xfrm>
            <a:off x="5996940" y="4392930"/>
            <a:ext cx="1008000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l"/>
            <a:r>
              <a:rPr lang="sr-Latn-RS" sz="900" b="0" i="0" u="none" strike="noStrike">
                <a:solidFill>
                  <a:schemeClr val="bg2">
                    <a:lumMod val="25000"/>
                  </a:schemeClr>
                </a:solidFill>
                <a:latin typeface="Bahnschrift" panose="020B0502040204020203" pitchFamily="34" charset="0"/>
              </a:rPr>
              <a:t>Total Expenses</a:t>
            </a:r>
            <a:endParaRPr lang="en-US" sz="900" b="0" i="0" u="none" strike="noStrike">
              <a:solidFill>
                <a:schemeClr val="bg2">
                  <a:lumMod val="25000"/>
                </a:schemeClr>
              </a:solidFill>
              <a:latin typeface="Bahnschrift" panose="020B0502040204020203" pitchFamily="34" charset="0"/>
            </a:endParaRPr>
          </a:p>
        </xdr:txBody>
      </xdr:sp>
      <xdr:sp macro="" textlink="$L$2">
        <xdr:nvSpPr>
          <xdr:cNvPr id="41" name="TextBox 40">
            <a:extLst>
              <a:ext uri="{FF2B5EF4-FFF2-40B4-BE49-F238E27FC236}">
                <a16:creationId xmlns:a16="http://schemas.microsoft.com/office/drawing/2014/main" id="{380DEF52-501B-E62C-3313-857BA152F43D}"/>
              </a:ext>
            </a:extLst>
          </xdr:cNvPr>
          <xdr:cNvSpPr txBox="1"/>
        </xdr:nvSpPr>
        <xdr:spPr>
          <a:xfrm>
            <a:off x="5989320" y="4560570"/>
            <a:ext cx="900000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l"/>
            <a:fld id="{25366767-BBEA-4D54-9C66-0570065A8449}" type="TxLink">
              <a:rPr lang="en-US" sz="800" b="1" i="0" u="none" strike="noStrike">
                <a:solidFill>
                  <a:srgbClr val="4A2D7F"/>
                </a:solidFill>
                <a:latin typeface="Bahnschrift"/>
              </a:rPr>
              <a:pPr algn="l"/>
              <a:t>January 23</a:t>
            </a:fld>
            <a:endParaRPr lang="en-US" sz="700" b="1" i="0" u="none" strike="noStrike">
              <a:solidFill>
                <a:srgbClr val="4A2D7F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274320</xdr:colOff>
      <xdr:row>8</xdr:row>
      <xdr:rowOff>49530</xdr:rowOff>
    </xdr:from>
    <xdr:to>
      <xdr:col>11</xdr:col>
      <xdr:colOff>1289940</xdr:colOff>
      <xdr:row>9</xdr:row>
      <xdr:rowOff>229530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55B075C1-76B8-4690-B876-E0B51A5877C4}"/>
            </a:ext>
          </a:extLst>
        </xdr:cNvPr>
        <xdr:cNvGrpSpPr/>
      </xdr:nvGrpSpPr>
      <xdr:grpSpPr>
        <a:xfrm>
          <a:off x="8551545" y="4383405"/>
          <a:ext cx="1015620" cy="351450"/>
          <a:chOff x="5989320" y="4392930"/>
          <a:chExt cx="1015620" cy="347640"/>
        </a:xfrm>
      </xdr:grpSpPr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6AD9DF21-4A9C-59B6-2BB8-50BC6546B2B1}"/>
              </a:ext>
            </a:extLst>
          </xdr:cNvPr>
          <xdr:cNvSpPr txBox="1"/>
        </xdr:nvSpPr>
        <xdr:spPr>
          <a:xfrm>
            <a:off x="5996940" y="4392930"/>
            <a:ext cx="1008000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l"/>
            <a:r>
              <a:rPr lang="sr-Latn-RS" sz="900" b="0" i="0" u="none" strike="noStrike">
                <a:solidFill>
                  <a:schemeClr val="bg2">
                    <a:lumMod val="25000"/>
                  </a:schemeClr>
                </a:solidFill>
                <a:latin typeface="Bahnschrift" panose="020B0502040204020203" pitchFamily="34" charset="0"/>
              </a:rPr>
              <a:t>Monthly Balance</a:t>
            </a:r>
            <a:endParaRPr lang="en-US" sz="900" b="0" i="0" u="none" strike="noStrike">
              <a:solidFill>
                <a:schemeClr val="bg2">
                  <a:lumMod val="25000"/>
                </a:schemeClr>
              </a:solidFill>
              <a:latin typeface="Bahnschrift" panose="020B0502040204020203" pitchFamily="34" charset="0"/>
            </a:endParaRPr>
          </a:p>
        </xdr:txBody>
      </xdr:sp>
      <xdr:sp macro="" textlink="$L$2">
        <xdr:nvSpPr>
          <xdr:cNvPr id="44" name="TextBox 43">
            <a:extLst>
              <a:ext uri="{FF2B5EF4-FFF2-40B4-BE49-F238E27FC236}">
                <a16:creationId xmlns:a16="http://schemas.microsoft.com/office/drawing/2014/main" id="{5FBB7CB2-47AA-5EFB-3FE6-7723D35B36CD}"/>
              </a:ext>
            </a:extLst>
          </xdr:cNvPr>
          <xdr:cNvSpPr txBox="1"/>
        </xdr:nvSpPr>
        <xdr:spPr>
          <a:xfrm>
            <a:off x="5989320" y="4560570"/>
            <a:ext cx="900000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l"/>
            <a:fld id="{25366767-BBEA-4D54-9C66-0570065A8449}" type="TxLink">
              <a:rPr lang="en-US" sz="800" b="1" i="0" u="none" strike="noStrike">
                <a:solidFill>
                  <a:srgbClr val="4A2D7F"/>
                </a:solidFill>
                <a:latin typeface="Bahnschrift"/>
              </a:rPr>
              <a:pPr algn="l"/>
              <a:t>January 23</a:t>
            </a:fld>
            <a:endParaRPr lang="en-US" sz="700" b="1" i="0" u="none" strike="noStrike">
              <a:solidFill>
                <a:srgbClr val="4A2D7F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167640</xdr:colOff>
      <xdr:row>7</xdr:row>
      <xdr:rowOff>30480</xdr:rowOff>
    </xdr:from>
    <xdr:to>
      <xdr:col>10</xdr:col>
      <xdr:colOff>647700</xdr:colOff>
      <xdr:row>7</xdr:row>
      <xdr:rowOff>362417</xdr:rowOff>
    </xdr:to>
    <xdr:sp macro="" textlink="Calc!H16">
      <xdr:nvSpPr>
        <xdr:cNvPr id="45" name="TextBox 44">
          <a:extLst>
            <a:ext uri="{FF2B5EF4-FFF2-40B4-BE49-F238E27FC236}">
              <a16:creationId xmlns:a16="http://schemas.microsoft.com/office/drawing/2014/main" id="{195800C6-9A10-4F39-A3D3-5327487E4DBA}"/>
            </a:ext>
          </a:extLst>
        </xdr:cNvPr>
        <xdr:cNvSpPr txBox="1"/>
      </xdr:nvSpPr>
      <xdr:spPr>
        <a:xfrm>
          <a:off x="5989320" y="3992880"/>
          <a:ext cx="1089660" cy="331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fld id="{A5228D8E-D7E8-4E6A-BEDD-93D2E3218FDC}" type="TxLink">
            <a:rPr lang="en-US" sz="1200" b="0" i="0" u="none" strike="noStrike">
              <a:solidFill>
                <a:schemeClr val="bg1"/>
              </a:solidFill>
              <a:latin typeface="Bahnschrift"/>
            </a:rPr>
            <a:pPr algn="ctr"/>
            <a:t>$5,050.00</a:t>
          </a:fld>
          <a:endParaRPr lang="en-US" sz="1100" b="0" i="0" u="none" strike="noStrike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10</xdr:col>
      <xdr:colOff>830580</xdr:colOff>
      <xdr:row>7</xdr:row>
      <xdr:rowOff>30480</xdr:rowOff>
    </xdr:from>
    <xdr:to>
      <xdr:col>11</xdr:col>
      <xdr:colOff>68580</xdr:colOff>
      <xdr:row>7</xdr:row>
      <xdr:rowOff>362417</xdr:rowOff>
    </xdr:to>
    <xdr:sp macro="" textlink="Calc!F16">
      <xdr:nvSpPr>
        <xdr:cNvPr id="46" name="TextBox 45">
          <a:extLst>
            <a:ext uri="{FF2B5EF4-FFF2-40B4-BE49-F238E27FC236}">
              <a16:creationId xmlns:a16="http://schemas.microsoft.com/office/drawing/2014/main" id="{83A8C576-B8EF-445A-9B5B-FD27F206BEEC}"/>
            </a:ext>
          </a:extLst>
        </xdr:cNvPr>
        <xdr:cNvSpPr txBox="1"/>
      </xdr:nvSpPr>
      <xdr:spPr>
        <a:xfrm>
          <a:off x="7261860" y="3992880"/>
          <a:ext cx="1089660" cy="331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fld id="{0FC1E393-F661-4DD3-88AD-3812B8404CC4}" type="TxLink">
            <a:rPr lang="en-US" sz="1200" b="0" i="0" u="none" strike="noStrike">
              <a:solidFill>
                <a:schemeClr val="bg1"/>
              </a:solidFill>
              <a:latin typeface="Bahnschrift"/>
            </a:rPr>
            <a:pPr algn="ctr"/>
            <a:t>$4,902.54</a:t>
          </a:fld>
          <a:endParaRPr lang="en-US" sz="1200" b="0" i="0" u="none" strike="noStrike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11</xdr:col>
      <xdr:colOff>251460</xdr:colOff>
      <xdr:row>7</xdr:row>
      <xdr:rowOff>30480</xdr:rowOff>
    </xdr:from>
    <xdr:to>
      <xdr:col>11</xdr:col>
      <xdr:colOff>1341120</xdr:colOff>
      <xdr:row>7</xdr:row>
      <xdr:rowOff>362417</xdr:rowOff>
    </xdr:to>
    <xdr:sp macro="" textlink="Calc!I16">
      <xdr:nvSpPr>
        <xdr:cNvPr id="47" name="TextBox 46">
          <a:extLst>
            <a:ext uri="{FF2B5EF4-FFF2-40B4-BE49-F238E27FC236}">
              <a16:creationId xmlns:a16="http://schemas.microsoft.com/office/drawing/2014/main" id="{5BEC3A4D-2AF8-4ADF-8E74-E62379B1C3FB}"/>
            </a:ext>
          </a:extLst>
        </xdr:cNvPr>
        <xdr:cNvSpPr txBox="1"/>
      </xdr:nvSpPr>
      <xdr:spPr>
        <a:xfrm>
          <a:off x="8534400" y="3992880"/>
          <a:ext cx="1089660" cy="331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fld id="{28B617CD-D94A-4B2F-9518-A3738EC1F841}" type="TxLink">
            <a:rPr lang="en-US" sz="1200" b="0" i="0" u="none" strike="noStrike">
              <a:solidFill>
                <a:schemeClr val="bg1"/>
              </a:solidFill>
              <a:latin typeface="Bahnschrift"/>
            </a:rPr>
            <a:pPr algn="ctr"/>
            <a:t>$147.46</a:t>
          </a:fld>
          <a:endParaRPr lang="en-US" sz="1200" b="0" i="0" u="none" strike="noStrike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9</xdr:col>
      <xdr:colOff>304800</xdr:colOff>
      <xdr:row>15</xdr:row>
      <xdr:rowOff>9525</xdr:rowOff>
    </xdr:from>
    <xdr:to>
      <xdr:col>10</xdr:col>
      <xdr:colOff>595200</xdr:colOff>
      <xdr:row>15</xdr:row>
      <xdr:rowOff>191498</xdr:rowOff>
    </xdr:to>
    <xdr:sp macro="" textlink="Calc!D30">
      <xdr:nvSpPr>
        <xdr:cNvPr id="48" name="TextBox 47">
          <a:extLst>
            <a:ext uri="{FF2B5EF4-FFF2-40B4-BE49-F238E27FC236}">
              <a16:creationId xmlns:a16="http://schemas.microsoft.com/office/drawing/2014/main" id="{F799B048-11DF-4A7B-8044-44DF9B80BC4C}"/>
            </a:ext>
          </a:extLst>
        </xdr:cNvPr>
        <xdr:cNvSpPr txBox="1"/>
      </xdr:nvSpPr>
      <xdr:spPr>
        <a:xfrm>
          <a:off x="6124575" y="6800850"/>
          <a:ext cx="900000" cy="181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ctr"/>
        <a:lstStyle/>
        <a:p>
          <a:pPr algn="l"/>
          <a:fld id="{8063019E-12D4-49A2-B7EB-ACEFFFB5E974}" type="TxLink">
            <a:rPr lang="en-US" sz="800" b="1" i="0" u="none" strike="noStrike">
              <a:solidFill>
                <a:srgbClr val="4A2D7F"/>
              </a:solidFill>
              <a:latin typeface="Bahnschrift"/>
            </a:rPr>
            <a:pPr algn="l"/>
            <a:t>22-03-2023</a:t>
          </a:fld>
          <a:endParaRPr lang="en-US" sz="300" b="1" i="0" u="none" strike="noStrike">
            <a:solidFill>
              <a:srgbClr val="4A2D7F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11</xdr:col>
      <xdr:colOff>314325</xdr:colOff>
      <xdr:row>15</xdr:row>
      <xdr:rowOff>9525</xdr:rowOff>
    </xdr:from>
    <xdr:to>
      <xdr:col>11</xdr:col>
      <xdr:colOff>1214325</xdr:colOff>
      <xdr:row>15</xdr:row>
      <xdr:rowOff>191498</xdr:rowOff>
    </xdr:to>
    <xdr:sp macro="" textlink="Calc!D39">
      <xdr:nvSpPr>
        <xdr:cNvPr id="49" name="TextBox 48">
          <a:extLst>
            <a:ext uri="{FF2B5EF4-FFF2-40B4-BE49-F238E27FC236}">
              <a16:creationId xmlns:a16="http://schemas.microsoft.com/office/drawing/2014/main" id="{1D53DD93-78A5-4FFC-A482-6F754EBF80F6}"/>
            </a:ext>
          </a:extLst>
        </xdr:cNvPr>
        <xdr:cNvSpPr txBox="1"/>
      </xdr:nvSpPr>
      <xdr:spPr>
        <a:xfrm>
          <a:off x="8591550" y="6800850"/>
          <a:ext cx="900000" cy="181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ctr"/>
        <a:lstStyle/>
        <a:p>
          <a:pPr algn="r"/>
          <a:fld id="{0A7C923E-8337-4E06-A591-8D371F3D86CE}" type="TxLink">
            <a:rPr lang="en-US" sz="800" b="1" i="0" u="none" strike="noStrike">
              <a:solidFill>
                <a:srgbClr val="4A2D7F"/>
              </a:solidFill>
              <a:latin typeface="Bahnschrift"/>
            </a:rPr>
            <a:pPr algn="r"/>
            <a:t>04-04-2023</a:t>
          </a:fld>
          <a:endParaRPr lang="en-US" sz="100" b="1" i="0" u="none" strike="noStrike">
            <a:solidFill>
              <a:srgbClr val="4A2D7F"/>
            </a:solidFill>
            <a:latin typeface="Bahnschrift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0.00837</cdr:x>
      <cdr:y>0.00627</cdr:y>
    </cdr:from>
    <cdr:to>
      <cdr:x>0.57741</cdr:x>
      <cdr:y>0.17003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1241178B-74A0-4FBE-8727-1F0535A3055D}"/>
            </a:ext>
          </a:extLst>
        </cdr:cNvPr>
        <cdr:cNvSpPr txBox="1"/>
      </cdr:nvSpPr>
      <cdr:spPr>
        <a:xfrm xmlns:a="http://schemas.openxmlformats.org/drawingml/2006/main">
          <a:off x="30480" y="12700"/>
          <a:ext cx="2072640" cy="3319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sr-Latn-RS" sz="1400" b="0" i="0" u="none" strike="noStrike">
              <a:solidFill>
                <a:schemeClr val="bg2">
                  <a:lumMod val="25000"/>
                </a:schemeClr>
              </a:solidFill>
              <a:latin typeface="Bahnschrift" panose="020B0502040204020203" pitchFamily="34" charset="0"/>
            </a:rPr>
            <a:t>LAST</a:t>
          </a:r>
          <a:r>
            <a:rPr lang="sr-Latn-RS" sz="1400" b="0" i="0" u="none" strike="noStrike" baseline="0">
              <a:solidFill>
                <a:schemeClr val="bg2">
                  <a:lumMod val="25000"/>
                </a:schemeClr>
              </a:solidFill>
              <a:latin typeface="Bahnschrift" panose="020B0502040204020203" pitchFamily="34" charset="0"/>
            </a:rPr>
            <a:t> 10 BALANCES</a:t>
          </a:r>
          <a:endParaRPr lang="en-US" sz="1400" b="0" i="0" u="none" strike="noStrike">
            <a:solidFill>
              <a:schemeClr val="bg2">
                <a:lumMod val="25000"/>
              </a:schemeClr>
            </a:solidFill>
            <a:latin typeface="Bahnschrift" panose="020B0502040204020203" pitchFamily="34" charset="0"/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0DB0CD-A7C3-479B-B397-4E6396621288}" name="Table1" displayName="Table1" ref="E6:I116" totalsRowShown="0" headerRowDxfId="8" dataDxfId="7">
  <autoFilter ref="E6:I116" xr:uid="{EB0DB0CD-A7C3-479B-B397-4E6396621288}"/>
  <sortState xmlns:xlrd2="http://schemas.microsoft.com/office/spreadsheetml/2017/richdata2" ref="E7:I113">
    <sortCondition ref="E89:E113"/>
  </sortState>
  <tableColumns count="5">
    <tableColumn id="1" xr3:uid="{94E0EDC5-F4D6-478C-A75A-A4DD83753687}" name="DATE" dataDxfId="6"/>
    <tableColumn id="2" xr3:uid="{51F6FF02-28A3-4A48-9FA9-620BAF8B8F46}" name="TRANSACTION" dataDxfId="5"/>
    <tableColumn id="3" xr3:uid="{90A7B68A-9C3B-4925-80A9-9F911CD1E187}" name="FROM/TO" dataDxfId="4"/>
    <tableColumn id="4" xr3:uid="{454F1599-CC15-4759-A156-860B0906B455}" name="AMOUNT" dataDxfId="3"/>
    <tableColumn id="5" xr3:uid="{A9C79249-2F0C-428C-8833-A12FF7656263}" name="NOTE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636C-7997-49EB-ACBE-FB97DA6A125A}">
  <dimension ref="A1:J395"/>
  <sheetViews>
    <sheetView zoomScale="85" zoomScaleNormal="85" workbookViewId="0">
      <selection activeCell="E116" sqref="E116:I116"/>
    </sheetView>
  </sheetViews>
  <sheetFormatPr defaultRowHeight="13.8" x14ac:dyDescent="0.3"/>
  <cols>
    <col min="1" max="1" width="28.44140625" style="1" customWidth="1"/>
    <col min="2" max="2" width="21.33203125" style="1" customWidth="1"/>
    <col min="3" max="3" width="27.6640625" style="1" customWidth="1"/>
    <col min="4" max="4" width="2.88671875" style="1" customWidth="1"/>
    <col min="5" max="5" width="21.77734375" style="1" customWidth="1"/>
    <col min="6" max="6" width="31" style="1" customWidth="1"/>
    <col min="7" max="7" width="23.21875" style="1" customWidth="1"/>
    <col min="8" max="8" width="17.88671875" style="1" customWidth="1"/>
    <col min="9" max="9" width="26.77734375" style="1" customWidth="1"/>
    <col min="10" max="10" width="20.5546875" style="1" customWidth="1"/>
    <col min="11" max="16384" width="8.88671875" style="1"/>
  </cols>
  <sheetData>
    <row r="1" spans="1:10" x14ac:dyDescent="0.3">
      <c r="A1" s="3" t="s">
        <v>0</v>
      </c>
      <c r="B1" s="3"/>
      <c r="C1" s="3"/>
    </row>
    <row r="2" spans="1:10" x14ac:dyDescent="0.3">
      <c r="A2" s="2" t="s">
        <v>1</v>
      </c>
      <c r="B2" s="2" t="s">
        <v>3</v>
      </c>
      <c r="C2" s="2" t="s">
        <v>5</v>
      </c>
    </row>
    <row r="3" spans="1:10" x14ac:dyDescent="0.3">
      <c r="A3" s="3" t="s">
        <v>2</v>
      </c>
      <c r="B3" s="3" t="s">
        <v>4</v>
      </c>
      <c r="C3" s="4" t="s">
        <v>95</v>
      </c>
    </row>
    <row r="4" spans="1:10" x14ac:dyDescent="0.3">
      <c r="A4" s="3"/>
      <c r="B4" s="3"/>
      <c r="C4" s="3"/>
    </row>
    <row r="5" spans="1:10" x14ac:dyDescent="0.3">
      <c r="A5" s="2" t="s">
        <v>14</v>
      </c>
      <c r="B5" s="3"/>
      <c r="C5" s="3"/>
    </row>
    <row r="6" spans="1:10" x14ac:dyDescent="0.3">
      <c r="A6" s="7">
        <v>1000</v>
      </c>
      <c r="B6" s="3"/>
      <c r="C6" s="3"/>
      <c r="E6" s="1" t="s">
        <v>6</v>
      </c>
      <c r="F6" s="1" t="s">
        <v>7</v>
      </c>
      <c r="G6" s="1" t="s">
        <v>9</v>
      </c>
      <c r="H6" s="1" t="s">
        <v>11</v>
      </c>
      <c r="I6" s="1" t="s">
        <v>12</v>
      </c>
      <c r="J6" s="1" t="s">
        <v>15</v>
      </c>
    </row>
    <row r="7" spans="1:10" x14ac:dyDescent="0.3">
      <c r="E7" s="5">
        <v>44927</v>
      </c>
      <c r="F7" s="1" t="s">
        <v>8</v>
      </c>
      <c r="G7" s="1" t="s">
        <v>10</v>
      </c>
      <c r="H7" s="6">
        <v>4200</v>
      </c>
      <c r="I7" s="1" t="s">
        <v>13</v>
      </c>
      <c r="J7" s="6">
        <f>A6+H7</f>
        <v>5200</v>
      </c>
    </row>
    <row r="8" spans="1:10" x14ac:dyDescent="0.3">
      <c r="E8" s="5">
        <v>44928</v>
      </c>
      <c r="F8" s="1" t="s">
        <v>16</v>
      </c>
      <c r="G8" s="1" t="s">
        <v>29</v>
      </c>
      <c r="H8" s="6">
        <v>-105</v>
      </c>
      <c r="I8" s="1" t="s">
        <v>27</v>
      </c>
      <c r="J8" s="6">
        <f t="shared" ref="J8:J71" si="0">IF(E8, J7+H8, "")</f>
        <v>5095</v>
      </c>
    </row>
    <row r="9" spans="1:10" x14ac:dyDescent="0.3">
      <c r="A9" s="8" t="s">
        <v>17</v>
      </c>
      <c r="C9" s="8" t="s">
        <v>83</v>
      </c>
      <c r="E9" s="5">
        <v>44929</v>
      </c>
      <c r="F9" s="1" t="s">
        <v>18</v>
      </c>
      <c r="G9" s="1" t="s">
        <v>30</v>
      </c>
      <c r="H9" s="6">
        <v>-10</v>
      </c>
      <c r="I9" s="1" t="s">
        <v>31</v>
      </c>
      <c r="J9" s="6">
        <f t="shared" si="0"/>
        <v>5085</v>
      </c>
    </row>
    <row r="10" spans="1:10" x14ac:dyDescent="0.3">
      <c r="A10" s="3" t="s">
        <v>8</v>
      </c>
      <c r="C10" s="10">
        <f>DASHBOARD!L2</f>
        <v>44927</v>
      </c>
      <c r="E10" s="5">
        <v>44930</v>
      </c>
      <c r="F10" s="1" t="s">
        <v>19</v>
      </c>
      <c r="G10" s="1" t="s">
        <v>34</v>
      </c>
      <c r="H10" s="6">
        <v>-40</v>
      </c>
      <c r="J10" s="6">
        <f t="shared" si="0"/>
        <v>5045</v>
      </c>
    </row>
    <row r="11" spans="1:10" x14ac:dyDescent="0.3">
      <c r="A11" s="3" t="s">
        <v>16</v>
      </c>
      <c r="C11" s="8" t="s">
        <v>84</v>
      </c>
      <c r="E11" s="5">
        <v>44931</v>
      </c>
      <c r="F11" s="1" t="s">
        <v>20</v>
      </c>
      <c r="G11" s="1" t="s">
        <v>35</v>
      </c>
      <c r="H11" s="6">
        <v>-102</v>
      </c>
      <c r="I11" s="1" t="s">
        <v>36</v>
      </c>
      <c r="J11" s="6">
        <f t="shared" si="0"/>
        <v>4943</v>
      </c>
    </row>
    <row r="12" spans="1:10" x14ac:dyDescent="0.3">
      <c r="A12" s="3" t="s">
        <v>18</v>
      </c>
      <c r="C12" s="11">
        <f>C10</f>
        <v>44927</v>
      </c>
      <c r="E12" s="5">
        <v>44932</v>
      </c>
      <c r="F12" s="1" t="s">
        <v>21</v>
      </c>
      <c r="G12" s="1" t="s">
        <v>37</v>
      </c>
      <c r="H12" s="6">
        <v>-350</v>
      </c>
      <c r="I12" s="1" t="s">
        <v>41</v>
      </c>
      <c r="J12" s="6">
        <f t="shared" si="0"/>
        <v>4593</v>
      </c>
    </row>
    <row r="13" spans="1:10" x14ac:dyDescent="0.3">
      <c r="A13" s="3" t="s">
        <v>19</v>
      </c>
      <c r="C13" s="8" t="s">
        <v>85</v>
      </c>
      <c r="E13" s="5">
        <v>44933</v>
      </c>
      <c r="F13" s="1" t="s">
        <v>22</v>
      </c>
      <c r="G13" s="1" t="s">
        <v>38</v>
      </c>
      <c r="H13" s="6">
        <v>-500</v>
      </c>
      <c r="J13" s="6">
        <f t="shared" si="0"/>
        <v>4093</v>
      </c>
    </row>
    <row r="14" spans="1:10" x14ac:dyDescent="0.3">
      <c r="A14" s="3" t="s">
        <v>20</v>
      </c>
      <c r="C14" s="11">
        <f>C12+_xlfn.SWITCH(MONTH($C$10), 1, 31, 2, IF(YEAR($C$10)=2024,29,28), 3, 31, 4, 30, 5, 31, 6, 30, 7, 31, 8, 31, 9, 30, 10, 31, 11, 30, 12, 31)-1</f>
        <v>44957</v>
      </c>
      <c r="E14" s="5">
        <v>44934</v>
      </c>
      <c r="F14" s="1" t="s">
        <v>23</v>
      </c>
      <c r="G14" s="1" t="s">
        <v>39</v>
      </c>
      <c r="H14" s="6">
        <v>-220</v>
      </c>
      <c r="J14" s="6">
        <f t="shared" si="0"/>
        <v>3873</v>
      </c>
    </row>
    <row r="15" spans="1:10" x14ac:dyDescent="0.3">
      <c r="A15" s="3" t="s">
        <v>21</v>
      </c>
      <c r="E15" s="5">
        <v>44935</v>
      </c>
      <c r="F15" s="1" t="s">
        <v>24</v>
      </c>
      <c r="G15" s="1" t="s">
        <v>42</v>
      </c>
      <c r="H15" s="6">
        <v>-55</v>
      </c>
      <c r="I15" s="1" t="s">
        <v>43</v>
      </c>
      <c r="J15" s="6">
        <f t="shared" si="0"/>
        <v>3818</v>
      </c>
    </row>
    <row r="16" spans="1:10" x14ac:dyDescent="0.3">
      <c r="A16" s="3" t="s">
        <v>22</v>
      </c>
      <c r="E16" s="5">
        <v>44936</v>
      </c>
      <c r="F16" s="1" t="s">
        <v>25</v>
      </c>
      <c r="G16" s="1" t="s">
        <v>45</v>
      </c>
      <c r="H16" s="6">
        <v>-182.4</v>
      </c>
      <c r="I16" s="1" t="s">
        <v>44</v>
      </c>
      <c r="J16" s="6">
        <f t="shared" si="0"/>
        <v>3635.6</v>
      </c>
    </row>
    <row r="17" spans="1:10" x14ac:dyDescent="0.3">
      <c r="A17" s="3" t="s">
        <v>23</v>
      </c>
      <c r="E17" s="5">
        <v>44937</v>
      </c>
      <c r="F17" s="1" t="s">
        <v>26</v>
      </c>
      <c r="G17" s="1" t="s">
        <v>47</v>
      </c>
      <c r="H17" s="6">
        <v>-35</v>
      </c>
      <c r="I17" s="1" t="s">
        <v>46</v>
      </c>
      <c r="J17" s="6">
        <f t="shared" si="0"/>
        <v>3600.6</v>
      </c>
    </row>
    <row r="18" spans="1:10" x14ac:dyDescent="0.3">
      <c r="A18" s="3" t="s">
        <v>24</v>
      </c>
      <c r="E18" s="5">
        <v>44943</v>
      </c>
      <c r="F18" s="1" t="s">
        <v>16</v>
      </c>
      <c r="G18" s="1" t="s">
        <v>40</v>
      </c>
      <c r="H18" s="6">
        <v>-800</v>
      </c>
      <c r="I18" s="1" t="s">
        <v>28</v>
      </c>
      <c r="J18" s="6">
        <f t="shared" si="0"/>
        <v>2800.6</v>
      </c>
    </row>
    <row r="19" spans="1:10" x14ac:dyDescent="0.3">
      <c r="A19" s="3" t="s">
        <v>25</v>
      </c>
      <c r="E19" s="5">
        <v>44943</v>
      </c>
      <c r="F19" s="1" t="s">
        <v>18</v>
      </c>
      <c r="G19" s="1" t="s">
        <v>32</v>
      </c>
      <c r="H19" s="6">
        <v>-120</v>
      </c>
      <c r="I19" s="1" t="s">
        <v>33</v>
      </c>
      <c r="J19" s="6">
        <f t="shared" si="0"/>
        <v>2680.6</v>
      </c>
    </row>
    <row r="20" spans="1:10" x14ac:dyDescent="0.3">
      <c r="A20" s="3" t="s">
        <v>26</v>
      </c>
      <c r="C20" s="21" t="s">
        <v>89</v>
      </c>
      <c r="E20" s="5">
        <v>44944</v>
      </c>
      <c r="F20" s="1" t="s">
        <v>8</v>
      </c>
      <c r="G20" s="1" t="s">
        <v>77</v>
      </c>
      <c r="H20" s="6">
        <v>500</v>
      </c>
      <c r="I20" s="1" t="s">
        <v>48</v>
      </c>
      <c r="J20" s="6">
        <f t="shared" si="0"/>
        <v>3180.6</v>
      </c>
    </row>
    <row r="21" spans="1:10" x14ac:dyDescent="0.3">
      <c r="C21" s="10">
        <v>44927</v>
      </c>
      <c r="E21" s="5">
        <v>44945</v>
      </c>
      <c r="F21" s="1" t="s">
        <v>24</v>
      </c>
      <c r="G21" s="1" t="s">
        <v>56</v>
      </c>
      <c r="H21" s="6">
        <v>-250</v>
      </c>
      <c r="J21" s="6">
        <f t="shared" si="0"/>
        <v>2930.6</v>
      </c>
    </row>
    <row r="22" spans="1:10" x14ac:dyDescent="0.3">
      <c r="C22" s="10">
        <v>44958</v>
      </c>
      <c r="E22" s="5">
        <v>44946</v>
      </c>
      <c r="F22" s="1" t="s">
        <v>19</v>
      </c>
      <c r="G22" s="1" t="s">
        <v>51</v>
      </c>
      <c r="H22" s="6">
        <v>-20</v>
      </c>
      <c r="J22" s="6">
        <f t="shared" si="0"/>
        <v>2910.6</v>
      </c>
    </row>
    <row r="23" spans="1:10" x14ac:dyDescent="0.3">
      <c r="C23" s="10">
        <v>44986</v>
      </c>
      <c r="E23" s="5">
        <v>44946</v>
      </c>
      <c r="F23" s="1" t="s">
        <v>26</v>
      </c>
      <c r="G23" s="1" t="s">
        <v>75</v>
      </c>
      <c r="H23" s="6">
        <v>-15</v>
      </c>
      <c r="J23" s="6">
        <f t="shared" si="0"/>
        <v>2895.6</v>
      </c>
    </row>
    <row r="24" spans="1:10" x14ac:dyDescent="0.3">
      <c r="C24" s="10"/>
      <c r="E24" s="5">
        <v>44946</v>
      </c>
      <c r="F24" s="1" t="s">
        <v>19</v>
      </c>
      <c r="G24" s="1" t="s">
        <v>51</v>
      </c>
      <c r="H24" s="6">
        <v>-99.87</v>
      </c>
      <c r="J24" s="6">
        <f t="shared" si="0"/>
        <v>2795.73</v>
      </c>
    </row>
    <row r="25" spans="1:10" x14ac:dyDescent="0.3">
      <c r="C25" s="10"/>
      <c r="E25" s="5">
        <v>44947</v>
      </c>
      <c r="F25" s="1" t="s">
        <v>24</v>
      </c>
      <c r="G25" s="1" t="s">
        <v>57</v>
      </c>
      <c r="H25" s="6">
        <v>-20</v>
      </c>
      <c r="J25" s="6">
        <f t="shared" si="0"/>
        <v>2775.73</v>
      </c>
    </row>
    <row r="26" spans="1:10" x14ac:dyDescent="0.3">
      <c r="C26" s="10"/>
      <c r="E26" s="5">
        <v>44947</v>
      </c>
      <c r="F26" s="1" t="s">
        <v>19</v>
      </c>
      <c r="G26" s="1" t="s">
        <v>51</v>
      </c>
      <c r="H26" s="6">
        <v>-10.28</v>
      </c>
      <c r="J26" s="6">
        <f t="shared" si="0"/>
        <v>2765.45</v>
      </c>
    </row>
    <row r="27" spans="1:10" x14ac:dyDescent="0.3">
      <c r="C27" s="10"/>
      <c r="E27" s="5">
        <v>44947</v>
      </c>
      <c r="F27" s="1" t="s">
        <v>20</v>
      </c>
      <c r="G27" s="1" t="s">
        <v>54</v>
      </c>
      <c r="H27" s="6">
        <v>-55</v>
      </c>
      <c r="I27" s="1" t="s">
        <v>49</v>
      </c>
      <c r="J27" s="6">
        <f t="shared" si="0"/>
        <v>2710.45</v>
      </c>
    </row>
    <row r="28" spans="1:10" x14ac:dyDescent="0.3">
      <c r="C28" s="10"/>
      <c r="E28" s="5">
        <v>44947</v>
      </c>
      <c r="F28" s="1" t="s">
        <v>26</v>
      </c>
      <c r="G28" s="1" t="s">
        <v>71</v>
      </c>
      <c r="H28" s="6">
        <v>-56.17</v>
      </c>
      <c r="J28" s="6">
        <f t="shared" si="0"/>
        <v>2654.2799999999997</v>
      </c>
    </row>
    <row r="29" spans="1:10" x14ac:dyDescent="0.3">
      <c r="C29" s="10"/>
      <c r="E29" s="5">
        <v>44948</v>
      </c>
      <c r="F29" s="1" t="s">
        <v>25</v>
      </c>
      <c r="G29" s="1" t="s">
        <v>66</v>
      </c>
      <c r="H29" s="6">
        <v>-40</v>
      </c>
      <c r="I29" s="1" t="s">
        <v>67</v>
      </c>
      <c r="J29" s="6">
        <f t="shared" si="0"/>
        <v>2614.2799999999997</v>
      </c>
    </row>
    <row r="30" spans="1:10" x14ac:dyDescent="0.3">
      <c r="C30" s="10"/>
      <c r="E30" s="5">
        <v>44949</v>
      </c>
      <c r="F30" s="1" t="s">
        <v>26</v>
      </c>
      <c r="G30" s="1" t="s">
        <v>71</v>
      </c>
      <c r="H30" s="6">
        <v>-512.44000000000005</v>
      </c>
      <c r="J30" s="6">
        <f t="shared" si="0"/>
        <v>2101.8399999999997</v>
      </c>
    </row>
    <row r="31" spans="1:10" x14ac:dyDescent="0.3">
      <c r="C31" s="10"/>
      <c r="E31" s="5">
        <v>44949</v>
      </c>
      <c r="F31" s="1" t="s">
        <v>19</v>
      </c>
      <c r="G31" s="1" t="s">
        <v>52</v>
      </c>
      <c r="H31" s="6">
        <v>-25</v>
      </c>
      <c r="J31" s="6">
        <f t="shared" si="0"/>
        <v>2076.8399999999997</v>
      </c>
    </row>
    <row r="32" spans="1:10" x14ac:dyDescent="0.3">
      <c r="E32" s="5">
        <v>44949</v>
      </c>
      <c r="F32" s="1" t="s">
        <v>24</v>
      </c>
      <c r="G32" s="1" t="s">
        <v>58</v>
      </c>
      <c r="H32" s="6">
        <v>-15</v>
      </c>
      <c r="J32" s="6">
        <f t="shared" si="0"/>
        <v>2061.8399999999997</v>
      </c>
    </row>
    <row r="33" spans="5:10" x14ac:dyDescent="0.3">
      <c r="E33" s="5">
        <v>44949</v>
      </c>
      <c r="F33" s="1" t="s">
        <v>19</v>
      </c>
      <c r="G33" s="1" t="s">
        <v>52</v>
      </c>
      <c r="H33" s="6">
        <v>-22.14</v>
      </c>
      <c r="J33" s="6">
        <f t="shared" si="0"/>
        <v>2039.6999999999996</v>
      </c>
    </row>
    <row r="34" spans="5:10" x14ac:dyDescent="0.3">
      <c r="E34" s="5">
        <v>44949</v>
      </c>
      <c r="F34" s="1" t="s">
        <v>24</v>
      </c>
      <c r="G34" s="1" t="s">
        <v>59</v>
      </c>
      <c r="H34" s="6">
        <v>-55</v>
      </c>
      <c r="J34" s="6">
        <f t="shared" si="0"/>
        <v>1984.6999999999996</v>
      </c>
    </row>
    <row r="35" spans="5:10" x14ac:dyDescent="0.3">
      <c r="E35" s="5">
        <v>44951</v>
      </c>
      <c r="F35" s="1" t="s">
        <v>19</v>
      </c>
      <c r="G35" s="1" t="s">
        <v>52</v>
      </c>
      <c r="H35" s="6">
        <v>-17.55</v>
      </c>
      <c r="J35" s="6">
        <f t="shared" si="0"/>
        <v>1967.1499999999996</v>
      </c>
    </row>
    <row r="36" spans="5:10" x14ac:dyDescent="0.3">
      <c r="E36" s="5">
        <v>44951</v>
      </c>
      <c r="F36" s="1" t="s">
        <v>26</v>
      </c>
      <c r="G36" s="1" t="s">
        <v>72</v>
      </c>
      <c r="H36" s="6">
        <v>-52.22</v>
      </c>
      <c r="J36" s="6">
        <f t="shared" si="0"/>
        <v>1914.9299999999996</v>
      </c>
    </row>
    <row r="37" spans="5:10" x14ac:dyDescent="0.3">
      <c r="E37" s="5">
        <v>44951</v>
      </c>
      <c r="F37" s="1" t="s">
        <v>24</v>
      </c>
      <c r="G37" s="1" t="s">
        <v>60</v>
      </c>
      <c r="H37" s="6">
        <v>-80</v>
      </c>
      <c r="J37" s="6">
        <f t="shared" si="0"/>
        <v>1834.9299999999996</v>
      </c>
    </row>
    <row r="38" spans="5:10" x14ac:dyDescent="0.3">
      <c r="E38" s="5">
        <v>44952</v>
      </c>
      <c r="F38" s="1" t="s">
        <v>19</v>
      </c>
      <c r="G38" s="1" t="s">
        <v>52</v>
      </c>
      <c r="H38" s="6">
        <v>-105</v>
      </c>
      <c r="J38" s="6">
        <f t="shared" si="0"/>
        <v>1729.9299999999996</v>
      </c>
    </row>
    <row r="39" spans="5:10" x14ac:dyDescent="0.3">
      <c r="E39" s="5">
        <v>44952</v>
      </c>
      <c r="F39" s="1" t="s">
        <v>25</v>
      </c>
      <c r="G39" s="1" t="s">
        <v>68</v>
      </c>
      <c r="H39" s="6">
        <v>-25</v>
      </c>
      <c r="J39" s="6">
        <f t="shared" si="0"/>
        <v>1704.9299999999996</v>
      </c>
    </row>
    <row r="40" spans="5:10" x14ac:dyDescent="0.3">
      <c r="E40" s="5">
        <v>44952</v>
      </c>
      <c r="F40" s="1" t="s">
        <v>19</v>
      </c>
      <c r="G40" s="1" t="s">
        <v>53</v>
      </c>
      <c r="H40" s="6">
        <v>-54.47</v>
      </c>
      <c r="J40" s="6">
        <f t="shared" si="0"/>
        <v>1650.4599999999996</v>
      </c>
    </row>
    <row r="41" spans="5:10" x14ac:dyDescent="0.3">
      <c r="E41" s="5">
        <v>44953</v>
      </c>
      <c r="F41" s="1" t="s">
        <v>24</v>
      </c>
      <c r="G41" s="1" t="s">
        <v>61</v>
      </c>
      <c r="H41" s="6">
        <v>-355.15</v>
      </c>
      <c r="J41" s="6">
        <f t="shared" si="0"/>
        <v>1295.3099999999995</v>
      </c>
    </row>
    <row r="42" spans="5:10" x14ac:dyDescent="0.3">
      <c r="E42" s="5">
        <v>44953</v>
      </c>
      <c r="F42" s="1" t="s">
        <v>26</v>
      </c>
      <c r="G42" s="1" t="s">
        <v>73</v>
      </c>
      <c r="H42" s="6">
        <v>-41.25</v>
      </c>
      <c r="J42" s="6">
        <f t="shared" si="0"/>
        <v>1254.0599999999995</v>
      </c>
    </row>
    <row r="43" spans="5:10" x14ac:dyDescent="0.3">
      <c r="E43" s="5">
        <v>44953</v>
      </c>
      <c r="F43" s="1" t="s">
        <v>20</v>
      </c>
      <c r="G43" s="1" t="s">
        <v>55</v>
      </c>
      <c r="H43" s="6">
        <v>-70</v>
      </c>
      <c r="I43" s="1" t="s">
        <v>50</v>
      </c>
      <c r="J43" s="6">
        <f t="shared" si="0"/>
        <v>1184.0599999999995</v>
      </c>
    </row>
    <row r="44" spans="5:10" x14ac:dyDescent="0.3">
      <c r="E44" s="5">
        <v>44953</v>
      </c>
      <c r="F44" s="1" t="s">
        <v>26</v>
      </c>
      <c r="G44" s="1" t="s">
        <v>74</v>
      </c>
      <c r="H44" s="6">
        <v>-69.77</v>
      </c>
      <c r="J44" s="6">
        <f t="shared" si="0"/>
        <v>1114.2899999999995</v>
      </c>
    </row>
    <row r="45" spans="5:10" x14ac:dyDescent="0.3">
      <c r="E45" s="5">
        <v>44954</v>
      </c>
      <c r="F45" s="1" t="s">
        <v>24</v>
      </c>
      <c r="G45" s="1" t="s">
        <v>62</v>
      </c>
      <c r="H45" s="6">
        <v>-35.36</v>
      </c>
      <c r="J45" s="6">
        <f t="shared" si="0"/>
        <v>1078.9299999999996</v>
      </c>
    </row>
    <row r="46" spans="5:10" x14ac:dyDescent="0.3">
      <c r="E46" s="5">
        <v>44954</v>
      </c>
      <c r="F46" s="1" t="s">
        <v>26</v>
      </c>
      <c r="G46" s="1" t="s">
        <v>74</v>
      </c>
      <c r="H46" s="6">
        <v>-17.68</v>
      </c>
      <c r="J46" s="6">
        <f t="shared" si="0"/>
        <v>1061.2499999999995</v>
      </c>
    </row>
    <row r="47" spans="5:10" x14ac:dyDescent="0.3">
      <c r="E47" s="5">
        <v>44954</v>
      </c>
      <c r="F47" s="1" t="s">
        <v>24</v>
      </c>
      <c r="G47" s="1" t="s">
        <v>62</v>
      </c>
      <c r="H47" s="6">
        <v>-45.18</v>
      </c>
      <c r="J47" s="6">
        <f t="shared" si="0"/>
        <v>1016.0699999999996</v>
      </c>
    </row>
    <row r="48" spans="5:10" x14ac:dyDescent="0.3">
      <c r="E48" s="5">
        <v>44955</v>
      </c>
      <c r="F48" s="1" t="s">
        <v>19</v>
      </c>
      <c r="G48" s="1" t="s">
        <v>53</v>
      </c>
      <c r="H48" s="6">
        <v>-75.25</v>
      </c>
      <c r="J48" s="6">
        <f t="shared" si="0"/>
        <v>940.8199999999996</v>
      </c>
    </row>
    <row r="49" spans="2:10" x14ac:dyDescent="0.3">
      <c r="E49" s="5">
        <v>44956</v>
      </c>
      <c r="F49" s="1" t="s">
        <v>24</v>
      </c>
      <c r="G49" s="1" t="s">
        <v>60</v>
      </c>
      <c r="H49" s="6">
        <v>-62.17</v>
      </c>
      <c r="I49" s="1" t="s">
        <v>63</v>
      </c>
      <c r="J49" s="6">
        <f t="shared" si="0"/>
        <v>878.64999999999964</v>
      </c>
    </row>
    <row r="50" spans="2:10" x14ac:dyDescent="0.3">
      <c r="E50" s="5">
        <v>44957</v>
      </c>
      <c r="F50" s="1" t="s">
        <v>19</v>
      </c>
      <c r="G50" s="1" t="s">
        <v>53</v>
      </c>
      <c r="H50" s="6">
        <v>-21.14</v>
      </c>
      <c r="J50" s="6">
        <f t="shared" si="0"/>
        <v>857.50999999999965</v>
      </c>
    </row>
    <row r="51" spans="2:10" x14ac:dyDescent="0.3">
      <c r="E51" s="5">
        <v>44957</v>
      </c>
      <c r="F51" s="1" t="s">
        <v>8</v>
      </c>
      <c r="G51" s="1" t="s">
        <v>64</v>
      </c>
      <c r="H51" s="6">
        <v>350</v>
      </c>
      <c r="I51" s="1" t="s">
        <v>65</v>
      </c>
      <c r="J51" s="6">
        <f t="shared" si="0"/>
        <v>1207.5099999999998</v>
      </c>
    </row>
    <row r="52" spans="2:10" x14ac:dyDescent="0.3">
      <c r="E52" s="5">
        <v>44957</v>
      </c>
      <c r="F52" s="1" t="s">
        <v>25</v>
      </c>
      <c r="G52" s="1" t="s">
        <v>69</v>
      </c>
      <c r="H52" s="6">
        <v>-45.5</v>
      </c>
      <c r="I52" s="1" t="s">
        <v>70</v>
      </c>
      <c r="J52" s="6">
        <f t="shared" si="0"/>
        <v>1162.0099999999998</v>
      </c>
    </row>
    <row r="53" spans="2:10" x14ac:dyDescent="0.3">
      <c r="E53" s="5">
        <v>44957</v>
      </c>
      <c r="F53" s="1" t="s">
        <v>19</v>
      </c>
      <c r="G53" s="1" t="s">
        <v>53</v>
      </c>
      <c r="H53" s="6">
        <v>-14.55</v>
      </c>
      <c r="J53" s="6">
        <f t="shared" si="0"/>
        <v>1147.4599999999998</v>
      </c>
    </row>
    <row r="54" spans="2:10" x14ac:dyDescent="0.3">
      <c r="C54" s="9"/>
      <c r="E54" s="5">
        <v>44958</v>
      </c>
      <c r="F54" s="1" t="s">
        <v>8</v>
      </c>
      <c r="G54" s="1" t="s">
        <v>10</v>
      </c>
      <c r="H54" s="6">
        <v>4200</v>
      </c>
      <c r="I54" s="1" t="s">
        <v>81</v>
      </c>
      <c r="J54" s="6">
        <f t="shared" si="0"/>
        <v>5347.46</v>
      </c>
    </row>
    <row r="55" spans="2:10" x14ac:dyDescent="0.3">
      <c r="C55" s="9"/>
      <c r="E55" s="5">
        <v>44959</v>
      </c>
      <c r="F55" s="1" t="s">
        <v>16</v>
      </c>
      <c r="G55" s="1" t="s">
        <v>29</v>
      </c>
      <c r="H55" s="6">
        <v>-105</v>
      </c>
      <c r="I55" s="1" t="s">
        <v>27</v>
      </c>
      <c r="J55" s="6">
        <f t="shared" si="0"/>
        <v>5242.46</v>
      </c>
    </row>
    <row r="56" spans="2:10" x14ac:dyDescent="0.3">
      <c r="B56" s="5"/>
      <c r="E56" s="5">
        <v>44960</v>
      </c>
      <c r="F56" s="1" t="s">
        <v>18</v>
      </c>
      <c r="G56" s="1" t="s">
        <v>76</v>
      </c>
      <c r="H56" s="6">
        <v>-50</v>
      </c>
      <c r="J56" s="6">
        <f t="shared" si="0"/>
        <v>5192.46</v>
      </c>
    </row>
    <row r="57" spans="2:10" x14ac:dyDescent="0.3">
      <c r="B57" s="5"/>
      <c r="E57" s="5">
        <v>44960</v>
      </c>
      <c r="F57" s="1" t="s">
        <v>19</v>
      </c>
      <c r="G57" s="1" t="s">
        <v>76</v>
      </c>
      <c r="H57" s="6">
        <v>-60</v>
      </c>
      <c r="J57" s="6">
        <f t="shared" si="0"/>
        <v>5132.46</v>
      </c>
    </row>
    <row r="58" spans="2:10" x14ac:dyDescent="0.3">
      <c r="B58" s="5"/>
      <c r="E58" s="5">
        <v>44964</v>
      </c>
      <c r="F58" s="1" t="s">
        <v>20</v>
      </c>
      <c r="G58" s="1" t="s">
        <v>76</v>
      </c>
      <c r="H58" s="6">
        <v>-70</v>
      </c>
      <c r="J58" s="6">
        <f t="shared" si="0"/>
        <v>5062.46</v>
      </c>
    </row>
    <row r="59" spans="2:10" x14ac:dyDescent="0.3">
      <c r="B59" s="5"/>
      <c r="E59" s="5">
        <v>44965</v>
      </c>
      <c r="F59" s="1" t="s">
        <v>21</v>
      </c>
      <c r="G59" s="1" t="s">
        <v>76</v>
      </c>
      <c r="H59" s="6">
        <v>-421.5</v>
      </c>
      <c r="J59" s="6">
        <f t="shared" si="0"/>
        <v>4640.96</v>
      </c>
    </row>
    <row r="60" spans="2:10" x14ac:dyDescent="0.3">
      <c r="B60" s="5"/>
      <c r="E60" s="5">
        <v>44965</v>
      </c>
      <c r="F60" s="1" t="s">
        <v>22</v>
      </c>
      <c r="G60" s="1" t="s">
        <v>76</v>
      </c>
      <c r="H60" s="6">
        <v>-302.25</v>
      </c>
      <c r="J60" s="6">
        <f t="shared" si="0"/>
        <v>4338.71</v>
      </c>
    </row>
    <row r="61" spans="2:10" x14ac:dyDescent="0.3">
      <c r="B61" s="5"/>
      <c r="E61" s="5">
        <v>44966</v>
      </c>
      <c r="F61" s="1" t="s">
        <v>23</v>
      </c>
      <c r="G61" s="1" t="s">
        <v>76</v>
      </c>
      <c r="H61" s="6">
        <v>-187.85</v>
      </c>
      <c r="J61" s="6">
        <f t="shared" si="0"/>
        <v>4150.8599999999997</v>
      </c>
    </row>
    <row r="62" spans="2:10" x14ac:dyDescent="0.3">
      <c r="B62" s="5"/>
      <c r="E62" s="5">
        <v>44966</v>
      </c>
      <c r="F62" s="1" t="s">
        <v>24</v>
      </c>
      <c r="G62" s="1" t="s">
        <v>76</v>
      </c>
      <c r="H62" s="6">
        <v>-56</v>
      </c>
      <c r="J62" s="6">
        <f t="shared" si="0"/>
        <v>4094.8599999999997</v>
      </c>
    </row>
    <row r="63" spans="2:10" x14ac:dyDescent="0.3">
      <c r="B63" s="5"/>
      <c r="E63" s="5">
        <v>44968</v>
      </c>
      <c r="F63" s="1" t="s">
        <v>25</v>
      </c>
      <c r="G63" s="1" t="s">
        <v>76</v>
      </c>
      <c r="H63" s="6">
        <v>-35</v>
      </c>
      <c r="J63" s="6">
        <f t="shared" si="0"/>
        <v>4059.8599999999997</v>
      </c>
    </row>
    <row r="64" spans="2:10" x14ac:dyDescent="0.3">
      <c r="B64" s="5"/>
      <c r="E64" s="5">
        <v>44969</v>
      </c>
      <c r="F64" s="1" t="s">
        <v>26</v>
      </c>
      <c r="G64" s="1" t="s">
        <v>76</v>
      </c>
      <c r="H64" s="6">
        <v>-222</v>
      </c>
      <c r="J64" s="6">
        <f t="shared" si="0"/>
        <v>3837.8599999999997</v>
      </c>
    </row>
    <row r="65" spans="2:10" x14ac:dyDescent="0.3">
      <c r="B65" s="5"/>
      <c r="E65" s="5">
        <v>44969</v>
      </c>
      <c r="F65" s="1" t="s">
        <v>16</v>
      </c>
      <c r="G65" s="1" t="s">
        <v>76</v>
      </c>
      <c r="H65" s="6">
        <v>-253.47</v>
      </c>
      <c r="J65" s="6">
        <f t="shared" si="0"/>
        <v>3584.39</v>
      </c>
    </row>
    <row r="66" spans="2:10" x14ac:dyDescent="0.3">
      <c r="B66" s="5"/>
      <c r="E66" s="5">
        <v>44969</v>
      </c>
      <c r="F66" s="1" t="s">
        <v>18</v>
      </c>
      <c r="G66" s="1" t="s">
        <v>76</v>
      </c>
      <c r="H66" s="6">
        <v>-152</v>
      </c>
      <c r="J66" s="6">
        <f t="shared" si="0"/>
        <v>3432.39</v>
      </c>
    </row>
    <row r="67" spans="2:10" x14ac:dyDescent="0.3">
      <c r="B67" s="5"/>
      <c r="E67" s="5">
        <v>44970</v>
      </c>
      <c r="F67" s="1" t="s">
        <v>24</v>
      </c>
      <c r="G67" s="1" t="s">
        <v>76</v>
      </c>
      <c r="H67" s="6">
        <v>-25</v>
      </c>
      <c r="J67" s="6">
        <f t="shared" si="0"/>
        <v>3407.39</v>
      </c>
    </row>
    <row r="68" spans="2:10" x14ac:dyDescent="0.3">
      <c r="B68" s="5"/>
      <c r="E68" s="5">
        <v>44970</v>
      </c>
      <c r="F68" s="1" t="s">
        <v>19</v>
      </c>
      <c r="G68" s="1" t="s">
        <v>76</v>
      </c>
      <c r="H68" s="6">
        <v>-55</v>
      </c>
      <c r="J68" s="6">
        <f t="shared" si="0"/>
        <v>3352.39</v>
      </c>
    </row>
    <row r="69" spans="2:10" x14ac:dyDescent="0.3">
      <c r="B69" s="5"/>
      <c r="E69" s="5">
        <v>44971</v>
      </c>
      <c r="F69" s="1" t="s">
        <v>26</v>
      </c>
      <c r="G69" s="1" t="s">
        <v>76</v>
      </c>
      <c r="H69" s="6">
        <v>-154</v>
      </c>
      <c r="J69" s="6">
        <f t="shared" si="0"/>
        <v>3198.39</v>
      </c>
    </row>
    <row r="70" spans="2:10" x14ac:dyDescent="0.3">
      <c r="B70" s="5"/>
      <c r="E70" s="5">
        <v>44973</v>
      </c>
      <c r="F70" s="1" t="s">
        <v>24</v>
      </c>
      <c r="G70" s="1" t="s">
        <v>76</v>
      </c>
      <c r="H70" s="6">
        <v>-652.14</v>
      </c>
      <c r="J70" s="6">
        <f t="shared" si="0"/>
        <v>2546.25</v>
      </c>
    </row>
    <row r="71" spans="2:10" x14ac:dyDescent="0.3">
      <c r="B71" s="5"/>
      <c r="E71" s="5">
        <v>44974</v>
      </c>
      <c r="F71" s="1" t="s">
        <v>19</v>
      </c>
      <c r="G71" s="1" t="s">
        <v>76</v>
      </c>
      <c r="H71" s="6">
        <v>-55</v>
      </c>
      <c r="J71" s="6">
        <f t="shared" si="0"/>
        <v>2491.25</v>
      </c>
    </row>
    <row r="72" spans="2:10" x14ac:dyDescent="0.3">
      <c r="B72" s="5"/>
      <c r="E72" s="5">
        <v>44975</v>
      </c>
      <c r="F72" s="1" t="s">
        <v>25</v>
      </c>
      <c r="G72" s="1" t="s">
        <v>76</v>
      </c>
      <c r="H72" s="6">
        <v>-58</v>
      </c>
      <c r="J72" s="6">
        <f t="shared" ref="J72:J115" si="1">IF(E72, J71+H72, "")</f>
        <v>2433.25</v>
      </c>
    </row>
    <row r="73" spans="2:10" x14ac:dyDescent="0.3">
      <c r="B73" s="5"/>
      <c r="E73" s="5">
        <v>44975</v>
      </c>
      <c r="F73" s="1" t="s">
        <v>19</v>
      </c>
      <c r="G73" s="1" t="s">
        <v>76</v>
      </c>
      <c r="H73" s="6">
        <v>-56</v>
      </c>
      <c r="J73" s="6">
        <f t="shared" si="1"/>
        <v>2377.25</v>
      </c>
    </row>
    <row r="74" spans="2:10" x14ac:dyDescent="0.3">
      <c r="B74" s="5"/>
      <c r="E74" s="5">
        <v>44977</v>
      </c>
      <c r="F74" s="1" t="s">
        <v>26</v>
      </c>
      <c r="G74" s="1" t="s">
        <v>76</v>
      </c>
      <c r="H74" s="6">
        <v>-405</v>
      </c>
      <c r="J74" s="6">
        <f t="shared" si="1"/>
        <v>1972.25</v>
      </c>
    </row>
    <row r="75" spans="2:10" x14ac:dyDescent="0.3">
      <c r="B75" s="5"/>
      <c r="E75" s="5">
        <v>44977</v>
      </c>
      <c r="F75" s="1" t="s">
        <v>19</v>
      </c>
      <c r="G75" s="1" t="s">
        <v>76</v>
      </c>
      <c r="H75" s="6">
        <v>-217</v>
      </c>
      <c r="J75" s="6">
        <f t="shared" si="1"/>
        <v>1755.25</v>
      </c>
    </row>
    <row r="76" spans="2:10" x14ac:dyDescent="0.3">
      <c r="B76" s="5"/>
      <c r="E76" s="5">
        <v>44979</v>
      </c>
      <c r="F76" s="1" t="s">
        <v>24</v>
      </c>
      <c r="G76" s="1" t="s">
        <v>76</v>
      </c>
      <c r="H76" s="6">
        <v>-25</v>
      </c>
      <c r="J76" s="6">
        <f t="shared" si="1"/>
        <v>1730.25</v>
      </c>
    </row>
    <row r="77" spans="2:10" x14ac:dyDescent="0.3">
      <c r="B77" s="5"/>
      <c r="E77" s="5">
        <v>44979</v>
      </c>
      <c r="F77" s="1" t="s">
        <v>19</v>
      </c>
      <c r="G77" s="1" t="s">
        <v>76</v>
      </c>
      <c r="H77" s="6">
        <v>-204</v>
      </c>
      <c r="J77" s="6">
        <f t="shared" si="1"/>
        <v>1526.25</v>
      </c>
    </row>
    <row r="78" spans="2:10" x14ac:dyDescent="0.3">
      <c r="B78" s="5"/>
      <c r="E78" s="5">
        <v>44979</v>
      </c>
      <c r="F78" s="1" t="s">
        <v>20</v>
      </c>
      <c r="G78" s="1" t="s">
        <v>76</v>
      </c>
      <c r="H78" s="6">
        <v>-95</v>
      </c>
      <c r="J78" s="6">
        <f t="shared" si="1"/>
        <v>1431.25</v>
      </c>
    </row>
    <row r="79" spans="2:10" x14ac:dyDescent="0.3">
      <c r="B79" s="5"/>
      <c r="E79" s="5">
        <v>44980</v>
      </c>
      <c r="F79" s="1" t="s">
        <v>8</v>
      </c>
      <c r="G79" s="1" t="s">
        <v>77</v>
      </c>
      <c r="H79" s="6">
        <v>200</v>
      </c>
      <c r="I79" s="1" t="s">
        <v>48</v>
      </c>
      <c r="J79" s="6">
        <f t="shared" si="1"/>
        <v>1631.25</v>
      </c>
    </row>
    <row r="80" spans="2:10" x14ac:dyDescent="0.3">
      <c r="B80" s="5"/>
      <c r="E80" s="5">
        <v>44981</v>
      </c>
      <c r="F80" s="1" t="s">
        <v>25</v>
      </c>
      <c r="G80" s="1" t="s">
        <v>76</v>
      </c>
      <c r="H80" s="6">
        <v>-625</v>
      </c>
      <c r="J80" s="6">
        <f t="shared" si="1"/>
        <v>1006.25</v>
      </c>
    </row>
    <row r="81" spans="2:10" x14ac:dyDescent="0.3">
      <c r="B81" s="5"/>
      <c r="E81" s="5">
        <v>44981</v>
      </c>
      <c r="F81" s="1" t="s">
        <v>26</v>
      </c>
      <c r="G81" s="1" t="s">
        <v>76</v>
      </c>
      <c r="H81" s="6">
        <v>-45</v>
      </c>
      <c r="J81" s="6">
        <f t="shared" si="1"/>
        <v>961.25</v>
      </c>
    </row>
    <row r="82" spans="2:10" x14ac:dyDescent="0.3">
      <c r="B82" s="5"/>
      <c r="E82" s="5">
        <v>44981</v>
      </c>
      <c r="F82" s="1" t="s">
        <v>19</v>
      </c>
      <c r="G82" s="1" t="s">
        <v>76</v>
      </c>
      <c r="H82" s="6">
        <v>-25</v>
      </c>
      <c r="J82" s="6">
        <f t="shared" si="1"/>
        <v>936.25</v>
      </c>
    </row>
    <row r="83" spans="2:10" x14ac:dyDescent="0.3">
      <c r="B83" s="5"/>
      <c r="E83" s="5">
        <v>44983</v>
      </c>
      <c r="F83" s="1" t="s">
        <v>18</v>
      </c>
      <c r="G83" s="1" t="s">
        <v>76</v>
      </c>
      <c r="H83" s="6">
        <v>-55</v>
      </c>
      <c r="J83" s="6">
        <f t="shared" si="1"/>
        <v>881.25</v>
      </c>
    </row>
    <row r="84" spans="2:10" x14ac:dyDescent="0.3">
      <c r="B84" s="5"/>
      <c r="E84" s="5">
        <v>44983</v>
      </c>
      <c r="F84" s="1" t="s">
        <v>25</v>
      </c>
      <c r="G84" s="1" t="s">
        <v>76</v>
      </c>
      <c r="H84" s="6">
        <v>-47</v>
      </c>
      <c r="J84" s="6">
        <f t="shared" si="1"/>
        <v>834.25</v>
      </c>
    </row>
    <row r="85" spans="2:10" x14ac:dyDescent="0.3">
      <c r="B85" s="5"/>
      <c r="E85" s="5">
        <v>44983</v>
      </c>
      <c r="F85" s="1" t="s">
        <v>18</v>
      </c>
      <c r="G85" s="1" t="s">
        <v>76</v>
      </c>
      <c r="H85" s="6">
        <v>-11</v>
      </c>
      <c r="J85" s="6">
        <f t="shared" si="1"/>
        <v>823.25</v>
      </c>
    </row>
    <row r="86" spans="2:10" x14ac:dyDescent="0.3">
      <c r="B86" s="5"/>
      <c r="E86" s="5">
        <v>44983</v>
      </c>
      <c r="F86" s="1" t="s">
        <v>8</v>
      </c>
      <c r="G86" s="1" t="s">
        <v>79</v>
      </c>
      <c r="H86" s="6">
        <v>300</v>
      </c>
      <c r="I86" s="1" t="s">
        <v>78</v>
      </c>
      <c r="J86" s="6">
        <f t="shared" si="1"/>
        <v>1123.25</v>
      </c>
    </row>
    <row r="87" spans="2:10" x14ac:dyDescent="0.3">
      <c r="B87" s="5"/>
      <c r="E87" s="5">
        <v>44985</v>
      </c>
      <c r="F87" s="1" t="s">
        <v>25</v>
      </c>
      <c r="G87" s="1" t="s">
        <v>76</v>
      </c>
      <c r="H87" s="6">
        <v>-5.88</v>
      </c>
      <c r="J87" s="6">
        <f t="shared" si="1"/>
        <v>1117.3699999999999</v>
      </c>
    </row>
    <row r="88" spans="2:10" x14ac:dyDescent="0.3">
      <c r="B88" s="5"/>
      <c r="E88" s="5">
        <v>44985</v>
      </c>
      <c r="F88" s="1" t="s">
        <v>18</v>
      </c>
      <c r="G88" s="1" t="s">
        <v>76</v>
      </c>
      <c r="H88" s="6">
        <v>-14</v>
      </c>
      <c r="J88" s="6">
        <f t="shared" si="1"/>
        <v>1103.3699999999999</v>
      </c>
    </row>
    <row r="89" spans="2:10" x14ac:dyDescent="0.3">
      <c r="B89" s="5"/>
      <c r="E89" s="5">
        <v>44986</v>
      </c>
      <c r="F89" s="1" t="s">
        <v>8</v>
      </c>
      <c r="G89" s="1" t="s">
        <v>10</v>
      </c>
      <c r="H89" s="6">
        <v>3600</v>
      </c>
      <c r="I89" s="1" t="s">
        <v>80</v>
      </c>
      <c r="J89" s="6">
        <f t="shared" si="1"/>
        <v>4703.37</v>
      </c>
    </row>
    <row r="90" spans="2:10" x14ac:dyDescent="0.3">
      <c r="B90" s="5"/>
      <c r="E90" s="5">
        <v>44988</v>
      </c>
      <c r="F90" s="1" t="s">
        <v>16</v>
      </c>
      <c r="G90" s="1" t="s">
        <v>29</v>
      </c>
      <c r="H90" s="6">
        <v>-105</v>
      </c>
      <c r="I90" s="1" t="s">
        <v>27</v>
      </c>
      <c r="J90" s="6">
        <f t="shared" si="1"/>
        <v>4598.37</v>
      </c>
    </row>
    <row r="91" spans="2:10" x14ac:dyDescent="0.3">
      <c r="B91" s="5"/>
      <c r="E91" s="5">
        <v>44989</v>
      </c>
      <c r="F91" s="1" t="s">
        <v>19</v>
      </c>
      <c r="G91" s="1" t="s">
        <v>76</v>
      </c>
      <c r="H91" s="6">
        <v>-450</v>
      </c>
      <c r="J91" s="6">
        <f t="shared" si="1"/>
        <v>4148.37</v>
      </c>
    </row>
    <row r="92" spans="2:10" x14ac:dyDescent="0.3">
      <c r="B92" s="5"/>
      <c r="E92" s="5">
        <v>44990</v>
      </c>
      <c r="F92" s="1" t="s">
        <v>20</v>
      </c>
      <c r="G92" s="1" t="s">
        <v>76</v>
      </c>
      <c r="H92" s="6">
        <v>-56</v>
      </c>
      <c r="J92" s="6">
        <f t="shared" si="1"/>
        <v>4092.37</v>
      </c>
    </row>
    <row r="93" spans="2:10" x14ac:dyDescent="0.3">
      <c r="B93" s="5"/>
      <c r="E93" s="5">
        <v>44995</v>
      </c>
      <c r="F93" s="1" t="s">
        <v>21</v>
      </c>
      <c r="G93" s="1" t="s">
        <v>76</v>
      </c>
      <c r="H93" s="6">
        <v>-54.17</v>
      </c>
      <c r="J93" s="6">
        <f t="shared" si="1"/>
        <v>4038.2</v>
      </c>
    </row>
    <row r="94" spans="2:10" x14ac:dyDescent="0.3">
      <c r="B94" s="5"/>
      <c r="E94" s="5">
        <v>44996</v>
      </c>
      <c r="F94" s="1" t="s">
        <v>22</v>
      </c>
      <c r="G94" s="1" t="s">
        <v>76</v>
      </c>
      <c r="H94" s="6">
        <v>-99.99</v>
      </c>
      <c r="J94" s="6">
        <f t="shared" si="1"/>
        <v>3938.21</v>
      </c>
    </row>
    <row r="95" spans="2:10" x14ac:dyDescent="0.3">
      <c r="B95" s="5"/>
      <c r="E95" s="5">
        <v>44996</v>
      </c>
      <c r="F95" s="1" t="s">
        <v>23</v>
      </c>
      <c r="G95" s="1" t="s">
        <v>76</v>
      </c>
      <c r="H95" s="6">
        <v>-356</v>
      </c>
      <c r="J95" s="6">
        <f t="shared" si="1"/>
        <v>3582.21</v>
      </c>
    </row>
    <row r="96" spans="2:10" x14ac:dyDescent="0.3">
      <c r="B96" s="5"/>
      <c r="E96" s="5">
        <v>44997</v>
      </c>
      <c r="F96" s="1" t="s">
        <v>24</v>
      </c>
      <c r="G96" s="1" t="s">
        <v>76</v>
      </c>
      <c r="H96" s="6">
        <v>-58.25</v>
      </c>
      <c r="J96" s="6">
        <f t="shared" si="1"/>
        <v>3523.96</v>
      </c>
    </row>
    <row r="97" spans="2:10" x14ac:dyDescent="0.3">
      <c r="B97" s="5"/>
      <c r="E97" s="5">
        <v>44997</v>
      </c>
      <c r="F97" s="1" t="s">
        <v>25</v>
      </c>
      <c r="G97" s="1" t="s">
        <v>76</v>
      </c>
      <c r="H97" s="6">
        <v>-66.239999999999995</v>
      </c>
      <c r="J97" s="6">
        <f t="shared" si="1"/>
        <v>3457.7200000000003</v>
      </c>
    </row>
    <row r="98" spans="2:10" x14ac:dyDescent="0.3">
      <c r="B98" s="5"/>
      <c r="E98" s="5">
        <v>45000</v>
      </c>
      <c r="F98" s="1" t="s">
        <v>26</v>
      </c>
      <c r="G98" s="1" t="s">
        <v>76</v>
      </c>
      <c r="H98" s="6">
        <v>-72.150000000000006</v>
      </c>
      <c r="J98" s="6">
        <f t="shared" si="1"/>
        <v>3385.57</v>
      </c>
    </row>
    <row r="99" spans="2:10" x14ac:dyDescent="0.3">
      <c r="B99" s="5"/>
      <c r="E99" s="5">
        <v>45000</v>
      </c>
      <c r="F99" s="1" t="s">
        <v>16</v>
      </c>
      <c r="G99" s="1" t="s">
        <v>76</v>
      </c>
      <c r="H99" s="6">
        <v>-90</v>
      </c>
      <c r="J99" s="6">
        <f t="shared" si="1"/>
        <v>3295.57</v>
      </c>
    </row>
    <row r="100" spans="2:10" x14ac:dyDescent="0.3">
      <c r="B100" s="5"/>
      <c r="E100" s="5">
        <v>45002</v>
      </c>
      <c r="F100" s="1" t="s">
        <v>18</v>
      </c>
      <c r="G100" s="1" t="s">
        <v>76</v>
      </c>
      <c r="H100" s="6">
        <v>-107</v>
      </c>
      <c r="J100" s="6">
        <f t="shared" si="1"/>
        <v>3188.57</v>
      </c>
    </row>
    <row r="101" spans="2:10" x14ac:dyDescent="0.3">
      <c r="B101" s="5"/>
      <c r="E101" s="5">
        <v>45002</v>
      </c>
      <c r="F101" s="1" t="s">
        <v>26</v>
      </c>
      <c r="G101" s="1" t="s">
        <v>76</v>
      </c>
      <c r="H101" s="6">
        <v>-25</v>
      </c>
      <c r="J101" s="6">
        <f t="shared" si="1"/>
        <v>3163.57</v>
      </c>
    </row>
    <row r="102" spans="2:10" x14ac:dyDescent="0.3">
      <c r="B102" s="5"/>
      <c r="E102" s="5">
        <v>45002</v>
      </c>
      <c r="F102" s="1" t="s">
        <v>25</v>
      </c>
      <c r="G102" s="1" t="s">
        <v>76</v>
      </c>
      <c r="H102" s="6">
        <v>-45</v>
      </c>
      <c r="J102" s="6">
        <f t="shared" si="1"/>
        <v>3118.57</v>
      </c>
    </row>
    <row r="103" spans="2:10" x14ac:dyDescent="0.3">
      <c r="B103" s="5"/>
      <c r="E103" s="5">
        <v>45003</v>
      </c>
      <c r="F103" s="1" t="s">
        <v>26</v>
      </c>
      <c r="G103" s="1" t="s">
        <v>76</v>
      </c>
      <c r="H103" s="6">
        <v>-65</v>
      </c>
      <c r="J103" s="6">
        <f t="shared" si="1"/>
        <v>3053.57</v>
      </c>
    </row>
    <row r="104" spans="2:10" x14ac:dyDescent="0.3">
      <c r="B104" s="5"/>
      <c r="E104" s="5">
        <v>45005</v>
      </c>
      <c r="F104" s="1" t="s">
        <v>20</v>
      </c>
      <c r="G104" s="1" t="s">
        <v>76</v>
      </c>
      <c r="H104" s="6">
        <v>-87</v>
      </c>
      <c r="J104" s="6">
        <f t="shared" si="1"/>
        <v>2966.57</v>
      </c>
    </row>
    <row r="105" spans="2:10" x14ac:dyDescent="0.3">
      <c r="B105" s="5"/>
      <c r="E105" s="5">
        <v>45006</v>
      </c>
      <c r="F105" s="1" t="s">
        <v>21</v>
      </c>
      <c r="G105" s="1" t="s">
        <v>76</v>
      </c>
      <c r="H105" s="6">
        <v>-66.23</v>
      </c>
      <c r="J105" s="6">
        <f t="shared" si="1"/>
        <v>2900.34</v>
      </c>
    </row>
    <row r="106" spans="2:10" x14ac:dyDescent="0.3">
      <c r="B106" s="5"/>
      <c r="E106" s="5">
        <v>45007</v>
      </c>
      <c r="F106" s="1" t="s">
        <v>25</v>
      </c>
      <c r="G106" s="1" t="s">
        <v>76</v>
      </c>
      <c r="H106" s="6">
        <v>-44</v>
      </c>
      <c r="J106" s="6">
        <f t="shared" si="1"/>
        <v>2856.34</v>
      </c>
    </row>
    <row r="107" spans="2:10" x14ac:dyDescent="0.3">
      <c r="B107" s="5"/>
      <c r="E107" s="5">
        <v>45008</v>
      </c>
      <c r="F107" s="1" t="s">
        <v>24</v>
      </c>
      <c r="G107" s="1" t="s">
        <v>76</v>
      </c>
      <c r="H107" s="6">
        <v>-21</v>
      </c>
      <c r="J107" s="6">
        <f t="shared" si="1"/>
        <v>2835.34</v>
      </c>
    </row>
    <row r="108" spans="2:10" x14ac:dyDescent="0.3">
      <c r="B108" s="5"/>
      <c r="E108" s="5">
        <v>45009</v>
      </c>
      <c r="F108" s="1" t="s">
        <v>23</v>
      </c>
      <c r="G108" s="1" t="s">
        <v>76</v>
      </c>
      <c r="H108" s="6">
        <v>-17</v>
      </c>
      <c r="J108" s="6">
        <f t="shared" si="1"/>
        <v>2818.34</v>
      </c>
    </row>
    <row r="109" spans="2:10" x14ac:dyDescent="0.3">
      <c r="B109" s="5"/>
      <c r="E109" s="5">
        <v>45009</v>
      </c>
      <c r="F109" s="1" t="s">
        <v>24</v>
      </c>
      <c r="G109" s="1" t="s">
        <v>76</v>
      </c>
      <c r="H109" s="6">
        <v>-32</v>
      </c>
      <c r="J109" s="6">
        <f t="shared" si="1"/>
        <v>2786.34</v>
      </c>
    </row>
    <row r="110" spans="2:10" x14ac:dyDescent="0.3">
      <c r="B110" s="5"/>
      <c r="E110" s="5">
        <v>45009</v>
      </c>
      <c r="F110" s="1" t="s">
        <v>26</v>
      </c>
      <c r="G110" s="1" t="s">
        <v>76</v>
      </c>
      <c r="H110" s="6">
        <v>-33</v>
      </c>
      <c r="J110" s="6">
        <f t="shared" si="1"/>
        <v>2753.34</v>
      </c>
    </row>
    <row r="111" spans="2:10" x14ac:dyDescent="0.3">
      <c r="B111" s="5"/>
      <c r="E111" s="5">
        <v>45013</v>
      </c>
      <c r="F111" s="1" t="s">
        <v>24</v>
      </c>
      <c r="G111" s="1" t="s">
        <v>76</v>
      </c>
      <c r="H111" s="6">
        <v>-25</v>
      </c>
      <c r="J111" s="6">
        <f t="shared" si="1"/>
        <v>2728.34</v>
      </c>
    </row>
    <row r="112" spans="2:10" x14ac:dyDescent="0.3">
      <c r="B112" s="5"/>
      <c r="E112" s="5">
        <v>45014</v>
      </c>
      <c r="F112" s="1" t="s">
        <v>22</v>
      </c>
      <c r="G112" s="1" t="s">
        <v>76</v>
      </c>
      <c r="H112" s="6">
        <v>-450</v>
      </c>
      <c r="J112" s="6">
        <f t="shared" si="1"/>
        <v>2278.34</v>
      </c>
    </row>
    <row r="113" spans="2:10" x14ac:dyDescent="0.3">
      <c r="B113" s="5"/>
      <c r="E113" s="5">
        <v>45016</v>
      </c>
      <c r="F113" s="1" t="s">
        <v>26</v>
      </c>
      <c r="G113" s="1" t="s">
        <v>76</v>
      </c>
      <c r="H113" s="6">
        <v>-424</v>
      </c>
      <c r="J113" s="6">
        <f t="shared" si="1"/>
        <v>1854.3400000000001</v>
      </c>
    </row>
    <row r="114" spans="2:10" x14ac:dyDescent="0.3">
      <c r="E114" s="5">
        <v>45017</v>
      </c>
      <c r="F114" s="1" t="s">
        <v>8</v>
      </c>
      <c r="G114" s="1" t="s">
        <v>10</v>
      </c>
      <c r="H114" s="6">
        <v>4150</v>
      </c>
      <c r="I114" s="1" t="s">
        <v>82</v>
      </c>
      <c r="J114" s="6">
        <f t="shared" si="1"/>
        <v>6004.34</v>
      </c>
    </row>
    <row r="115" spans="2:10" x14ac:dyDescent="0.3">
      <c r="E115" s="5">
        <v>45019</v>
      </c>
      <c r="F115" s="1" t="s">
        <v>16</v>
      </c>
      <c r="G115" s="1" t="s">
        <v>29</v>
      </c>
      <c r="H115" s="6">
        <v>-105</v>
      </c>
      <c r="I115" s="1" t="s">
        <v>27</v>
      </c>
      <c r="J115" s="6">
        <f t="shared" si="1"/>
        <v>5899.34</v>
      </c>
    </row>
    <row r="116" spans="2:10" x14ac:dyDescent="0.3">
      <c r="E116" s="5">
        <v>45020</v>
      </c>
      <c r="F116" s="1" t="s">
        <v>26</v>
      </c>
      <c r="G116" s="1" t="s">
        <v>76</v>
      </c>
      <c r="H116" s="6">
        <v>-65.150000000000006</v>
      </c>
      <c r="J116" s="6">
        <f t="shared" ref="J116:J179" si="2">IF(E116, J115+H116, "")</f>
        <v>5834.1900000000005</v>
      </c>
    </row>
    <row r="117" spans="2:10" x14ac:dyDescent="0.3">
      <c r="J117" s="6" t="str">
        <f t="shared" si="2"/>
        <v/>
      </c>
    </row>
    <row r="118" spans="2:10" x14ac:dyDescent="0.3">
      <c r="J118" s="6" t="str">
        <f t="shared" si="2"/>
        <v/>
      </c>
    </row>
    <row r="119" spans="2:10" x14ac:dyDescent="0.3">
      <c r="J119" s="6" t="str">
        <f t="shared" si="2"/>
        <v/>
      </c>
    </row>
    <row r="120" spans="2:10" x14ac:dyDescent="0.3">
      <c r="J120" s="6" t="str">
        <f t="shared" si="2"/>
        <v/>
      </c>
    </row>
    <row r="121" spans="2:10" x14ac:dyDescent="0.3">
      <c r="J121" s="6" t="str">
        <f t="shared" si="2"/>
        <v/>
      </c>
    </row>
    <row r="122" spans="2:10" x14ac:dyDescent="0.3">
      <c r="J122" s="6" t="str">
        <f t="shared" si="2"/>
        <v/>
      </c>
    </row>
    <row r="123" spans="2:10" x14ac:dyDescent="0.3">
      <c r="J123" s="6" t="str">
        <f t="shared" si="2"/>
        <v/>
      </c>
    </row>
    <row r="124" spans="2:10" x14ac:dyDescent="0.3">
      <c r="J124" s="6" t="str">
        <f t="shared" si="2"/>
        <v/>
      </c>
    </row>
    <row r="125" spans="2:10" x14ac:dyDescent="0.3">
      <c r="J125" s="6" t="str">
        <f t="shared" si="2"/>
        <v/>
      </c>
    </row>
    <row r="126" spans="2:10" x14ac:dyDescent="0.3">
      <c r="J126" s="6" t="str">
        <f t="shared" si="2"/>
        <v/>
      </c>
    </row>
    <row r="127" spans="2:10" x14ac:dyDescent="0.3">
      <c r="J127" s="6" t="str">
        <f t="shared" si="2"/>
        <v/>
      </c>
    </row>
    <row r="128" spans="2:10" x14ac:dyDescent="0.3">
      <c r="J128" s="6" t="str">
        <f t="shared" si="2"/>
        <v/>
      </c>
    </row>
    <row r="129" spans="10:10" x14ac:dyDescent="0.3">
      <c r="J129" s="6" t="str">
        <f t="shared" si="2"/>
        <v/>
      </c>
    </row>
    <row r="130" spans="10:10" x14ac:dyDescent="0.3">
      <c r="J130" s="6" t="str">
        <f t="shared" si="2"/>
        <v/>
      </c>
    </row>
    <row r="131" spans="10:10" x14ac:dyDescent="0.3">
      <c r="J131" s="6" t="str">
        <f t="shared" si="2"/>
        <v/>
      </c>
    </row>
    <row r="132" spans="10:10" x14ac:dyDescent="0.3">
      <c r="J132" s="6" t="str">
        <f t="shared" si="2"/>
        <v/>
      </c>
    </row>
    <row r="133" spans="10:10" x14ac:dyDescent="0.3">
      <c r="J133" s="6" t="str">
        <f t="shared" si="2"/>
        <v/>
      </c>
    </row>
    <row r="134" spans="10:10" x14ac:dyDescent="0.3">
      <c r="J134" s="6" t="str">
        <f t="shared" si="2"/>
        <v/>
      </c>
    </row>
    <row r="135" spans="10:10" x14ac:dyDescent="0.3">
      <c r="J135" s="6" t="str">
        <f t="shared" si="2"/>
        <v/>
      </c>
    </row>
    <row r="136" spans="10:10" x14ac:dyDescent="0.3">
      <c r="J136" s="6" t="str">
        <f t="shared" si="2"/>
        <v/>
      </c>
    </row>
    <row r="137" spans="10:10" x14ac:dyDescent="0.3">
      <c r="J137" s="6" t="str">
        <f t="shared" si="2"/>
        <v/>
      </c>
    </row>
    <row r="138" spans="10:10" x14ac:dyDescent="0.3">
      <c r="J138" s="6" t="str">
        <f t="shared" si="2"/>
        <v/>
      </c>
    </row>
    <row r="139" spans="10:10" x14ac:dyDescent="0.3">
      <c r="J139" s="6" t="str">
        <f t="shared" si="2"/>
        <v/>
      </c>
    </row>
    <row r="140" spans="10:10" x14ac:dyDescent="0.3">
      <c r="J140" s="6" t="str">
        <f t="shared" si="2"/>
        <v/>
      </c>
    </row>
    <row r="141" spans="10:10" x14ac:dyDescent="0.3">
      <c r="J141" s="6" t="str">
        <f t="shared" si="2"/>
        <v/>
      </c>
    </row>
    <row r="142" spans="10:10" x14ac:dyDescent="0.3">
      <c r="J142" s="6" t="str">
        <f t="shared" si="2"/>
        <v/>
      </c>
    </row>
    <row r="143" spans="10:10" x14ac:dyDescent="0.3">
      <c r="J143" s="6" t="str">
        <f t="shared" si="2"/>
        <v/>
      </c>
    </row>
    <row r="144" spans="10:10" x14ac:dyDescent="0.3">
      <c r="J144" s="6" t="str">
        <f t="shared" si="2"/>
        <v/>
      </c>
    </row>
    <row r="145" spans="10:10" x14ac:dyDescent="0.3">
      <c r="J145" s="6" t="str">
        <f t="shared" si="2"/>
        <v/>
      </c>
    </row>
    <row r="146" spans="10:10" x14ac:dyDescent="0.3">
      <c r="J146" s="6" t="str">
        <f t="shared" si="2"/>
        <v/>
      </c>
    </row>
    <row r="147" spans="10:10" x14ac:dyDescent="0.3">
      <c r="J147" s="6" t="str">
        <f t="shared" si="2"/>
        <v/>
      </c>
    </row>
    <row r="148" spans="10:10" x14ac:dyDescent="0.3">
      <c r="J148" s="6" t="str">
        <f t="shared" si="2"/>
        <v/>
      </c>
    </row>
    <row r="149" spans="10:10" x14ac:dyDescent="0.3">
      <c r="J149" s="6" t="str">
        <f t="shared" si="2"/>
        <v/>
      </c>
    </row>
    <row r="150" spans="10:10" x14ac:dyDescent="0.3">
      <c r="J150" s="6" t="str">
        <f t="shared" si="2"/>
        <v/>
      </c>
    </row>
    <row r="151" spans="10:10" x14ac:dyDescent="0.3">
      <c r="J151" s="6" t="str">
        <f t="shared" si="2"/>
        <v/>
      </c>
    </row>
    <row r="152" spans="10:10" x14ac:dyDescent="0.3">
      <c r="J152" s="6" t="str">
        <f t="shared" si="2"/>
        <v/>
      </c>
    </row>
    <row r="153" spans="10:10" x14ac:dyDescent="0.3">
      <c r="J153" s="6" t="str">
        <f t="shared" si="2"/>
        <v/>
      </c>
    </row>
    <row r="154" spans="10:10" x14ac:dyDescent="0.3">
      <c r="J154" s="6" t="str">
        <f t="shared" si="2"/>
        <v/>
      </c>
    </row>
    <row r="155" spans="10:10" x14ac:dyDescent="0.3">
      <c r="J155" s="6" t="str">
        <f t="shared" si="2"/>
        <v/>
      </c>
    </row>
    <row r="156" spans="10:10" x14ac:dyDescent="0.3">
      <c r="J156" s="6" t="str">
        <f t="shared" si="2"/>
        <v/>
      </c>
    </row>
    <row r="157" spans="10:10" x14ac:dyDescent="0.3">
      <c r="J157" s="6" t="str">
        <f t="shared" si="2"/>
        <v/>
      </c>
    </row>
    <row r="158" spans="10:10" x14ac:dyDescent="0.3">
      <c r="J158" s="6" t="str">
        <f t="shared" si="2"/>
        <v/>
      </c>
    </row>
    <row r="159" spans="10:10" x14ac:dyDescent="0.3">
      <c r="J159" s="6" t="str">
        <f t="shared" si="2"/>
        <v/>
      </c>
    </row>
    <row r="160" spans="10:10" x14ac:dyDescent="0.3">
      <c r="J160" s="6" t="str">
        <f t="shared" si="2"/>
        <v/>
      </c>
    </row>
    <row r="161" spans="10:10" x14ac:dyDescent="0.3">
      <c r="J161" s="6" t="str">
        <f t="shared" si="2"/>
        <v/>
      </c>
    </row>
    <row r="162" spans="10:10" x14ac:dyDescent="0.3">
      <c r="J162" s="6" t="str">
        <f t="shared" si="2"/>
        <v/>
      </c>
    </row>
    <row r="163" spans="10:10" x14ac:dyDescent="0.3">
      <c r="J163" s="6" t="str">
        <f t="shared" si="2"/>
        <v/>
      </c>
    </row>
    <row r="164" spans="10:10" x14ac:dyDescent="0.3">
      <c r="J164" s="6" t="str">
        <f t="shared" si="2"/>
        <v/>
      </c>
    </row>
    <row r="165" spans="10:10" x14ac:dyDescent="0.3">
      <c r="J165" s="6" t="str">
        <f t="shared" si="2"/>
        <v/>
      </c>
    </row>
    <row r="166" spans="10:10" x14ac:dyDescent="0.3">
      <c r="J166" s="6" t="str">
        <f t="shared" si="2"/>
        <v/>
      </c>
    </row>
    <row r="167" spans="10:10" x14ac:dyDescent="0.3">
      <c r="J167" s="6" t="str">
        <f t="shared" si="2"/>
        <v/>
      </c>
    </row>
    <row r="168" spans="10:10" x14ac:dyDescent="0.3">
      <c r="J168" s="6" t="str">
        <f t="shared" si="2"/>
        <v/>
      </c>
    </row>
    <row r="169" spans="10:10" x14ac:dyDescent="0.3">
      <c r="J169" s="6" t="str">
        <f t="shared" si="2"/>
        <v/>
      </c>
    </row>
    <row r="170" spans="10:10" x14ac:dyDescent="0.3">
      <c r="J170" s="6" t="str">
        <f t="shared" si="2"/>
        <v/>
      </c>
    </row>
    <row r="171" spans="10:10" x14ac:dyDescent="0.3">
      <c r="J171" s="6" t="str">
        <f t="shared" si="2"/>
        <v/>
      </c>
    </row>
    <row r="172" spans="10:10" x14ac:dyDescent="0.3">
      <c r="J172" s="6" t="str">
        <f t="shared" si="2"/>
        <v/>
      </c>
    </row>
    <row r="173" spans="10:10" x14ac:dyDescent="0.3">
      <c r="J173" s="6" t="str">
        <f t="shared" si="2"/>
        <v/>
      </c>
    </row>
    <row r="174" spans="10:10" x14ac:dyDescent="0.3">
      <c r="J174" s="6" t="str">
        <f t="shared" si="2"/>
        <v/>
      </c>
    </row>
    <row r="175" spans="10:10" x14ac:dyDescent="0.3">
      <c r="J175" s="6" t="str">
        <f t="shared" si="2"/>
        <v/>
      </c>
    </row>
    <row r="176" spans="10:10" x14ac:dyDescent="0.3">
      <c r="J176" s="6" t="str">
        <f t="shared" si="2"/>
        <v/>
      </c>
    </row>
    <row r="177" spans="10:10" x14ac:dyDescent="0.3">
      <c r="J177" s="6" t="str">
        <f t="shared" si="2"/>
        <v/>
      </c>
    </row>
    <row r="178" spans="10:10" x14ac:dyDescent="0.3">
      <c r="J178" s="6" t="str">
        <f t="shared" si="2"/>
        <v/>
      </c>
    </row>
    <row r="179" spans="10:10" x14ac:dyDescent="0.3">
      <c r="J179" s="6" t="str">
        <f t="shared" si="2"/>
        <v/>
      </c>
    </row>
    <row r="180" spans="10:10" x14ac:dyDescent="0.3">
      <c r="J180" s="6" t="str">
        <f t="shared" ref="J180:J243" si="3">IF(E180, J179+H180, "")</f>
        <v/>
      </c>
    </row>
    <row r="181" spans="10:10" x14ac:dyDescent="0.3">
      <c r="J181" s="6" t="str">
        <f t="shared" si="3"/>
        <v/>
      </c>
    </row>
    <row r="182" spans="10:10" x14ac:dyDescent="0.3">
      <c r="J182" s="6" t="str">
        <f t="shared" si="3"/>
        <v/>
      </c>
    </row>
    <row r="183" spans="10:10" x14ac:dyDescent="0.3">
      <c r="J183" s="6" t="str">
        <f t="shared" si="3"/>
        <v/>
      </c>
    </row>
    <row r="184" spans="10:10" x14ac:dyDescent="0.3">
      <c r="J184" s="6" t="str">
        <f t="shared" si="3"/>
        <v/>
      </c>
    </row>
    <row r="185" spans="10:10" x14ac:dyDescent="0.3">
      <c r="J185" s="6" t="str">
        <f t="shared" si="3"/>
        <v/>
      </c>
    </row>
    <row r="186" spans="10:10" x14ac:dyDescent="0.3">
      <c r="J186" s="6" t="str">
        <f t="shared" si="3"/>
        <v/>
      </c>
    </row>
    <row r="187" spans="10:10" x14ac:dyDescent="0.3">
      <c r="J187" s="6" t="str">
        <f t="shared" si="3"/>
        <v/>
      </c>
    </row>
    <row r="188" spans="10:10" x14ac:dyDescent="0.3">
      <c r="J188" s="6" t="str">
        <f t="shared" si="3"/>
        <v/>
      </c>
    </row>
    <row r="189" spans="10:10" x14ac:dyDescent="0.3">
      <c r="J189" s="6" t="str">
        <f t="shared" si="3"/>
        <v/>
      </c>
    </row>
    <row r="190" spans="10:10" x14ac:dyDescent="0.3">
      <c r="J190" s="6" t="str">
        <f t="shared" si="3"/>
        <v/>
      </c>
    </row>
    <row r="191" spans="10:10" x14ac:dyDescent="0.3">
      <c r="J191" s="6" t="str">
        <f t="shared" si="3"/>
        <v/>
      </c>
    </row>
    <row r="192" spans="10:10" x14ac:dyDescent="0.3">
      <c r="J192" s="6" t="str">
        <f t="shared" si="3"/>
        <v/>
      </c>
    </row>
    <row r="193" spans="10:10" x14ac:dyDescent="0.3">
      <c r="J193" s="6" t="str">
        <f t="shared" si="3"/>
        <v/>
      </c>
    </row>
    <row r="194" spans="10:10" x14ac:dyDescent="0.3">
      <c r="J194" s="6" t="str">
        <f t="shared" si="3"/>
        <v/>
      </c>
    </row>
    <row r="195" spans="10:10" x14ac:dyDescent="0.3">
      <c r="J195" s="6" t="str">
        <f t="shared" si="3"/>
        <v/>
      </c>
    </row>
    <row r="196" spans="10:10" x14ac:dyDescent="0.3">
      <c r="J196" s="6" t="str">
        <f t="shared" si="3"/>
        <v/>
      </c>
    </row>
    <row r="197" spans="10:10" x14ac:dyDescent="0.3">
      <c r="J197" s="6" t="str">
        <f t="shared" si="3"/>
        <v/>
      </c>
    </row>
    <row r="198" spans="10:10" x14ac:dyDescent="0.3">
      <c r="J198" s="6" t="str">
        <f t="shared" si="3"/>
        <v/>
      </c>
    </row>
    <row r="199" spans="10:10" x14ac:dyDescent="0.3">
      <c r="J199" s="6" t="str">
        <f t="shared" si="3"/>
        <v/>
      </c>
    </row>
    <row r="200" spans="10:10" x14ac:dyDescent="0.3">
      <c r="J200" s="6" t="str">
        <f t="shared" si="3"/>
        <v/>
      </c>
    </row>
    <row r="201" spans="10:10" x14ac:dyDescent="0.3">
      <c r="J201" s="6" t="str">
        <f t="shared" si="3"/>
        <v/>
      </c>
    </row>
    <row r="202" spans="10:10" x14ac:dyDescent="0.3">
      <c r="J202" s="6" t="str">
        <f t="shared" si="3"/>
        <v/>
      </c>
    </row>
    <row r="203" spans="10:10" x14ac:dyDescent="0.3">
      <c r="J203" s="6" t="str">
        <f t="shared" si="3"/>
        <v/>
      </c>
    </row>
    <row r="204" spans="10:10" x14ac:dyDescent="0.3">
      <c r="J204" s="6" t="str">
        <f t="shared" si="3"/>
        <v/>
      </c>
    </row>
    <row r="205" spans="10:10" x14ac:dyDescent="0.3">
      <c r="J205" s="6" t="str">
        <f t="shared" si="3"/>
        <v/>
      </c>
    </row>
    <row r="206" spans="10:10" x14ac:dyDescent="0.3">
      <c r="J206" s="6" t="str">
        <f t="shared" si="3"/>
        <v/>
      </c>
    </row>
    <row r="207" spans="10:10" x14ac:dyDescent="0.3">
      <c r="J207" s="6" t="str">
        <f t="shared" si="3"/>
        <v/>
      </c>
    </row>
    <row r="208" spans="10:10" x14ac:dyDescent="0.3">
      <c r="J208" s="6" t="str">
        <f t="shared" si="3"/>
        <v/>
      </c>
    </row>
    <row r="209" spans="10:10" x14ac:dyDescent="0.3">
      <c r="J209" s="6" t="str">
        <f t="shared" si="3"/>
        <v/>
      </c>
    </row>
    <row r="210" spans="10:10" x14ac:dyDescent="0.3">
      <c r="J210" s="6" t="str">
        <f t="shared" si="3"/>
        <v/>
      </c>
    </row>
    <row r="211" spans="10:10" x14ac:dyDescent="0.3">
      <c r="J211" s="6" t="str">
        <f t="shared" si="3"/>
        <v/>
      </c>
    </row>
    <row r="212" spans="10:10" x14ac:dyDescent="0.3">
      <c r="J212" s="6" t="str">
        <f t="shared" si="3"/>
        <v/>
      </c>
    </row>
    <row r="213" spans="10:10" x14ac:dyDescent="0.3">
      <c r="J213" s="6" t="str">
        <f t="shared" si="3"/>
        <v/>
      </c>
    </row>
    <row r="214" spans="10:10" x14ac:dyDescent="0.3">
      <c r="J214" s="6" t="str">
        <f t="shared" si="3"/>
        <v/>
      </c>
    </row>
    <row r="215" spans="10:10" x14ac:dyDescent="0.3">
      <c r="J215" s="6" t="str">
        <f t="shared" si="3"/>
        <v/>
      </c>
    </row>
    <row r="216" spans="10:10" x14ac:dyDescent="0.3">
      <c r="J216" s="6" t="str">
        <f t="shared" si="3"/>
        <v/>
      </c>
    </row>
    <row r="217" spans="10:10" x14ac:dyDescent="0.3">
      <c r="J217" s="6" t="str">
        <f t="shared" si="3"/>
        <v/>
      </c>
    </row>
    <row r="218" spans="10:10" x14ac:dyDescent="0.3">
      <c r="J218" s="6" t="str">
        <f t="shared" si="3"/>
        <v/>
      </c>
    </row>
    <row r="219" spans="10:10" x14ac:dyDescent="0.3">
      <c r="J219" s="6" t="str">
        <f t="shared" si="3"/>
        <v/>
      </c>
    </row>
    <row r="220" spans="10:10" x14ac:dyDescent="0.3">
      <c r="J220" s="6" t="str">
        <f t="shared" si="3"/>
        <v/>
      </c>
    </row>
    <row r="221" spans="10:10" x14ac:dyDescent="0.3">
      <c r="J221" s="6" t="str">
        <f t="shared" si="3"/>
        <v/>
      </c>
    </row>
    <row r="222" spans="10:10" x14ac:dyDescent="0.3">
      <c r="J222" s="6" t="str">
        <f t="shared" si="3"/>
        <v/>
      </c>
    </row>
    <row r="223" spans="10:10" x14ac:dyDescent="0.3">
      <c r="J223" s="6" t="str">
        <f t="shared" si="3"/>
        <v/>
      </c>
    </row>
    <row r="224" spans="10:10" x14ac:dyDescent="0.3">
      <c r="J224" s="6" t="str">
        <f t="shared" si="3"/>
        <v/>
      </c>
    </row>
    <row r="225" spans="10:10" x14ac:dyDescent="0.3">
      <c r="J225" s="6" t="str">
        <f t="shared" si="3"/>
        <v/>
      </c>
    </row>
    <row r="226" spans="10:10" x14ac:dyDescent="0.3">
      <c r="J226" s="6" t="str">
        <f t="shared" si="3"/>
        <v/>
      </c>
    </row>
    <row r="227" spans="10:10" x14ac:dyDescent="0.3">
      <c r="J227" s="6" t="str">
        <f t="shared" si="3"/>
        <v/>
      </c>
    </row>
    <row r="228" spans="10:10" x14ac:dyDescent="0.3">
      <c r="J228" s="6" t="str">
        <f t="shared" si="3"/>
        <v/>
      </c>
    </row>
    <row r="229" spans="10:10" x14ac:dyDescent="0.3">
      <c r="J229" s="6" t="str">
        <f t="shared" si="3"/>
        <v/>
      </c>
    </row>
    <row r="230" spans="10:10" x14ac:dyDescent="0.3">
      <c r="J230" s="6" t="str">
        <f t="shared" si="3"/>
        <v/>
      </c>
    </row>
    <row r="231" spans="10:10" x14ac:dyDescent="0.3">
      <c r="J231" s="6" t="str">
        <f t="shared" si="3"/>
        <v/>
      </c>
    </row>
    <row r="232" spans="10:10" x14ac:dyDescent="0.3">
      <c r="J232" s="6" t="str">
        <f t="shared" si="3"/>
        <v/>
      </c>
    </row>
    <row r="233" spans="10:10" x14ac:dyDescent="0.3">
      <c r="J233" s="6" t="str">
        <f t="shared" si="3"/>
        <v/>
      </c>
    </row>
    <row r="234" spans="10:10" x14ac:dyDescent="0.3">
      <c r="J234" s="6" t="str">
        <f t="shared" si="3"/>
        <v/>
      </c>
    </row>
    <row r="235" spans="10:10" x14ac:dyDescent="0.3">
      <c r="J235" s="6" t="str">
        <f t="shared" si="3"/>
        <v/>
      </c>
    </row>
    <row r="236" spans="10:10" x14ac:dyDescent="0.3">
      <c r="J236" s="6" t="str">
        <f t="shared" si="3"/>
        <v/>
      </c>
    </row>
    <row r="237" spans="10:10" x14ac:dyDescent="0.3">
      <c r="J237" s="6" t="str">
        <f t="shared" si="3"/>
        <v/>
      </c>
    </row>
    <row r="238" spans="10:10" x14ac:dyDescent="0.3">
      <c r="J238" s="6" t="str">
        <f t="shared" si="3"/>
        <v/>
      </c>
    </row>
    <row r="239" spans="10:10" x14ac:dyDescent="0.3">
      <c r="J239" s="6" t="str">
        <f t="shared" si="3"/>
        <v/>
      </c>
    </row>
    <row r="240" spans="10:10" x14ac:dyDescent="0.3">
      <c r="J240" s="6" t="str">
        <f t="shared" si="3"/>
        <v/>
      </c>
    </row>
    <row r="241" spans="10:10" x14ac:dyDescent="0.3">
      <c r="J241" s="6" t="str">
        <f t="shared" si="3"/>
        <v/>
      </c>
    </row>
    <row r="242" spans="10:10" x14ac:dyDescent="0.3">
      <c r="J242" s="6" t="str">
        <f t="shared" si="3"/>
        <v/>
      </c>
    </row>
    <row r="243" spans="10:10" x14ac:dyDescent="0.3">
      <c r="J243" s="6" t="str">
        <f t="shared" si="3"/>
        <v/>
      </c>
    </row>
    <row r="244" spans="10:10" x14ac:dyDescent="0.3">
      <c r="J244" s="6" t="str">
        <f t="shared" ref="J244:J307" si="4">IF(E244, J243+H244, "")</f>
        <v/>
      </c>
    </row>
    <row r="245" spans="10:10" x14ac:dyDescent="0.3">
      <c r="J245" s="6" t="str">
        <f t="shared" si="4"/>
        <v/>
      </c>
    </row>
    <row r="246" spans="10:10" x14ac:dyDescent="0.3">
      <c r="J246" s="6" t="str">
        <f t="shared" si="4"/>
        <v/>
      </c>
    </row>
    <row r="247" spans="10:10" x14ac:dyDescent="0.3">
      <c r="J247" s="6" t="str">
        <f t="shared" si="4"/>
        <v/>
      </c>
    </row>
    <row r="248" spans="10:10" x14ac:dyDescent="0.3">
      <c r="J248" s="6" t="str">
        <f t="shared" si="4"/>
        <v/>
      </c>
    </row>
    <row r="249" spans="10:10" x14ac:dyDescent="0.3">
      <c r="J249" s="6" t="str">
        <f t="shared" si="4"/>
        <v/>
      </c>
    </row>
    <row r="250" spans="10:10" x14ac:dyDescent="0.3">
      <c r="J250" s="6" t="str">
        <f t="shared" si="4"/>
        <v/>
      </c>
    </row>
    <row r="251" spans="10:10" x14ac:dyDescent="0.3">
      <c r="J251" s="6" t="str">
        <f t="shared" si="4"/>
        <v/>
      </c>
    </row>
    <row r="252" spans="10:10" x14ac:dyDescent="0.3">
      <c r="J252" s="6" t="str">
        <f t="shared" si="4"/>
        <v/>
      </c>
    </row>
    <row r="253" spans="10:10" x14ac:dyDescent="0.3">
      <c r="J253" s="6" t="str">
        <f t="shared" si="4"/>
        <v/>
      </c>
    </row>
    <row r="254" spans="10:10" x14ac:dyDescent="0.3">
      <c r="J254" s="6" t="str">
        <f t="shared" si="4"/>
        <v/>
      </c>
    </row>
    <row r="255" spans="10:10" x14ac:dyDescent="0.3">
      <c r="J255" s="6" t="str">
        <f t="shared" si="4"/>
        <v/>
      </c>
    </row>
    <row r="256" spans="10:10" x14ac:dyDescent="0.3">
      <c r="J256" s="6" t="str">
        <f t="shared" si="4"/>
        <v/>
      </c>
    </row>
    <row r="257" spans="10:10" x14ac:dyDescent="0.3">
      <c r="J257" s="6" t="str">
        <f t="shared" si="4"/>
        <v/>
      </c>
    </row>
    <row r="258" spans="10:10" x14ac:dyDescent="0.3">
      <c r="J258" s="6" t="str">
        <f t="shared" si="4"/>
        <v/>
      </c>
    </row>
    <row r="259" spans="10:10" x14ac:dyDescent="0.3">
      <c r="J259" s="6" t="str">
        <f t="shared" si="4"/>
        <v/>
      </c>
    </row>
    <row r="260" spans="10:10" x14ac:dyDescent="0.3">
      <c r="J260" s="6" t="str">
        <f t="shared" si="4"/>
        <v/>
      </c>
    </row>
    <row r="261" spans="10:10" x14ac:dyDescent="0.3">
      <c r="J261" s="6" t="str">
        <f t="shared" si="4"/>
        <v/>
      </c>
    </row>
    <row r="262" spans="10:10" x14ac:dyDescent="0.3">
      <c r="J262" s="6" t="str">
        <f t="shared" si="4"/>
        <v/>
      </c>
    </row>
    <row r="263" spans="10:10" x14ac:dyDescent="0.3">
      <c r="J263" s="6" t="str">
        <f t="shared" si="4"/>
        <v/>
      </c>
    </row>
    <row r="264" spans="10:10" x14ac:dyDescent="0.3">
      <c r="J264" s="6" t="str">
        <f t="shared" si="4"/>
        <v/>
      </c>
    </row>
    <row r="265" spans="10:10" x14ac:dyDescent="0.3">
      <c r="J265" s="6" t="str">
        <f t="shared" si="4"/>
        <v/>
      </c>
    </row>
    <row r="266" spans="10:10" x14ac:dyDescent="0.3">
      <c r="J266" s="6" t="str">
        <f t="shared" si="4"/>
        <v/>
      </c>
    </row>
    <row r="267" spans="10:10" x14ac:dyDescent="0.3">
      <c r="J267" s="6" t="str">
        <f t="shared" si="4"/>
        <v/>
      </c>
    </row>
    <row r="268" spans="10:10" x14ac:dyDescent="0.3">
      <c r="J268" s="6" t="str">
        <f t="shared" si="4"/>
        <v/>
      </c>
    </row>
    <row r="269" spans="10:10" x14ac:dyDescent="0.3">
      <c r="J269" s="6" t="str">
        <f t="shared" si="4"/>
        <v/>
      </c>
    </row>
    <row r="270" spans="10:10" x14ac:dyDescent="0.3">
      <c r="J270" s="6" t="str">
        <f t="shared" si="4"/>
        <v/>
      </c>
    </row>
    <row r="271" spans="10:10" x14ac:dyDescent="0.3">
      <c r="J271" s="6" t="str">
        <f t="shared" si="4"/>
        <v/>
      </c>
    </row>
    <row r="272" spans="10:10" x14ac:dyDescent="0.3">
      <c r="J272" s="6" t="str">
        <f t="shared" si="4"/>
        <v/>
      </c>
    </row>
    <row r="273" spans="10:10" x14ac:dyDescent="0.3">
      <c r="J273" s="6" t="str">
        <f t="shared" si="4"/>
        <v/>
      </c>
    </row>
    <row r="274" spans="10:10" x14ac:dyDescent="0.3">
      <c r="J274" s="6" t="str">
        <f t="shared" si="4"/>
        <v/>
      </c>
    </row>
    <row r="275" spans="10:10" x14ac:dyDescent="0.3">
      <c r="J275" s="6" t="str">
        <f t="shared" si="4"/>
        <v/>
      </c>
    </row>
    <row r="276" spans="10:10" x14ac:dyDescent="0.3">
      <c r="J276" s="6" t="str">
        <f t="shared" si="4"/>
        <v/>
      </c>
    </row>
    <row r="277" spans="10:10" x14ac:dyDescent="0.3">
      <c r="J277" s="6" t="str">
        <f t="shared" si="4"/>
        <v/>
      </c>
    </row>
    <row r="278" spans="10:10" x14ac:dyDescent="0.3">
      <c r="J278" s="6" t="str">
        <f t="shared" si="4"/>
        <v/>
      </c>
    </row>
    <row r="279" spans="10:10" x14ac:dyDescent="0.3">
      <c r="J279" s="6" t="str">
        <f t="shared" si="4"/>
        <v/>
      </c>
    </row>
    <row r="280" spans="10:10" x14ac:dyDescent="0.3">
      <c r="J280" s="6" t="str">
        <f t="shared" si="4"/>
        <v/>
      </c>
    </row>
    <row r="281" spans="10:10" x14ac:dyDescent="0.3">
      <c r="J281" s="6" t="str">
        <f t="shared" si="4"/>
        <v/>
      </c>
    </row>
    <row r="282" spans="10:10" x14ac:dyDescent="0.3">
      <c r="J282" s="6" t="str">
        <f t="shared" si="4"/>
        <v/>
      </c>
    </row>
    <row r="283" spans="10:10" x14ac:dyDescent="0.3">
      <c r="J283" s="6" t="str">
        <f t="shared" si="4"/>
        <v/>
      </c>
    </row>
    <row r="284" spans="10:10" x14ac:dyDescent="0.3">
      <c r="J284" s="6" t="str">
        <f t="shared" si="4"/>
        <v/>
      </c>
    </row>
    <row r="285" spans="10:10" x14ac:dyDescent="0.3">
      <c r="J285" s="6" t="str">
        <f t="shared" si="4"/>
        <v/>
      </c>
    </row>
    <row r="286" spans="10:10" x14ac:dyDescent="0.3">
      <c r="J286" s="6" t="str">
        <f t="shared" si="4"/>
        <v/>
      </c>
    </row>
    <row r="287" spans="10:10" x14ac:dyDescent="0.3">
      <c r="J287" s="6" t="str">
        <f t="shared" si="4"/>
        <v/>
      </c>
    </row>
    <row r="288" spans="10:10" x14ac:dyDescent="0.3">
      <c r="J288" s="6" t="str">
        <f t="shared" si="4"/>
        <v/>
      </c>
    </row>
    <row r="289" spans="10:10" x14ac:dyDescent="0.3">
      <c r="J289" s="6" t="str">
        <f t="shared" si="4"/>
        <v/>
      </c>
    </row>
    <row r="290" spans="10:10" x14ac:dyDescent="0.3">
      <c r="J290" s="6" t="str">
        <f t="shared" si="4"/>
        <v/>
      </c>
    </row>
    <row r="291" spans="10:10" x14ac:dyDescent="0.3">
      <c r="J291" s="6" t="str">
        <f t="shared" si="4"/>
        <v/>
      </c>
    </row>
    <row r="292" spans="10:10" x14ac:dyDescent="0.3">
      <c r="J292" s="6" t="str">
        <f t="shared" si="4"/>
        <v/>
      </c>
    </row>
    <row r="293" spans="10:10" x14ac:dyDescent="0.3">
      <c r="J293" s="6" t="str">
        <f t="shared" si="4"/>
        <v/>
      </c>
    </row>
    <row r="294" spans="10:10" x14ac:dyDescent="0.3">
      <c r="J294" s="6" t="str">
        <f t="shared" si="4"/>
        <v/>
      </c>
    </row>
    <row r="295" spans="10:10" x14ac:dyDescent="0.3">
      <c r="J295" s="6" t="str">
        <f t="shared" si="4"/>
        <v/>
      </c>
    </row>
    <row r="296" spans="10:10" x14ac:dyDescent="0.3">
      <c r="J296" s="6" t="str">
        <f t="shared" si="4"/>
        <v/>
      </c>
    </row>
    <row r="297" spans="10:10" x14ac:dyDescent="0.3">
      <c r="J297" s="6" t="str">
        <f t="shared" si="4"/>
        <v/>
      </c>
    </row>
    <row r="298" spans="10:10" x14ac:dyDescent="0.3">
      <c r="J298" s="6" t="str">
        <f t="shared" si="4"/>
        <v/>
      </c>
    </row>
    <row r="299" spans="10:10" x14ac:dyDescent="0.3">
      <c r="J299" s="6" t="str">
        <f t="shared" si="4"/>
        <v/>
      </c>
    </row>
    <row r="300" spans="10:10" x14ac:dyDescent="0.3">
      <c r="J300" s="6" t="str">
        <f t="shared" si="4"/>
        <v/>
      </c>
    </row>
    <row r="301" spans="10:10" x14ac:dyDescent="0.3">
      <c r="J301" s="6" t="str">
        <f t="shared" si="4"/>
        <v/>
      </c>
    </row>
    <row r="302" spans="10:10" x14ac:dyDescent="0.3">
      <c r="J302" s="6" t="str">
        <f t="shared" si="4"/>
        <v/>
      </c>
    </row>
    <row r="303" spans="10:10" x14ac:dyDescent="0.3">
      <c r="J303" s="6" t="str">
        <f t="shared" si="4"/>
        <v/>
      </c>
    </row>
    <row r="304" spans="10:10" x14ac:dyDescent="0.3">
      <c r="J304" s="6" t="str">
        <f t="shared" si="4"/>
        <v/>
      </c>
    </row>
    <row r="305" spans="10:10" x14ac:dyDescent="0.3">
      <c r="J305" s="6" t="str">
        <f t="shared" si="4"/>
        <v/>
      </c>
    </row>
    <row r="306" spans="10:10" x14ac:dyDescent="0.3">
      <c r="J306" s="6" t="str">
        <f t="shared" si="4"/>
        <v/>
      </c>
    </row>
    <row r="307" spans="10:10" x14ac:dyDescent="0.3">
      <c r="J307" s="6" t="str">
        <f t="shared" si="4"/>
        <v/>
      </c>
    </row>
    <row r="308" spans="10:10" x14ac:dyDescent="0.3">
      <c r="J308" s="6" t="str">
        <f t="shared" ref="J308:J371" si="5">IF(E308, J307+H308, "")</f>
        <v/>
      </c>
    </row>
    <row r="309" spans="10:10" x14ac:dyDescent="0.3">
      <c r="J309" s="6" t="str">
        <f t="shared" si="5"/>
        <v/>
      </c>
    </row>
    <row r="310" spans="10:10" x14ac:dyDescent="0.3">
      <c r="J310" s="6" t="str">
        <f t="shared" si="5"/>
        <v/>
      </c>
    </row>
    <row r="311" spans="10:10" x14ac:dyDescent="0.3">
      <c r="J311" s="6" t="str">
        <f t="shared" si="5"/>
        <v/>
      </c>
    </row>
    <row r="312" spans="10:10" x14ac:dyDescent="0.3">
      <c r="J312" s="6" t="str">
        <f t="shared" si="5"/>
        <v/>
      </c>
    </row>
    <row r="313" spans="10:10" x14ac:dyDescent="0.3">
      <c r="J313" s="6" t="str">
        <f t="shared" si="5"/>
        <v/>
      </c>
    </row>
    <row r="314" spans="10:10" x14ac:dyDescent="0.3">
      <c r="J314" s="6" t="str">
        <f t="shared" si="5"/>
        <v/>
      </c>
    </row>
    <row r="315" spans="10:10" x14ac:dyDescent="0.3">
      <c r="J315" s="6" t="str">
        <f t="shared" si="5"/>
        <v/>
      </c>
    </row>
    <row r="316" spans="10:10" x14ac:dyDescent="0.3">
      <c r="J316" s="6" t="str">
        <f t="shared" si="5"/>
        <v/>
      </c>
    </row>
    <row r="317" spans="10:10" x14ac:dyDescent="0.3">
      <c r="J317" s="6" t="str">
        <f t="shared" si="5"/>
        <v/>
      </c>
    </row>
    <row r="318" spans="10:10" x14ac:dyDescent="0.3">
      <c r="J318" s="6" t="str">
        <f t="shared" si="5"/>
        <v/>
      </c>
    </row>
    <row r="319" spans="10:10" x14ac:dyDescent="0.3">
      <c r="J319" s="6" t="str">
        <f t="shared" si="5"/>
        <v/>
      </c>
    </row>
    <row r="320" spans="10:10" x14ac:dyDescent="0.3">
      <c r="J320" s="6" t="str">
        <f t="shared" si="5"/>
        <v/>
      </c>
    </row>
    <row r="321" spans="10:10" x14ac:dyDescent="0.3">
      <c r="J321" s="6" t="str">
        <f t="shared" si="5"/>
        <v/>
      </c>
    </row>
    <row r="322" spans="10:10" x14ac:dyDescent="0.3">
      <c r="J322" s="6" t="str">
        <f t="shared" si="5"/>
        <v/>
      </c>
    </row>
    <row r="323" spans="10:10" x14ac:dyDescent="0.3">
      <c r="J323" s="6" t="str">
        <f t="shared" si="5"/>
        <v/>
      </c>
    </row>
    <row r="324" spans="10:10" x14ac:dyDescent="0.3">
      <c r="J324" s="6" t="str">
        <f t="shared" si="5"/>
        <v/>
      </c>
    </row>
    <row r="325" spans="10:10" x14ac:dyDescent="0.3">
      <c r="J325" s="6" t="str">
        <f t="shared" si="5"/>
        <v/>
      </c>
    </row>
    <row r="326" spans="10:10" x14ac:dyDescent="0.3">
      <c r="J326" s="6" t="str">
        <f t="shared" si="5"/>
        <v/>
      </c>
    </row>
    <row r="327" spans="10:10" x14ac:dyDescent="0.3">
      <c r="J327" s="6" t="str">
        <f t="shared" si="5"/>
        <v/>
      </c>
    </row>
    <row r="328" spans="10:10" x14ac:dyDescent="0.3">
      <c r="J328" s="6" t="str">
        <f t="shared" si="5"/>
        <v/>
      </c>
    </row>
    <row r="329" spans="10:10" x14ac:dyDescent="0.3">
      <c r="J329" s="6" t="str">
        <f t="shared" si="5"/>
        <v/>
      </c>
    </row>
    <row r="330" spans="10:10" x14ac:dyDescent="0.3">
      <c r="J330" s="6" t="str">
        <f t="shared" si="5"/>
        <v/>
      </c>
    </row>
    <row r="331" spans="10:10" x14ac:dyDescent="0.3">
      <c r="J331" s="6" t="str">
        <f t="shared" si="5"/>
        <v/>
      </c>
    </row>
    <row r="332" spans="10:10" x14ac:dyDescent="0.3">
      <c r="J332" s="6" t="str">
        <f t="shared" si="5"/>
        <v/>
      </c>
    </row>
    <row r="333" spans="10:10" x14ac:dyDescent="0.3">
      <c r="J333" s="6" t="str">
        <f t="shared" si="5"/>
        <v/>
      </c>
    </row>
    <row r="334" spans="10:10" x14ac:dyDescent="0.3">
      <c r="J334" s="6" t="str">
        <f t="shared" si="5"/>
        <v/>
      </c>
    </row>
    <row r="335" spans="10:10" x14ac:dyDescent="0.3">
      <c r="J335" s="6" t="str">
        <f t="shared" si="5"/>
        <v/>
      </c>
    </row>
    <row r="336" spans="10:10" x14ac:dyDescent="0.3">
      <c r="J336" s="6" t="str">
        <f t="shared" si="5"/>
        <v/>
      </c>
    </row>
    <row r="337" spans="10:10" x14ac:dyDescent="0.3">
      <c r="J337" s="6" t="str">
        <f t="shared" si="5"/>
        <v/>
      </c>
    </row>
    <row r="338" spans="10:10" x14ac:dyDescent="0.3">
      <c r="J338" s="6" t="str">
        <f t="shared" si="5"/>
        <v/>
      </c>
    </row>
    <row r="339" spans="10:10" x14ac:dyDescent="0.3">
      <c r="J339" s="6" t="str">
        <f t="shared" si="5"/>
        <v/>
      </c>
    </row>
    <row r="340" spans="10:10" x14ac:dyDescent="0.3">
      <c r="J340" s="6" t="str">
        <f t="shared" si="5"/>
        <v/>
      </c>
    </row>
    <row r="341" spans="10:10" x14ac:dyDescent="0.3">
      <c r="J341" s="6" t="str">
        <f t="shared" si="5"/>
        <v/>
      </c>
    </row>
    <row r="342" spans="10:10" x14ac:dyDescent="0.3">
      <c r="J342" s="6" t="str">
        <f t="shared" si="5"/>
        <v/>
      </c>
    </row>
    <row r="343" spans="10:10" x14ac:dyDescent="0.3">
      <c r="J343" s="6" t="str">
        <f t="shared" si="5"/>
        <v/>
      </c>
    </row>
    <row r="344" spans="10:10" x14ac:dyDescent="0.3">
      <c r="J344" s="6" t="str">
        <f t="shared" si="5"/>
        <v/>
      </c>
    </row>
    <row r="345" spans="10:10" x14ac:dyDescent="0.3">
      <c r="J345" s="6" t="str">
        <f t="shared" si="5"/>
        <v/>
      </c>
    </row>
    <row r="346" spans="10:10" x14ac:dyDescent="0.3">
      <c r="J346" s="6" t="str">
        <f t="shared" si="5"/>
        <v/>
      </c>
    </row>
    <row r="347" spans="10:10" x14ac:dyDescent="0.3">
      <c r="J347" s="6" t="str">
        <f t="shared" si="5"/>
        <v/>
      </c>
    </row>
    <row r="348" spans="10:10" x14ac:dyDescent="0.3">
      <c r="J348" s="6" t="str">
        <f t="shared" si="5"/>
        <v/>
      </c>
    </row>
    <row r="349" spans="10:10" x14ac:dyDescent="0.3">
      <c r="J349" s="6" t="str">
        <f t="shared" si="5"/>
        <v/>
      </c>
    </row>
    <row r="350" spans="10:10" x14ac:dyDescent="0.3">
      <c r="J350" s="6" t="str">
        <f t="shared" si="5"/>
        <v/>
      </c>
    </row>
    <row r="351" spans="10:10" x14ac:dyDescent="0.3">
      <c r="J351" s="6" t="str">
        <f t="shared" si="5"/>
        <v/>
      </c>
    </row>
    <row r="352" spans="10:10" x14ac:dyDescent="0.3">
      <c r="J352" s="6" t="str">
        <f t="shared" si="5"/>
        <v/>
      </c>
    </row>
    <row r="353" spans="10:10" x14ac:dyDescent="0.3">
      <c r="J353" s="6" t="str">
        <f t="shared" si="5"/>
        <v/>
      </c>
    </row>
    <row r="354" spans="10:10" x14ac:dyDescent="0.3">
      <c r="J354" s="6" t="str">
        <f t="shared" si="5"/>
        <v/>
      </c>
    </row>
    <row r="355" spans="10:10" x14ac:dyDescent="0.3">
      <c r="J355" s="6" t="str">
        <f t="shared" si="5"/>
        <v/>
      </c>
    </row>
    <row r="356" spans="10:10" x14ac:dyDescent="0.3">
      <c r="J356" s="6" t="str">
        <f t="shared" si="5"/>
        <v/>
      </c>
    </row>
    <row r="357" spans="10:10" x14ac:dyDescent="0.3">
      <c r="J357" s="6" t="str">
        <f t="shared" si="5"/>
        <v/>
      </c>
    </row>
    <row r="358" spans="10:10" x14ac:dyDescent="0.3">
      <c r="J358" s="6" t="str">
        <f t="shared" si="5"/>
        <v/>
      </c>
    </row>
    <row r="359" spans="10:10" x14ac:dyDescent="0.3">
      <c r="J359" s="6" t="str">
        <f t="shared" si="5"/>
        <v/>
      </c>
    </row>
    <row r="360" spans="10:10" x14ac:dyDescent="0.3">
      <c r="J360" s="6" t="str">
        <f t="shared" si="5"/>
        <v/>
      </c>
    </row>
    <row r="361" spans="10:10" x14ac:dyDescent="0.3">
      <c r="J361" s="6" t="str">
        <f t="shared" si="5"/>
        <v/>
      </c>
    </row>
    <row r="362" spans="10:10" x14ac:dyDescent="0.3">
      <c r="J362" s="6" t="str">
        <f t="shared" si="5"/>
        <v/>
      </c>
    </row>
    <row r="363" spans="10:10" x14ac:dyDescent="0.3">
      <c r="J363" s="6" t="str">
        <f t="shared" si="5"/>
        <v/>
      </c>
    </row>
    <row r="364" spans="10:10" x14ac:dyDescent="0.3">
      <c r="J364" s="6" t="str">
        <f t="shared" si="5"/>
        <v/>
      </c>
    </row>
    <row r="365" spans="10:10" x14ac:dyDescent="0.3">
      <c r="J365" s="6" t="str">
        <f t="shared" si="5"/>
        <v/>
      </c>
    </row>
    <row r="366" spans="10:10" x14ac:dyDescent="0.3">
      <c r="J366" s="6" t="str">
        <f t="shared" si="5"/>
        <v/>
      </c>
    </row>
    <row r="367" spans="10:10" x14ac:dyDescent="0.3">
      <c r="J367" s="6" t="str">
        <f t="shared" si="5"/>
        <v/>
      </c>
    </row>
    <row r="368" spans="10:10" x14ac:dyDescent="0.3">
      <c r="J368" s="6" t="str">
        <f t="shared" si="5"/>
        <v/>
      </c>
    </row>
    <row r="369" spans="10:10" x14ac:dyDescent="0.3">
      <c r="J369" s="6" t="str">
        <f t="shared" si="5"/>
        <v/>
      </c>
    </row>
    <row r="370" spans="10:10" x14ac:dyDescent="0.3">
      <c r="J370" s="6" t="str">
        <f t="shared" si="5"/>
        <v/>
      </c>
    </row>
    <row r="371" spans="10:10" x14ac:dyDescent="0.3">
      <c r="J371" s="6" t="str">
        <f t="shared" si="5"/>
        <v/>
      </c>
    </row>
    <row r="372" spans="10:10" x14ac:dyDescent="0.3">
      <c r="J372" s="6" t="str">
        <f t="shared" ref="J372:J395" si="6">IF(E372, J371+H372, "")</f>
        <v/>
      </c>
    </row>
    <row r="373" spans="10:10" x14ac:dyDescent="0.3">
      <c r="J373" s="6" t="str">
        <f t="shared" si="6"/>
        <v/>
      </c>
    </row>
    <row r="374" spans="10:10" x14ac:dyDescent="0.3">
      <c r="J374" s="6" t="str">
        <f t="shared" si="6"/>
        <v/>
      </c>
    </row>
    <row r="375" spans="10:10" x14ac:dyDescent="0.3">
      <c r="J375" s="6" t="str">
        <f t="shared" si="6"/>
        <v/>
      </c>
    </row>
    <row r="376" spans="10:10" x14ac:dyDescent="0.3">
      <c r="J376" s="6" t="str">
        <f t="shared" si="6"/>
        <v/>
      </c>
    </row>
    <row r="377" spans="10:10" x14ac:dyDescent="0.3">
      <c r="J377" s="6" t="str">
        <f t="shared" si="6"/>
        <v/>
      </c>
    </row>
    <row r="378" spans="10:10" x14ac:dyDescent="0.3">
      <c r="J378" s="6" t="str">
        <f t="shared" si="6"/>
        <v/>
      </c>
    </row>
    <row r="379" spans="10:10" x14ac:dyDescent="0.3">
      <c r="J379" s="6" t="str">
        <f t="shared" si="6"/>
        <v/>
      </c>
    </row>
    <row r="380" spans="10:10" x14ac:dyDescent="0.3">
      <c r="J380" s="6" t="str">
        <f t="shared" si="6"/>
        <v/>
      </c>
    </row>
    <row r="381" spans="10:10" x14ac:dyDescent="0.3">
      <c r="J381" s="6" t="str">
        <f t="shared" si="6"/>
        <v/>
      </c>
    </row>
    <row r="382" spans="10:10" x14ac:dyDescent="0.3">
      <c r="J382" s="6" t="str">
        <f t="shared" si="6"/>
        <v/>
      </c>
    </row>
    <row r="383" spans="10:10" x14ac:dyDescent="0.3">
      <c r="J383" s="6" t="str">
        <f t="shared" si="6"/>
        <v/>
      </c>
    </row>
    <row r="384" spans="10:10" x14ac:dyDescent="0.3">
      <c r="J384" s="6" t="str">
        <f t="shared" si="6"/>
        <v/>
      </c>
    </row>
    <row r="385" spans="10:10" x14ac:dyDescent="0.3">
      <c r="J385" s="6" t="str">
        <f t="shared" si="6"/>
        <v/>
      </c>
    </row>
    <row r="386" spans="10:10" x14ac:dyDescent="0.3">
      <c r="J386" s="6" t="str">
        <f t="shared" si="6"/>
        <v/>
      </c>
    </row>
    <row r="387" spans="10:10" x14ac:dyDescent="0.3">
      <c r="J387" s="6" t="str">
        <f t="shared" si="6"/>
        <v/>
      </c>
    </row>
    <row r="388" spans="10:10" x14ac:dyDescent="0.3">
      <c r="J388" s="6" t="str">
        <f t="shared" si="6"/>
        <v/>
      </c>
    </row>
    <row r="389" spans="10:10" x14ac:dyDescent="0.3">
      <c r="J389" s="6" t="str">
        <f t="shared" si="6"/>
        <v/>
      </c>
    </row>
    <row r="390" spans="10:10" x14ac:dyDescent="0.3">
      <c r="J390" s="6" t="str">
        <f t="shared" si="6"/>
        <v/>
      </c>
    </row>
    <row r="391" spans="10:10" x14ac:dyDescent="0.3">
      <c r="J391" s="6" t="str">
        <f t="shared" si="6"/>
        <v/>
      </c>
    </row>
    <row r="392" spans="10:10" x14ac:dyDescent="0.3">
      <c r="J392" s="6" t="str">
        <f t="shared" si="6"/>
        <v/>
      </c>
    </row>
    <row r="393" spans="10:10" x14ac:dyDescent="0.3">
      <c r="J393" s="6" t="str">
        <f t="shared" si="6"/>
        <v/>
      </c>
    </row>
    <row r="394" spans="10:10" x14ac:dyDescent="0.3">
      <c r="J394" s="6" t="str">
        <f t="shared" si="6"/>
        <v/>
      </c>
    </row>
    <row r="395" spans="10:10" x14ac:dyDescent="0.3">
      <c r="J395" s="6" t="str">
        <f t="shared" si="6"/>
        <v/>
      </c>
    </row>
  </sheetData>
  <sortState xmlns:xlrd2="http://schemas.microsoft.com/office/spreadsheetml/2017/richdata2" ref="B89:B113">
    <sortCondition ref="B89:B113"/>
  </sortState>
  <conditionalFormatting sqref="E7:J7 E8:I53 E54 F54:I116">
    <cfRule type="expression" dxfId="1" priority="25">
      <formula>$F7="Income"</formula>
    </cfRule>
  </conditionalFormatting>
  <conditionalFormatting sqref="J8:J395">
    <cfRule type="expression" dxfId="0" priority="1">
      <formula>$F8="Income"</formula>
    </cfRule>
  </conditionalFormatting>
  <dataValidations count="1">
    <dataValidation type="list" allowBlank="1" showInputMessage="1" showErrorMessage="1" sqref="F7 F8:F116" xr:uid="{BF54E090-5817-4739-A864-75A886C234CA}">
      <formula1>$A$10:$A$20</formula1>
    </dataValidation>
  </dataValidations>
  <pageMargins left="0.7" right="0.7" top="0.75" bottom="0.75" header="0.3" footer="0.3"/>
  <pageSetup paperSize="9" orientation="portrait" r:id="rId1"/>
  <ignoredErrors>
    <ignoredError sqref="C3" twoDigitTextYear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1C39-8A4B-4018-BDAD-FE3BEDF03733}">
  <dimension ref="A1:I44"/>
  <sheetViews>
    <sheetView topLeftCell="A10" zoomScale="85" zoomScaleNormal="85" workbookViewId="0">
      <selection activeCell="F16" sqref="F16"/>
    </sheetView>
  </sheetViews>
  <sheetFormatPr defaultRowHeight="13.8" x14ac:dyDescent="0.3"/>
  <cols>
    <col min="1" max="1" width="19.77734375" style="1" customWidth="1"/>
    <col min="2" max="3" width="8.88671875" style="1"/>
    <col min="4" max="4" width="30.33203125" style="1" customWidth="1"/>
    <col min="5" max="6" width="23" style="1" customWidth="1"/>
    <col min="7" max="7" width="24.77734375" style="1" customWidth="1"/>
    <col min="8" max="8" width="20.88671875" style="1" customWidth="1"/>
    <col min="9" max="9" width="22.77734375" style="1" customWidth="1"/>
    <col min="10" max="16384" width="8.88671875" style="1"/>
  </cols>
  <sheetData>
    <row r="1" spans="1:9" x14ac:dyDescent="0.3">
      <c r="A1" s="8" t="s">
        <v>83</v>
      </c>
    </row>
    <row r="2" spans="1:9" x14ac:dyDescent="0.3">
      <c r="A2" s="10">
        <f>DASHBOARD!L2</f>
        <v>44927</v>
      </c>
    </row>
    <row r="3" spans="1:9" x14ac:dyDescent="0.3">
      <c r="A3" s="8" t="s">
        <v>84</v>
      </c>
    </row>
    <row r="4" spans="1:9" x14ac:dyDescent="0.3">
      <c r="A4" s="11">
        <f>A2</f>
        <v>44927</v>
      </c>
      <c r="D4" s="1" t="s">
        <v>86</v>
      </c>
    </row>
    <row r="5" spans="1:9" x14ac:dyDescent="0.3">
      <c r="A5" s="8" t="s">
        <v>85</v>
      </c>
      <c r="D5" s="2" t="s">
        <v>6</v>
      </c>
      <c r="E5" s="2" t="s">
        <v>7</v>
      </c>
      <c r="F5" s="2" t="s">
        <v>9</v>
      </c>
      <c r="G5" s="2" t="s">
        <v>11</v>
      </c>
    </row>
    <row r="6" spans="1:9" x14ac:dyDescent="0.3">
      <c r="A6" s="11">
        <f>A4+_xlfn.SWITCH(MONTH($A$2), 1, 31, 2, IF(YEAR($A$2)=2024,29,28), 3, 31, 4, 30, 5, 31, 6, 30, 7, 31, 8, 31, 9, 30, 10, 31, 11, 30, 12, 31)-1</f>
        <v>44957</v>
      </c>
      <c r="D6" s="5">
        <f t="array" ref="D6">LARGE(IF(Table1[[#Data],[TRANSACTION]]="Income",Table1[[#Data],[DATE]]),1)</f>
        <v>45017</v>
      </c>
      <c r="E6" s="5" t="str">
        <f t="array" ref="E6">INDEX(Table1[[#Data],[TRANSACTION]],MATCH(1,(Table1[[#Data],[TRANSACTION]]="Income")*(Table1[[#Data],[DATE]]=Calc!D6),0))</f>
        <v>Income</v>
      </c>
      <c r="F6" s="5" t="str">
        <f t="array" ref="F6">INDEX(Table1[[#Data],[FROM/TO]],MATCH(1,(Table1[[#Data],[TRANSACTION]]="Income")*(Table1[[#Data],[DATE]]=Calc!D6),0))</f>
        <v>MyCompany</v>
      </c>
      <c r="G6" s="6">
        <f t="array" ref="G6">INDEX(Table1[[#Data],[AMOUNT]],MATCH(1,(Table1[[#Data],[TRANSACTION]]="Income")*(Table1[[#Data],[DATE]]=Calc!D6),0))</f>
        <v>4150</v>
      </c>
    </row>
    <row r="7" spans="1:9" x14ac:dyDescent="0.3">
      <c r="D7" s="5">
        <f t="array" ref="D7">LARGE(IF(Table1[[#Data],[TRANSACTION]]="Income",Table1[[#Data],[DATE]]),2)</f>
        <v>44986</v>
      </c>
      <c r="E7" s="5" t="str">
        <f t="array" ref="E7">INDEX(Table1[[#Data],[TRANSACTION]],MATCH(1,(Table1[[#Data],[TRANSACTION]]="Income")*(Table1[[#Data],[DATE]]=Calc!D7),0))</f>
        <v>Income</v>
      </c>
      <c r="F7" s="5" t="str">
        <f t="array" ref="F7">INDEX(Table1[[#Data],[FROM/TO]],MATCH(1,(Table1[[#Data],[TRANSACTION]]="Income")*(Table1[[#Data],[DATE]]=Calc!D7),0))</f>
        <v>MyCompany</v>
      </c>
      <c r="G7" s="6">
        <f t="array" ref="G7">INDEX(Table1[[#Data],[AMOUNT]],MATCH(1,(Table1[[#Data],[TRANSACTION]]="Income")*(Table1[[#Data],[DATE]]=Calc!D7),0))</f>
        <v>3600</v>
      </c>
    </row>
    <row r="8" spans="1:9" x14ac:dyDescent="0.3">
      <c r="D8" s="5">
        <f t="array" ref="D8">LARGE(IF(Table1[[#Data],[TRANSACTION]]="Income",Table1[[#Data],[DATE]]),3)</f>
        <v>44983</v>
      </c>
      <c r="E8" s="5" t="str">
        <f t="array" ref="E8">INDEX(Table1[[#Data],[TRANSACTION]],MATCH(1,(Table1[[#Data],[TRANSACTION]]="Income")*(Table1[[#Data],[DATE]]=Calc!D8),0))</f>
        <v>Income</v>
      </c>
      <c r="F8" s="5" t="str">
        <f t="array" ref="F8">INDEX(Table1[[#Data],[FROM/TO]],MATCH(1,(Table1[[#Data],[TRANSACTION]]="Income")*(Table1[[#Data],[DATE]]=Calc!D8),0))</f>
        <v>Birthday Co</v>
      </c>
      <c r="G8" s="6">
        <f t="array" ref="G8">INDEX(Table1[[#Data],[AMOUNT]],MATCH(1,(Table1[[#Data],[TRANSACTION]]="Income")*(Table1[[#Data],[DATE]]=Calc!D8),0))</f>
        <v>300</v>
      </c>
    </row>
    <row r="9" spans="1:9" x14ac:dyDescent="0.3">
      <c r="A9" s="8" t="s">
        <v>88</v>
      </c>
      <c r="D9" s="5">
        <f t="array" ref="D9">LARGE(IF(Table1[[#Data],[TRANSACTION]]="Income",Table1[[#Data],[DATE]]),4)</f>
        <v>44980</v>
      </c>
      <c r="E9" s="5" t="str">
        <f t="array" ref="E9">INDEX(Table1[[#Data],[TRANSACTION]],MATCH(1,(Table1[[#Data],[TRANSACTION]]="Income")*(Table1[[#Data],[DATE]]=Calc!D9),0))</f>
        <v>Income</v>
      </c>
      <c r="F9" s="5" t="str">
        <f t="array" ref="F9">INDEX(Table1[[#Data],[FROM/TO]],MATCH(1,(Table1[[#Data],[TRANSACTION]]="Income")*(Table1[[#Data],[DATE]]=Calc!D9),0))</f>
        <v>PayMeMore</v>
      </c>
      <c r="G9" s="6">
        <f t="array" ref="G9">INDEX(Table1[[#Data],[AMOUNT]],MATCH(1,(Table1[[#Data],[TRANSACTION]]="Income")*(Table1[[#Data],[DATE]]=Calc!D9),0))</f>
        <v>200</v>
      </c>
    </row>
    <row r="10" spans="1:9" x14ac:dyDescent="0.3">
      <c r="A10" s="6">
        <f>INDEX(Data!J7:J10000,ROWS(Table1[]),1)</f>
        <v>5834.1900000000005</v>
      </c>
      <c r="D10" s="5">
        <f t="array" ref="D10">LARGE(IF(Table1[[#Data],[TRANSACTION]]="Income",Table1[[#Data],[DATE]]),5)</f>
        <v>44958</v>
      </c>
      <c r="E10" s="5" t="str">
        <f t="array" ref="E10">INDEX(Table1[[#Data],[TRANSACTION]],MATCH(1,(Table1[[#Data],[TRANSACTION]]="Income")*(Table1[[#Data],[DATE]]=Calc!D10),0))</f>
        <v>Income</v>
      </c>
      <c r="F10" s="5" t="str">
        <f t="array" ref="F10">INDEX(Table1[[#Data],[FROM/TO]],MATCH(1,(Table1[[#Data],[TRANSACTION]]="Income")*(Table1[[#Data],[DATE]]=Calc!D10),0))</f>
        <v>MyCompany</v>
      </c>
      <c r="G10" s="6">
        <f t="array" ref="G10">INDEX(Table1[[#Data],[AMOUNT]],MATCH(1,(Table1[[#Data],[TRANSACTION]]="Income")*(Table1[[#Data],[DATE]]=Calc!D10),0))</f>
        <v>4200</v>
      </c>
    </row>
    <row r="11" spans="1:9" x14ac:dyDescent="0.3">
      <c r="D11" s="5">
        <f t="array" ref="D11">LARGE(IF(Table1[[#Data],[TRANSACTION]]="Income",Table1[[#Data],[DATE]]),6)</f>
        <v>44957</v>
      </c>
      <c r="E11" s="5" t="str">
        <f t="array" ref="E11">INDEX(Table1[[#Data],[TRANSACTION]],MATCH(1,(Table1[[#Data],[TRANSACTION]]="Income")*(Table1[[#Data],[DATE]]=Calc!D11),0))</f>
        <v>Income</v>
      </c>
      <c r="F11" s="5" t="str">
        <f t="array" ref="F11">INDEX(Table1[[#Data],[FROM/TO]],MATCH(1,(Table1[[#Data],[TRANSACTION]]="Income")*(Table1[[#Data],[DATE]]=Calc!D11),0))</f>
        <v>Roof Gang</v>
      </c>
      <c r="G11" s="6">
        <f t="array" ref="G11">INDEX(Table1[[#Data],[AMOUNT]],MATCH(1,(Table1[[#Data],[TRANSACTION]]="Income")*(Table1[[#Data],[DATE]]=Calc!D11),0))</f>
        <v>350</v>
      </c>
    </row>
    <row r="13" spans="1:9" x14ac:dyDescent="0.3">
      <c r="D13" s="22" t="s">
        <v>93</v>
      </c>
      <c r="H13" s="22" t="s">
        <v>93</v>
      </c>
      <c r="I13" s="22" t="s">
        <v>93</v>
      </c>
    </row>
    <row r="14" spans="1:9" x14ac:dyDescent="0.3">
      <c r="D14" s="23">
        <f>$A$2</f>
        <v>44927</v>
      </c>
      <c r="H14" s="23">
        <f>$A$2</f>
        <v>44927</v>
      </c>
      <c r="I14" s="23">
        <f>$A$2</f>
        <v>44927</v>
      </c>
    </row>
    <row r="15" spans="1:9" x14ac:dyDescent="0.3">
      <c r="D15" s="2" t="s">
        <v>91</v>
      </c>
      <c r="E15" s="2" t="s">
        <v>11</v>
      </c>
      <c r="F15" s="2" t="s">
        <v>92</v>
      </c>
      <c r="H15" s="2" t="s">
        <v>94</v>
      </c>
      <c r="I15" s="2" t="s">
        <v>99</v>
      </c>
    </row>
    <row r="16" spans="1:9" x14ac:dyDescent="0.3">
      <c r="D16" s="3" t="s">
        <v>16</v>
      </c>
      <c r="E16" s="7">
        <f>-SUMIFS(Table1[[#Data],[AMOUNT]], Table1[[#Data],[TRANSACTION]],"HOUSING",Table1[[#Data],[DATE]], "&gt;="&amp;Calc!$A$4, Table1[[#Data],[DATE]], "&lt;="&amp;Calc!$A$6)</f>
        <v>905</v>
      </c>
      <c r="F16" s="7">
        <f>SUM(E16:E25)</f>
        <v>4902.5399999999991</v>
      </c>
      <c r="H16" s="7">
        <f>SUMIFS(Table1[[#Data],[AMOUNT]], Table1[[#Data],[TRANSACTION]],"Income",Table1[[#Data],[DATE]], "&gt;="&amp;Calc!$A$4, Table1[[#Data],[DATE]], "&lt;="&amp;Calc!$A$6)</f>
        <v>5050</v>
      </c>
      <c r="I16" s="7">
        <f>H16-F16</f>
        <v>147.46000000000095</v>
      </c>
    </row>
    <row r="17" spans="4:7" x14ac:dyDescent="0.3">
      <c r="D17" s="3" t="s">
        <v>18</v>
      </c>
      <c r="E17" s="7">
        <f>-SUMIFS(Table1[[#Data],[AMOUNT]], Table1[[#Data],[TRANSACTION]],"TRANSPORTATION",Table1[[#Data],[DATE]], "&gt;="&amp;Calc!$A$4, Table1[[#Data],[DATE]], "&lt;="&amp;Calc!$A$6)</f>
        <v>130</v>
      </c>
    </row>
    <row r="18" spans="4:7" x14ac:dyDescent="0.3">
      <c r="D18" s="3" t="s">
        <v>19</v>
      </c>
      <c r="E18" s="7">
        <f>-SUMIFS(Table1[[#Data],[AMOUNT]], Table1[[#Data],[TRANSACTION]],"FOOD",Table1[[#Data],[DATE]], "&gt;="&amp;Calc!$A$4, Table1[[#Data],[DATE]], "&lt;="&amp;Calc!$A$6)</f>
        <v>505.25000000000006</v>
      </c>
    </row>
    <row r="19" spans="4:7" x14ac:dyDescent="0.3">
      <c r="D19" s="3" t="s">
        <v>20</v>
      </c>
      <c r="E19" s="7">
        <f>-SUMIFS(Table1[[#Data],[AMOUNT]], Table1[[#Data],[TRANSACTION]],"UTILITIES",Table1[[#Data],[DATE]], "&gt;="&amp;Calc!$A$4, Table1[[#Data],[DATE]], "&lt;="&amp;Calc!$A$6)</f>
        <v>227</v>
      </c>
    </row>
    <row r="20" spans="4:7" x14ac:dyDescent="0.3">
      <c r="D20" s="3" t="s">
        <v>21</v>
      </c>
      <c r="E20" s="7">
        <f>-SUMIFS(Table1[[#Data],[AMOUNT]], Table1[[#Data],[TRANSACTION]],"INSURANCE",Table1[[#Data],[DATE]], "&gt;="&amp;Calc!$A$4, Table1[[#Data],[DATE]], "&lt;="&amp;Calc!$A$6)</f>
        <v>350</v>
      </c>
    </row>
    <row r="21" spans="4:7" x14ac:dyDescent="0.3">
      <c r="D21" s="3" t="s">
        <v>22</v>
      </c>
      <c r="E21" s="7">
        <f>-SUMIFS(Table1[[#Data],[AMOUNT]], Table1[[#Data],[TRANSACTION]],"Medical &amp; Healthcare",Table1[[#Data],[DATE]], "&gt;="&amp;Calc!$A$4, Table1[[#Data],[DATE]], "&lt;="&amp;Calc!$A$6)</f>
        <v>500</v>
      </c>
    </row>
    <row r="22" spans="4:7" x14ac:dyDescent="0.3">
      <c r="D22" s="3" t="s">
        <v>23</v>
      </c>
      <c r="E22" s="7">
        <f>-SUMIFS(Table1[[#Data],[AMOUNT]], Table1[[#Data],[TRANSACTION]],"Saving &amp; Investing",Table1[[#Data],[DATE]], "&gt;="&amp;Calc!$A$4, Table1[[#Data],[DATE]], "&lt;="&amp;Calc!$A$6)</f>
        <v>220</v>
      </c>
    </row>
    <row r="23" spans="4:7" x14ac:dyDescent="0.3">
      <c r="D23" s="3" t="s">
        <v>24</v>
      </c>
      <c r="E23" s="7">
        <f>-SUMIFS(Table1[[#Data],[AMOUNT]], Table1[[#Data],[TRANSACTION]],"Personal Spending",Table1[[#Data],[DATE]], "&gt;="&amp;Calc!$A$4, Table1[[#Data],[DATE]], "&lt;="&amp;Calc!$A$6)</f>
        <v>972.8599999999999</v>
      </c>
    </row>
    <row r="24" spans="4:7" x14ac:dyDescent="0.3">
      <c r="D24" s="3" t="s">
        <v>25</v>
      </c>
      <c r="E24" s="7">
        <f>-SUMIFS(Table1[[#Data],[AMOUNT]], Table1[[#Data],[TRANSACTION]],"Recreation &amp; Entertainment ",Table1[[#Data],[DATE]], "&gt;="&amp;Calc!$A$4, Table1[[#Data],[DATE]], "&lt;="&amp;Calc!$A$6)</f>
        <v>292.89999999999998</v>
      </c>
    </row>
    <row r="25" spans="4:7" x14ac:dyDescent="0.3">
      <c r="D25" s="3" t="s">
        <v>26</v>
      </c>
      <c r="E25" s="7">
        <f>-SUMIFS(Table1[[#Data],[AMOUNT]], Table1[[#Data],[TRANSACTION]],"Miscellaneous",Table1[[#Data],[DATE]], "&gt;="&amp;Calc!$A$4, Table1[[#Data],[DATE]], "&lt;="&amp;Calc!$A$6)</f>
        <v>799.53</v>
      </c>
    </row>
    <row r="28" spans="4:7" x14ac:dyDescent="0.3">
      <c r="D28" s="1" t="s">
        <v>96</v>
      </c>
    </row>
    <row r="29" spans="4:7" x14ac:dyDescent="0.3">
      <c r="D29" s="2" t="s">
        <v>6</v>
      </c>
      <c r="E29" s="2" t="s">
        <v>15</v>
      </c>
      <c r="F29" s="2" t="s">
        <v>98</v>
      </c>
      <c r="G29" s="2" t="s">
        <v>97</v>
      </c>
    </row>
    <row r="30" spans="4:7" x14ac:dyDescent="0.3">
      <c r="D30" s="11">
        <f>INDEX(Table1[[#Data],[DATE]],ROWS(Table1[])-10)</f>
        <v>45007</v>
      </c>
      <c r="E30" s="7">
        <f>INDEX(Data!$J$7:$J$10000,ROWS(Table1[])-9)</f>
        <v>2835.34</v>
      </c>
      <c r="F30" s="7">
        <f>ROUND(E30,-1)</f>
        <v>2840</v>
      </c>
      <c r="G30" s="26">
        <f>F30/1000</f>
        <v>2.84</v>
      </c>
    </row>
    <row r="31" spans="4:7" x14ac:dyDescent="0.3">
      <c r="D31" s="11">
        <f>INDEX(Table1[[#Data],[DATE]],ROWS(Table1[])-9)</f>
        <v>45008</v>
      </c>
      <c r="E31" s="7">
        <f>INDEX(Data!$J$7:$J$10000,ROWS(Table1[])-8)</f>
        <v>2818.34</v>
      </c>
      <c r="F31" s="7">
        <f t="shared" ref="F31:F39" si="0">ROUND(E31,-1)</f>
        <v>2820</v>
      </c>
      <c r="G31" s="26">
        <f t="shared" ref="G31:G39" si="1">F31/1000</f>
        <v>2.82</v>
      </c>
    </row>
    <row r="32" spans="4:7" x14ac:dyDescent="0.3">
      <c r="D32" s="11">
        <f>INDEX(Table1[[#Data],[DATE]],ROWS(Table1[])-8)</f>
        <v>45009</v>
      </c>
      <c r="E32" s="7">
        <f>INDEX(Data!$J$7:$J$10000,ROWS(Table1[])-7)</f>
        <v>2786.34</v>
      </c>
      <c r="F32" s="7">
        <f t="shared" si="0"/>
        <v>2790</v>
      </c>
      <c r="G32" s="26">
        <f t="shared" si="1"/>
        <v>2.79</v>
      </c>
    </row>
    <row r="33" spans="4:7" x14ac:dyDescent="0.3">
      <c r="D33" s="11">
        <f>INDEX(Table1[[#Data],[DATE]],ROWS(Table1[])-7)</f>
        <v>45009</v>
      </c>
      <c r="E33" s="7">
        <f>INDEX(Data!$J$7:$J$10000,ROWS(Table1[])-6)</f>
        <v>2753.34</v>
      </c>
      <c r="F33" s="7">
        <f t="shared" si="0"/>
        <v>2750</v>
      </c>
      <c r="G33" s="26">
        <f t="shared" si="1"/>
        <v>2.75</v>
      </c>
    </row>
    <row r="34" spans="4:7" x14ac:dyDescent="0.3">
      <c r="D34" s="11">
        <f>INDEX(Table1[[#Data],[DATE]],ROWS(Table1[])-6)</f>
        <v>45009</v>
      </c>
      <c r="E34" s="7">
        <f>INDEX(Data!$J$7:$J$10000,ROWS(Table1[])-5)</f>
        <v>2728.34</v>
      </c>
      <c r="F34" s="7">
        <f t="shared" si="0"/>
        <v>2730</v>
      </c>
      <c r="G34" s="26">
        <f t="shared" si="1"/>
        <v>2.73</v>
      </c>
    </row>
    <row r="35" spans="4:7" x14ac:dyDescent="0.3">
      <c r="D35" s="11">
        <f>INDEX(Table1[[#Data],[DATE]],ROWS(Table1[])-5)</f>
        <v>45013</v>
      </c>
      <c r="E35" s="7">
        <f>INDEX(Data!$J$7:$J$10000,ROWS(Table1[])-4)</f>
        <v>2278.34</v>
      </c>
      <c r="F35" s="7">
        <f t="shared" si="0"/>
        <v>2280</v>
      </c>
      <c r="G35" s="26">
        <f t="shared" si="1"/>
        <v>2.2799999999999998</v>
      </c>
    </row>
    <row r="36" spans="4:7" x14ac:dyDescent="0.3">
      <c r="D36" s="11">
        <f>INDEX(Table1[[#Data],[DATE]],ROWS(Table1[])-4)</f>
        <v>45014</v>
      </c>
      <c r="E36" s="7">
        <f>INDEX(Data!$J$7:$J$10000,ROWS(Table1[])-3)</f>
        <v>1854.3400000000001</v>
      </c>
      <c r="F36" s="7">
        <f t="shared" si="0"/>
        <v>1850</v>
      </c>
      <c r="G36" s="26">
        <f t="shared" si="1"/>
        <v>1.85</v>
      </c>
    </row>
    <row r="37" spans="4:7" x14ac:dyDescent="0.3">
      <c r="D37" s="11">
        <f>INDEX(Table1[[#Data],[DATE]],ROWS(Table1[])-3)</f>
        <v>45016</v>
      </c>
      <c r="E37" s="7">
        <f>INDEX(Data!$J$7:$J$10000,ROWS(Table1[])-2)</f>
        <v>6004.34</v>
      </c>
      <c r="F37" s="7">
        <f t="shared" si="0"/>
        <v>6000</v>
      </c>
      <c r="G37" s="26">
        <f t="shared" si="1"/>
        <v>6</v>
      </c>
    </row>
    <row r="38" spans="4:7" x14ac:dyDescent="0.3">
      <c r="D38" s="11">
        <f>INDEX(Table1[[#Data],[DATE]],ROWS(Table1[])-1)</f>
        <v>45019</v>
      </c>
      <c r="E38" s="7">
        <f>INDEX(Data!$J$7:$J$10000,ROWS(Table1[])-1)</f>
        <v>5899.34</v>
      </c>
      <c r="F38" s="7">
        <f t="shared" si="0"/>
        <v>5900</v>
      </c>
      <c r="G38" s="26">
        <f t="shared" si="1"/>
        <v>5.9</v>
      </c>
    </row>
    <row r="39" spans="4:7" x14ac:dyDescent="0.3">
      <c r="D39" s="11">
        <f>INDEX(Table1[[#Data],[DATE]],ROWS(Table1[]))</f>
        <v>45020</v>
      </c>
      <c r="E39" s="7">
        <f>INDEX(Data!$J$7:$J$10000,ROWS(Table1[]))</f>
        <v>5834.1900000000005</v>
      </c>
      <c r="F39" s="7">
        <f t="shared" si="0"/>
        <v>5830</v>
      </c>
      <c r="G39" s="26">
        <f t="shared" si="1"/>
        <v>5.83</v>
      </c>
    </row>
    <row r="40" spans="4:7" x14ac:dyDescent="0.3">
      <c r="F40" s="5"/>
      <c r="G40" s="6"/>
    </row>
    <row r="41" spans="4:7" x14ac:dyDescent="0.3">
      <c r="F41" s="5"/>
      <c r="G41" s="6"/>
    </row>
    <row r="42" spans="4:7" x14ac:dyDescent="0.3">
      <c r="F42" s="5"/>
      <c r="G42" s="6"/>
    </row>
    <row r="43" spans="4:7" x14ac:dyDescent="0.3">
      <c r="F43" s="5"/>
      <c r="G43" s="6"/>
    </row>
    <row r="44" spans="4:7" x14ac:dyDescent="0.3">
      <c r="F44" s="5"/>
      <c r="G4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223AB-2FB3-402F-A64C-C935C30FED05}">
  <dimension ref="A1:N19"/>
  <sheetViews>
    <sheetView tabSelected="1" zoomScale="80" zoomScaleNormal="80" workbookViewId="0">
      <selection activeCell="L2" sqref="L2"/>
    </sheetView>
  </sheetViews>
  <sheetFormatPr defaultRowHeight="20.399999999999999" x14ac:dyDescent="0.3"/>
  <cols>
    <col min="1" max="1" width="3.77734375" style="12" customWidth="1"/>
    <col min="2" max="2" width="16.6640625" style="12" bestFit="1" customWidth="1"/>
    <col min="3" max="3" width="2.77734375" style="12" customWidth="1"/>
    <col min="4" max="4" width="17.21875" style="12" customWidth="1"/>
    <col min="5" max="5" width="2.77734375" style="12" customWidth="1"/>
    <col min="6" max="6" width="19.44140625" style="12" customWidth="1"/>
    <col min="7" max="7" width="2.77734375" style="12" customWidth="1"/>
    <col min="8" max="8" width="17.33203125" style="12" customWidth="1"/>
    <col min="9" max="9" width="2.109375" style="12" customWidth="1"/>
    <col min="10" max="10" width="8.88671875" style="12"/>
    <col min="11" max="11" width="27" style="12" customWidth="1"/>
    <col min="12" max="12" width="22.5546875" style="12" customWidth="1"/>
    <col min="13" max="13" width="61.44140625" style="12" customWidth="1"/>
    <col min="14" max="14" width="76.21875" style="12" customWidth="1"/>
    <col min="15" max="16384" width="8.88671875" style="12"/>
  </cols>
  <sheetData>
    <row r="1" spans="1:14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3">
      <c r="A2" s="14"/>
      <c r="B2" s="14"/>
      <c r="C2" s="14"/>
      <c r="D2" s="14"/>
      <c r="E2" s="14"/>
      <c r="F2" s="14"/>
      <c r="G2" s="14"/>
      <c r="H2" s="14"/>
      <c r="I2" s="14"/>
      <c r="J2" s="28" t="s">
        <v>90</v>
      </c>
      <c r="K2" s="28"/>
      <c r="L2" s="24">
        <v>44927</v>
      </c>
      <c r="M2" s="14"/>
      <c r="N2" s="14"/>
    </row>
    <row r="3" spans="1:14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25"/>
      <c r="M3" s="14"/>
      <c r="N3" s="14"/>
    </row>
    <row r="4" spans="1:14" ht="200.4" customHeight="1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ht="26.4" customHeight="1" x14ac:dyDescent="0.3">
      <c r="A6" s="14"/>
      <c r="B6" s="27" t="s">
        <v>87</v>
      </c>
      <c r="C6" s="27"/>
      <c r="D6" s="27"/>
      <c r="E6" s="27"/>
      <c r="F6" s="27"/>
      <c r="G6" s="27"/>
      <c r="H6" s="27"/>
      <c r="I6" s="14"/>
      <c r="J6" s="14"/>
      <c r="K6" s="14"/>
      <c r="L6" s="14"/>
      <c r="M6" s="14"/>
      <c r="N6" s="14"/>
    </row>
    <row r="7" spans="1:14" ht="3.6" customHeight="1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ht="30" customHeight="1" x14ac:dyDescent="0.3">
      <c r="A8" s="14"/>
      <c r="B8" s="13" t="str">
        <f>Calc!D5</f>
        <v>DATE</v>
      </c>
      <c r="C8" s="13"/>
      <c r="D8" s="13" t="str">
        <f>Calc!E5</f>
        <v>TRANSACTION</v>
      </c>
      <c r="E8" s="13"/>
      <c r="F8" s="13" t="str">
        <f>Calc!F5</f>
        <v>FROM/TO</v>
      </c>
      <c r="G8" s="13"/>
      <c r="H8" s="13" t="str">
        <f>Calc!G5</f>
        <v>AMOUNT</v>
      </c>
      <c r="I8" s="14"/>
      <c r="J8" s="14"/>
      <c r="K8" s="14"/>
      <c r="L8" s="14"/>
      <c r="M8" s="14"/>
      <c r="N8" s="14"/>
    </row>
    <row r="9" spans="1:14" ht="13.2" customHeight="1" x14ac:dyDescent="0.3">
      <c r="A9" s="14"/>
      <c r="B9" s="15"/>
      <c r="C9" s="15"/>
      <c r="D9" s="15"/>
      <c r="E9" s="15"/>
      <c r="F9" s="15"/>
      <c r="G9" s="15"/>
      <c r="H9" s="15"/>
      <c r="I9" s="14"/>
      <c r="J9" s="14"/>
      <c r="K9" s="14"/>
      <c r="L9" s="14"/>
      <c r="M9" s="14"/>
      <c r="N9" s="14"/>
    </row>
    <row r="10" spans="1:14" ht="30" customHeight="1" x14ac:dyDescent="0.3">
      <c r="A10" s="14"/>
      <c r="B10" s="16">
        <f>Calc!D6</f>
        <v>45017</v>
      </c>
      <c r="C10" s="17"/>
      <c r="D10" s="18" t="str">
        <f>Calc!E6</f>
        <v>Income</v>
      </c>
      <c r="E10" s="15"/>
      <c r="F10" s="19" t="str">
        <f>Calc!F6</f>
        <v>MyCompany</v>
      </c>
      <c r="G10" s="19"/>
      <c r="H10" s="20">
        <f>Calc!G6</f>
        <v>4150</v>
      </c>
      <c r="I10" s="14"/>
      <c r="J10" s="14"/>
      <c r="K10" s="14"/>
      <c r="L10" s="14"/>
      <c r="M10" s="14"/>
      <c r="N10" s="14"/>
    </row>
    <row r="11" spans="1:14" ht="30" customHeight="1" x14ac:dyDescent="0.3">
      <c r="A11" s="14"/>
      <c r="B11" s="16">
        <f>Calc!D7</f>
        <v>44986</v>
      </c>
      <c r="C11" s="17"/>
      <c r="D11" s="18" t="str">
        <f>Calc!E7</f>
        <v>Income</v>
      </c>
      <c r="E11" s="15"/>
      <c r="F11" s="19" t="str">
        <f>Calc!F7</f>
        <v>MyCompany</v>
      </c>
      <c r="G11" s="19"/>
      <c r="H11" s="20">
        <f>Calc!G7</f>
        <v>3600</v>
      </c>
      <c r="I11" s="14"/>
      <c r="J11" s="14"/>
      <c r="K11" s="14"/>
      <c r="L11" s="14"/>
      <c r="M11" s="14"/>
      <c r="N11" s="14"/>
    </row>
    <row r="12" spans="1:14" ht="30" customHeight="1" x14ac:dyDescent="0.3">
      <c r="A12" s="14"/>
      <c r="B12" s="16">
        <f>Calc!D8</f>
        <v>44983</v>
      </c>
      <c r="C12" s="17"/>
      <c r="D12" s="18" t="str">
        <f>Calc!E8</f>
        <v>Income</v>
      </c>
      <c r="E12" s="15"/>
      <c r="F12" s="19" t="str">
        <f>Calc!F8</f>
        <v>Birthday Co</v>
      </c>
      <c r="G12" s="19"/>
      <c r="H12" s="20">
        <f>Calc!G8</f>
        <v>300</v>
      </c>
      <c r="I12" s="14"/>
      <c r="J12" s="14"/>
      <c r="K12" s="14"/>
      <c r="L12" s="14"/>
      <c r="M12" s="14"/>
      <c r="N12" s="14"/>
    </row>
    <row r="13" spans="1:14" ht="30" customHeight="1" x14ac:dyDescent="0.3">
      <c r="A13" s="14"/>
      <c r="B13" s="16">
        <f>Calc!D9</f>
        <v>44980</v>
      </c>
      <c r="C13" s="17"/>
      <c r="D13" s="18" t="str">
        <f>Calc!E9</f>
        <v>Income</v>
      </c>
      <c r="E13" s="15"/>
      <c r="F13" s="19" t="str">
        <f>Calc!F9</f>
        <v>PayMeMore</v>
      </c>
      <c r="G13" s="19"/>
      <c r="H13" s="20">
        <f>Calc!G9</f>
        <v>200</v>
      </c>
      <c r="I13" s="14"/>
      <c r="J13" s="14"/>
      <c r="K13" s="14"/>
      <c r="L13" s="14"/>
      <c r="M13" s="14"/>
      <c r="N13" s="14"/>
    </row>
    <row r="14" spans="1:14" ht="30" customHeight="1" x14ac:dyDescent="0.3">
      <c r="A14" s="14"/>
      <c r="B14" s="16">
        <f>Calc!D10</f>
        <v>44958</v>
      </c>
      <c r="C14" s="17"/>
      <c r="D14" s="18" t="str">
        <f>Calc!E10</f>
        <v>Income</v>
      </c>
      <c r="E14" s="15"/>
      <c r="F14" s="19" t="str">
        <f>Calc!F10</f>
        <v>MyCompany</v>
      </c>
      <c r="G14" s="19"/>
      <c r="H14" s="20">
        <f>Calc!G10</f>
        <v>4200</v>
      </c>
      <c r="I14" s="14"/>
      <c r="J14" s="14"/>
      <c r="K14" s="14"/>
      <c r="L14" s="14"/>
      <c r="M14" s="14"/>
      <c r="N14" s="14"/>
    </row>
    <row r="15" spans="1:14" ht="30" customHeight="1" x14ac:dyDescent="0.3">
      <c r="A15" s="14"/>
      <c r="B15" s="16">
        <f>Calc!D11</f>
        <v>44957</v>
      </c>
      <c r="C15" s="17"/>
      <c r="D15" s="18" t="str">
        <f>Calc!E11</f>
        <v>Income</v>
      </c>
      <c r="E15" s="15"/>
      <c r="F15" s="19" t="str">
        <f>Calc!F11</f>
        <v>Roof Gang</v>
      </c>
      <c r="G15" s="19"/>
      <c r="H15" s="20">
        <f>Calc!G11</f>
        <v>350</v>
      </c>
      <c r="I15" s="14"/>
      <c r="J15" s="14"/>
      <c r="K15" s="14"/>
      <c r="L15" s="14"/>
      <c r="M15" s="14"/>
      <c r="N15" s="14"/>
    </row>
    <row r="16" spans="1:14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236.4" customHeight="1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ht="183.6" customHeight="1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ht="183.6" customHeight="1" x14ac:dyDescent="0.3"/>
  </sheetData>
  <mergeCells count="2">
    <mergeCell ref="B6:H6"/>
    <mergeCell ref="J2:K2"/>
  </mergeCells>
  <pageMargins left="0" right="0" top="0" bottom="0" header="0" footer="0"/>
  <pageSetup paperSize="9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953115-73C6-4C08-8745-714B48E1D044}">
          <x14:formula1>
            <xm:f>Data!$C$21:$C$31</xm:f>
          </x14:formula1>
          <xm:sqref>L2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Kawaljeetsingh Ladhar</cp:lastModifiedBy>
  <cp:lastPrinted>2022-11-12T10:25:31Z</cp:lastPrinted>
  <dcterms:created xsi:type="dcterms:W3CDTF">2022-11-11T21:07:43Z</dcterms:created>
  <dcterms:modified xsi:type="dcterms:W3CDTF">2026-08-26T05:29:11Z</dcterms:modified>
</cp:coreProperties>
</file>