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65E5CA48-B38B-4E6B-B1F5-90BE9BC02334}" xr6:coauthVersionLast="47" xr6:coauthVersionMax="47" xr10:uidLastSave="{00000000-0000-0000-0000-000000000000}"/>
  <bookViews>
    <workbookView xWindow="-108" yWindow="-108" windowWidth="23256" windowHeight="12456" activeTab="7" xr2:uid="{7AA3CB70-AB1A-4693-B41E-A2EF6E688B54}"/>
  </bookViews>
  <sheets>
    <sheet name="Products" sheetId="1" r:id="rId1"/>
    <sheet name="Orders" sheetId="3" r:id="rId2"/>
    <sheet name="Sold" sheetId="4" r:id="rId3"/>
    <sheet name="Expenses" sheetId="5" r:id="rId4"/>
    <sheet name="Visitors" sheetId="6" r:id="rId5"/>
    <sheet name="Helper" sheetId="7" r:id="rId6"/>
    <sheet name="Top" sheetId="9" r:id="rId7"/>
    <sheet name="Dashboard" sheetId="2" r:id="rId8"/>
  </sheets>
  <externalReferences>
    <externalReference r:id="rId9"/>
  </externalReferences>
  <definedNames>
    <definedName name="Conversion_Pct">INDIRECT(Helper!$B$42)</definedName>
    <definedName name="F_1001">Top!$F$3</definedName>
    <definedName name="F_1002">Top!$F$4</definedName>
    <definedName name="F_1003">Top!$F$5</definedName>
    <definedName name="F_1004">Top!$F$6</definedName>
    <definedName name="Normal">Helper!$B$40</definedName>
    <definedName name="Poor">Helper!$B$39</definedName>
    <definedName name="SHOWME">INDIRECT([1]Data!$K$65)</definedName>
    <definedName name="SHOWME2">INDIRECT([1]Data!$K$83)</definedName>
    <definedName name="Superb">Helper!$B$41</definedName>
    <definedName name="Top_1">INDIRECT(Top!$N$3)</definedName>
    <definedName name="Top_2">INDIRECT(Top!$N$4)</definedName>
    <definedName name="Top_3">INDIRECT(Top!$N$5)</definedName>
    <definedName name="TopPerformer">INDIRECT([1]Data!$C$115)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2" i="4" l="1"/>
  <c r="G81" i="4"/>
  <c r="D4" i="9" l="1" a="1"/>
  <c r="D4" i="9" s="1"/>
  <c r="D30" i="3"/>
  <c r="G80" i="4"/>
  <c r="G79" i="4"/>
  <c r="D28" i="3"/>
  <c r="D29" i="3"/>
  <c r="G78" i="4"/>
  <c r="G77" i="4"/>
  <c r="G76" i="4"/>
  <c r="G75" i="4"/>
  <c r="G74" i="4"/>
  <c r="D15" i="3" s="1"/>
  <c r="D27" i="3"/>
  <c r="G73" i="4"/>
  <c r="G72" i="4"/>
  <c r="G71" i="4"/>
  <c r="G70" i="4"/>
  <c r="D26" i="3"/>
  <c r="G69" i="4"/>
  <c r="G68" i="4"/>
  <c r="D25" i="3"/>
  <c r="G67" i="4"/>
  <c r="G66" i="4"/>
  <c r="D24" i="3"/>
  <c r="G65" i="4"/>
  <c r="G64" i="4"/>
  <c r="G63" i="4"/>
  <c r="G62" i="4"/>
  <c r="D23" i="3"/>
  <c r="G61" i="4"/>
  <c r="G60" i="4"/>
  <c r="D22" i="3"/>
  <c r="D21" i="3"/>
  <c r="G59" i="4"/>
  <c r="G58" i="4"/>
  <c r="G57" i="4"/>
  <c r="G56" i="4"/>
  <c r="G55" i="4"/>
  <c r="D20" i="3"/>
  <c r="G54" i="4"/>
  <c r="G53" i="4"/>
  <c r="G52" i="4"/>
  <c r="G51" i="4"/>
  <c r="G50" i="4"/>
  <c r="G49" i="4"/>
  <c r="D18" i="3"/>
  <c r="G48" i="4"/>
  <c r="G47" i="4"/>
  <c r="D17" i="3"/>
  <c r="D16" i="3"/>
  <c r="G46" i="4"/>
  <c r="G45" i="4"/>
  <c r="G44" i="4"/>
  <c r="G43" i="4"/>
  <c r="G42" i="4"/>
  <c r="G41" i="4"/>
  <c r="G40" i="4"/>
  <c r="D14" i="3"/>
  <c r="G39" i="4"/>
  <c r="G38" i="4"/>
  <c r="G37" i="4"/>
  <c r="G36" i="4"/>
  <c r="G35" i="4"/>
  <c r="G34" i="4"/>
  <c r="G33" i="4"/>
  <c r="D13" i="3" s="1"/>
  <c r="D11" i="3"/>
  <c r="D10" i="3"/>
  <c r="G32" i="4"/>
  <c r="G31" i="4"/>
  <c r="G30" i="4"/>
  <c r="D12" i="3" s="1"/>
  <c r="G29" i="4"/>
  <c r="G28" i="4"/>
  <c r="G27" i="4"/>
  <c r="G26" i="4"/>
  <c r="G25" i="4"/>
  <c r="G24" i="4"/>
  <c r="G23" i="4"/>
  <c r="G22" i="4"/>
  <c r="D9" i="3" s="1"/>
  <c r="D1" i="7" a="1"/>
  <c r="D1" i="7" s="1"/>
  <c r="D29" i="2"/>
  <c r="D30" i="2"/>
  <c r="D31" i="2"/>
  <c r="C29" i="2"/>
  <c r="E29" i="2"/>
  <c r="G29" i="2"/>
  <c r="C30" i="2"/>
  <c r="E30" i="2"/>
  <c r="G30" i="2"/>
  <c r="C31" i="2"/>
  <c r="E31" i="2"/>
  <c r="G31" i="2"/>
  <c r="D28" i="2"/>
  <c r="E28" i="2"/>
  <c r="G28" i="2"/>
  <c r="C28" i="2"/>
  <c r="G21" i="4"/>
  <c r="G20" i="4"/>
  <c r="D8" i="3" s="1"/>
  <c r="G19" i="4"/>
  <c r="G18" i="4"/>
  <c r="G17" i="4"/>
  <c r="G16" i="4"/>
  <c r="G15" i="4"/>
  <c r="G14" i="4"/>
  <c r="G12" i="4"/>
  <c r="G13" i="4"/>
  <c r="G11" i="4"/>
  <c r="G10" i="4"/>
  <c r="G9" i="4"/>
  <c r="D5" i="3" s="1"/>
  <c r="F31" i="2" s="1"/>
  <c r="G8" i="4"/>
  <c r="G7" i="4"/>
  <c r="D4" i="3" s="1"/>
  <c r="F30" i="2" s="1"/>
  <c r="G6" i="4"/>
  <c r="D3" i="3"/>
  <c r="F29" i="2" s="1"/>
  <c r="G5" i="4"/>
  <c r="G4" i="4"/>
  <c r="G3" i="4"/>
  <c r="G2" i="4"/>
  <c r="D25" i="7" l="1"/>
  <c r="D26" i="7"/>
  <c r="I8" i="7" a="1"/>
  <c r="I8" i="7" s="1"/>
  <c r="D18" i="7" a="1"/>
  <c r="D18" i="7" s="1"/>
  <c r="D19" i="7" a="1"/>
  <c r="D19" i="7" s="1"/>
  <c r="E4" i="9" a="1"/>
  <c r="E4" i="9" s="1"/>
  <c r="E5" i="9" a="1"/>
  <c r="E5" i="9" s="1"/>
  <c r="E3" i="9" a="1"/>
  <c r="E3" i="9" s="1"/>
  <c r="E6" i="9" a="1"/>
  <c r="E6" i="9" s="1"/>
  <c r="D3" i="9" a="1"/>
  <c r="D3" i="9" s="1"/>
  <c r="D6" i="9" a="1"/>
  <c r="D6" i="9" s="1"/>
  <c r="D5" i="9" a="1"/>
  <c r="D5" i="9" s="1"/>
  <c r="D7" i="3"/>
  <c r="D19" i="3"/>
  <c r="I9" i="7" a="1"/>
  <c r="I9" i="7" s="1"/>
  <c r="H8" i="7" a="1"/>
  <c r="H8" i="7" s="1"/>
  <c r="K13" i="7"/>
  <c r="M7" i="7" a="1"/>
  <c r="M7" i="7" s="1"/>
  <c r="M6" i="7" a="1"/>
  <c r="M6" i="7" s="1"/>
  <c r="M8" i="7" a="1"/>
  <c r="M8" i="7" s="1"/>
  <c r="D6" i="3"/>
  <c r="H11" i="7" a="1"/>
  <c r="H11" i="7" s="1"/>
  <c r="H10" i="7" a="1"/>
  <c r="H10" i="7" s="1"/>
  <c r="H9" i="7" a="1"/>
  <c r="H9" i="7" s="1"/>
  <c r="I7" i="7" a="1"/>
  <c r="I7" i="7" s="1"/>
  <c r="N11" i="7" a="1"/>
  <c r="N11" i="7" s="1"/>
  <c r="N10" i="7" a="1"/>
  <c r="N10" i="7" s="1"/>
  <c r="K12" i="7"/>
  <c r="I6" i="7" a="1"/>
  <c r="I6" i="7" s="1"/>
  <c r="K11" i="7"/>
  <c r="N12" i="7" a="1"/>
  <c r="N12" i="7" s="1"/>
  <c r="I3" i="7" a="1"/>
  <c r="I3" i="7" s="1"/>
  <c r="N9" i="7" a="1"/>
  <c r="N9" i="7" s="1"/>
  <c r="I14" i="7" a="1"/>
  <c r="I14" i="7" s="1"/>
  <c r="N8" i="7" a="1"/>
  <c r="N8" i="7" s="1"/>
  <c r="I13" i="7" a="1"/>
  <c r="I13" i="7" s="1"/>
  <c r="N7" i="7" a="1"/>
  <c r="N7" i="7" s="1"/>
  <c r="K10" i="7"/>
  <c r="I5" i="7" a="1"/>
  <c r="I5" i="7" s="1"/>
  <c r="F9" i="7"/>
  <c r="M14" i="7" a="1"/>
  <c r="M14" i="7" s="1"/>
  <c r="I12" i="7" a="1"/>
  <c r="I12" i="7" s="1"/>
  <c r="I4" i="7" a="1"/>
  <c r="I4" i="7" s="1"/>
  <c r="N6" i="7" a="1"/>
  <c r="N6" i="7" s="1"/>
  <c r="F8" i="7"/>
  <c r="I11" i="7" a="1"/>
  <c r="I11" i="7" s="1"/>
  <c r="N3" i="7" a="1"/>
  <c r="N3" i="7" s="1"/>
  <c r="F7" i="7"/>
  <c r="M13" i="7" a="1"/>
  <c r="M13" i="7" s="1"/>
  <c r="I10" i="7" a="1"/>
  <c r="I10" i="7" s="1"/>
  <c r="N14" i="7" a="1"/>
  <c r="N14" i="7" s="1"/>
  <c r="N5" i="7" a="1"/>
  <c r="N5" i="7" s="1"/>
  <c r="F6" i="7"/>
  <c r="M12" i="7" a="1"/>
  <c r="M12" i="7" s="1"/>
  <c r="N13" i="7" a="1"/>
  <c r="N13" i="7" s="1"/>
  <c r="N4" i="7" a="1"/>
  <c r="N4" i="7" s="1"/>
  <c r="F4" i="7"/>
  <c r="H7" i="7" a="1"/>
  <c r="H7" i="7" s="1"/>
  <c r="K8" i="7"/>
  <c r="H3" i="7" a="1"/>
  <c r="H3" i="7" s="1"/>
  <c r="K7" i="7"/>
  <c r="H14" i="7" a="1"/>
  <c r="H14" i="7" s="1"/>
  <c r="H6" i="7" a="1"/>
  <c r="H6" i="7" s="1"/>
  <c r="K6" i="7"/>
  <c r="M10" i="7" a="1"/>
  <c r="M10" i="7" s="1"/>
  <c r="M4" i="7" a="1"/>
  <c r="M4" i="7" s="1"/>
  <c r="F13" i="7"/>
  <c r="F12" i="7"/>
  <c r="H13" i="7" a="1"/>
  <c r="H13" i="7" s="1"/>
  <c r="H4" i="7" a="1"/>
  <c r="H4" i="7" s="1"/>
  <c r="K4" i="7"/>
  <c r="M9" i="7" a="1"/>
  <c r="M9" i="7" s="1"/>
  <c r="F5" i="7"/>
  <c r="K9" i="7"/>
  <c r="M5" i="7" a="1"/>
  <c r="M5" i="7" s="1"/>
  <c r="F3" i="7"/>
  <c r="H5" i="7" a="1"/>
  <c r="H5" i="7" s="1"/>
  <c r="K5" i="7"/>
  <c r="F11" i="7"/>
  <c r="K3" i="7"/>
  <c r="M3" i="7" a="1"/>
  <c r="M3" i="7" s="1"/>
  <c r="M11" i="7" a="1"/>
  <c r="M11" i="7" s="1"/>
  <c r="F14" i="7"/>
  <c r="F10" i="7"/>
  <c r="H12" i="7" a="1"/>
  <c r="H12" i="7" s="1"/>
  <c r="K14" i="7"/>
  <c r="D2" i="3"/>
  <c r="F28" i="2" s="1"/>
  <c r="D32" i="7" l="1"/>
  <c r="D43" i="7" s="1"/>
  <c r="D33" i="7"/>
  <c r="D20" i="7"/>
  <c r="D22" i="7" s="1"/>
  <c r="D27" i="7"/>
  <c r="H3" i="9" a="1"/>
  <c r="N15" i="7"/>
  <c r="D12" i="7" s="1"/>
  <c r="I15" i="7"/>
  <c r="D11" i="7" s="1"/>
  <c r="H15" i="7"/>
  <c r="D4" i="7" s="1"/>
  <c r="M15" i="7"/>
  <c r="D5" i="7" s="1"/>
  <c r="D6" i="7" l="1"/>
  <c r="D8" i="7" s="1"/>
  <c r="E32" i="7"/>
  <c r="B42" i="7"/>
  <c r="D42" i="7" s="1"/>
  <c r="D34" i="7"/>
  <c r="D35" i="7" s="1"/>
  <c r="D21" i="7"/>
  <c r="D29" i="7"/>
  <c r="D28" i="7"/>
  <c r="D7" i="7"/>
  <c r="D13" i="7"/>
  <c r="K26" i="2"/>
  <c r="L27" i="2"/>
  <c r="L13" i="2"/>
  <c r="L29" i="2"/>
  <c r="L20" i="2"/>
  <c r="L15" i="2"/>
  <c r="K31" i="2"/>
  <c r="K24" i="2"/>
  <c r="K19" i="2"/>
  <c r="K12" i="2"/>
  <c r="K17" i="2"/>
  <c r="L22" i="2"/>
  <c r="H3" i="9"/>
  <c r="N3" i="9" s="1"/>
  <c r="N6" i="9"/>
  <c r="N5" i="9"/>
  <c r="N4" i="9"/>
  <c r="D36" i="7" l="1"/>
  <c r="D15" i="7"/>
  <c r="D1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<sst xmlns="http://schemas.openxmlformats.org/spreadsheetml/2006/main" count="374" uniqueCount="96">
  <si>
    <t>Blue Socks</t>
  </si>
  <si>
    <t>ID</t>
  </si>
  <si>
    <t>Description</t>
  </si>
  <si>
    <t>Manufacturer</t>
  </si>
  <si>
    <t>Price</t>
  </si>
  <si>
    <t>Blue Marvel</t>
  </si>
  <si>
    <t>Image</t>
  </si>
  <si>
    <t>Orange Socks</t>
  </si>
  <si>
    <t>Orange Country</t>
  </si>
  <si>
    <t>Red Icon</t>
  </si>
  <si>
    <t>Pink Panther</t>
  </si>
  <si>
    <t>Red Socks</t>
  </si>
  <si>
    <t>Pink Socks</t>
  </si>
  <si>
    <t>Order ID</t>
  </si>
  <si>
    <t>Billing</t>
  </si>
  <si>
    <t>Date</t>
  </si>
  <si>
    <t>John Doe</t>
  </si>
  <si>
    <t>Amount</t>
  </si>
  <si>
    <t>Status</t>
  </si>
  <si>
    <t>Pending Payment</t>
  </si>
  <si>
    <t>Order</t>
  </si>
  <si>
    <t>Product</t>
  </si>
  <si>
    <t>Qty</t>
  </si>
  <si>
    <t>Unit</t>
  </si>
  <si>
    <t>Total</t>
  </si>
  <si>
    <t>On Hold</t>
  </si>
  <si>
    <t>Jerry Bellows</t>
  </si>
  <si>
    <t>Barry Jenkins</t>
  </si>
  <si>
    <t>Processing</t>
  </si>
  <si>
    <t>Jeff Shepard</t>
  </si>
  <si>
    <t>Completed</t>
  </si>
  <si>
    <t>Earl Barnes</t>
  </si>
  <si>
    <t>Lydia Andrews</t>
  </si>
  <si>
    <t>Taylor Logan</t>
  </si>
  <si>
    <t>Year</t>
  </si>
  <si>
    <t>Month</t>
  </si>
  <si>
    <t>Expense</t>
  </si>
  <si>
    <t>Website Tech and Software</t>
  </si>
  <si>
    <t>Inventory</t>
  </si>
  <si>
    <t>Employees</t>
  </si>
  <si>
    <t>Building</t>
  </si>
  <si>
    <t>Shipping</t>
  </si>
  <si>
    <t>Units:</t>
  </si>
  <si>
    <t>TOP SELLING PRODUCTS</t>
  </si>
  <si>
    <t>Billing Name</t>
  </si>
  <si>
    <t>Date &amp; Time</t>
  </si>
  <si>
    <t>LATEST ORDERS</t>
  </si>
  <si>
    <t>Available Years for Selection</t>
  </si>
  <si>
    <t>Selected Year</t>
  </si>
  <si>
    <t>Total Sales</t>
  </si>
  <si>
    <t>Previous</t>
  </si>
  <si>
    <t>Difference</t>
  </si>
  <si>
    <t>Sales</t>
  </si>
  <si>
    <t>SALES &amp; EXPENSES CURRENT YEAR</t>
  </si>
  <si>
    <t>Expenses</t>
  </si>
  <si>
    <t>SALES &amp; EXPENSES PREVIOUS YEAR</t>
  </si>
  <si>
    <t>Alexandria Hendrickson</t>
  </si>
  <si>
    <t>Total Expenses</t>
  </si>
  <si>
    <t>Stephen Lowe</t>
  </si>
  <si>
    <t>Peyton Donahue</t>
  </si>
  <si>
    <t>Zev Mahoney</t>
  </si>
  <si>
    <t>Beckett Hughes</t>
  </si>
  <si>
    <t>Mirel Simpson</t>
  </si>
  <si>
    <t>Zissy Madden</t>
  </si>
  <si>
    <t>Frady McCarty</t>
  </si>
  <si>
    <t>Mendy Saunders</t>
  </si>
  <si>
    <t>Cecil Forbes</t>
  </si>
  <si>
    <t>Angel Schultz</t>
  </si>
  <si>
    <t>Gemma Cooper</t>
  </si>
  <si>
    <t>Jenna Schneider</t>
  </si>
  <si>
    <t>Tony Barnes</t>
  </si>
  <si>
    <t>Youssef Elkins</t>
  </si>
  <si>
    <t>Marco Beard</t>
  </si>
  <si>
    <t>Anisa Bean</t>
  </si>
  <si>
    <t>Shifra Case</t>
  </si>
  <si>
    <t>Roy Olson</t>
  </si>
  <si>
    <t>Ivan Hamilton</t>
  </si>
  <si>
    <t>Alessandro Fulton</t>
  </si>
  <si>
    <t>Mendel Oliver</t>
  </si>
  <si>
    <t>NOT SORTED DATA</t>
  </si>
  <si>
    <t>SORTED DATA</t>
  </si>
  <si>
    <t>X</t>
  </si>
  <si>
    <t>Helper</t>
  </si>
  <si>
    <t>Diff +</t>
  </si>
  <si>
    <t>Diff -</t>
  </si>
  <si>
    <t>Visitors</t>
  </si>
  <si>
    <t>Total Visitors</t>
  </si>
  <si>
    <t>Total Orders</t>
  </si>
  <si>
    <t>Conversion</t>
  </si>
  <si>
    <t>Max</t>
  </si>
  <si>
    <t>To 100%</t>
  </si>
  <si>
    <t>Option Poor</t>
  </si>
  <si>
    <t>Option Normal</t>
  </si>
  <si>
    <t>Option Superb</t>
  </si>
  <si>
    <t>Current Conversion Rate:</t>
  </si>
  <si>
    <t>Current Conversion Icon: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</si>
</sst>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m/dd/yyyy\ hh:mm"/>
    <numFmt numFmtId="166" formatCode="\+0.00%;\-0.00%;0.00%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Bahnschrift"/>
      <family val="2"/>
    </font>
    <font>
      <sz val="16"/>
      <color theme="1"/>
      <name val="Bahnschrift"/>
      <family val="2"/>
    </font>
    <font>
      <sz val="10"/>
      <color theme="0"/>
      <name val="Bahnschrift"/>
      <family val="2"/>
    </font>
    <font>
      <b/>
      <sz val="10"/>
      <color theme="0"/>
      <name val="Bahnschrift"/>
      <family val="2"/>
    </font>
    <font>
      <sz val="10"/>
      <color theme="1" tint="0.499984740745262"/>
      <name val="Bahnschrift"/>
      <family val="2"/>
    </font>
    <font>
      <sz val="10"/>
      <color theme="1" tint="4.9989318521683403E-2"/>
      <name val="Bahnschrift"/>
      <family val="2"/>
    </font>
    <font>
      <b/>
      <sz val="10"/>
      <color theme="1"/>
      <name val="Bahnschrift"/>
      <family val="2"/>
    </font>
    <font>
      <b/>
      <sz val="18"/>
      <color theme="1"/>
      <name val="Bahnschrift"/>
      <family val="2"/>
    </font>
    <font>
      <b/>
      <sz val="16"/>
      <color rgb="FF3876D7"/>
      <name val="Bahnschrift"/>
      <family val="2"/>
    </font>
    <font>
      <b/>
      <sz val="9"/>
      <color theme="1"/>
      <name val="Bahnschrift"/>
      <family val="2"/>
    </font>
    <font>
      <sz val="11"/>
      <color theme="0"/>
      <name val="Bahnschrift"/>
      <family val="2"/>
    </font>
    <font>
      <b/>
      <sz val="10"/>
      <name val="Bahnschrift"/>
      <family val="2"/>
    </font>
    <font>
      <sz val="8"/>
      <color theme="0"/>
      <name val="Bahnschrift"/>
      <family val="2"/>
    </font>
    <font>
      <sz val="9"/>
      <color theme="0"/>
      <name val="Bahnschrift"/>
      <family val="2"/>
    </font>
    <font>
      <b/>
      <sz val="8"/>
      <color theme="0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876D7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0.89999084444715716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/>
    </xf>
    <xf numFmtId="164" fontId="1" fillId="3" borderId="8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164" fontId="1" fillId="3" borderId="10" xfId="0" applyNumberFormat="1" applyFont="1" applyFill="1" applyBorder="1" applyAlignment="1">
      <alignment horizontal="center" vertical="center"/>
    </xf>
    <xf numFmtId="1" fontId="1" fillId="3" borderId="10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165" fontId="1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165" fontId="6" fillId="5" borderId="0" xfId="0" applyNumberFormat="1" applyFont="1" applyFill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164" fontId="1" fillId="6" borderId="11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164" fontId="1" fillId="3" borderId="21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left" vertical="center"/>
    </xf>
    <xf numFmtId="164" fontId="1" fillId="3" borderId="27" xfId="0" applyNumberFormat="1" applyFont="1" applyFill="1" applyBorder="1" applyAlignment="1">
      <alignment horizontal="center" vertical="center"/>
    </xf>
    <xf numFmtId="0" fontId="0" fillId="3" borderId="0" xfId="0" applyFill="1"/>
    <xf numFmtId="3" fontId="1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3" fontId="1" fillId="3" borderId="10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" fontId="1" fillId="3" borderId="21" xfId="0" applyNumberFormat="1" applyFont="1" applyFill="1" applyBorder="1" applyAlignment="1">
      <alignment horizontal="center" vertical="center"/>
    </xf>
    <xf numFmtId="1" fontId="1" fillId="3" borderId="27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right" vertical="center" indent="1"/>
    </xf>
    <xf numFmtId="0" fontId="3" fillId="3" borderId="0" xfId="0" applyFont="1" applyFill="1" applyAlignment="1">
      <alignment horizontal="center" vertical="center"/>
    </xf>
    <xf numFmtId="10" fontId="1" fillId="3" borderId="10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66" fontId="1" fillId="3" borderId="10" xfId="0" applyNumberFormat="1" applyFont="1" applyFill="1" applyBorder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4" fillId="4" borderId="0" xfId="0" applyFont="1" applyFill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ahnschrift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ahnschrift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Bahnschrift"/>
        <family val="2"/>
        <scheme val="none"/>
      </font>
      <numFmt numFmtId="165" formatCode="mm/dd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Bahnschrif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ahnschrift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Bahnschrift"/>
        <family val="2"/>
        <scheme val="none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Bahnschrif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Bahnschrift"/>
        <family val="2"/>
        <scheme val="none"/>
      </font>
      <numFmt numFmtId="165" formatCode="mm/dd/yyyy\ 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3876D7"/>
      <color rgb="FF9D4FE7"/>
      <color rgb="FF29AD6E"/>
      <color rgb="FF2D2B2B"/>
      <color rgb="FFFE3713"/>
      <color rgb="FF35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629149617167429E-3"/>
          <c:y val="7.8936417986819538E-2"/>
          <c:w val="0.90581421887481461"/>
          <c:h val="0.83610597296272005"/>
        </c:manualLayout>
      </c:layout>
      <c:areaChart>
        <c:grouping val="stacked"/>
        <c:varyColors val="0"/>
        <c:ser>
          <c:idx val="1"/>
          <c:order val="1"/>
          <c:tx>
            <c:strRef>
              <c:f>Helper!$I$2</c:f>
              <c:strCache>
                <c:ptCount val="1"/>
                <c:pt idx="0">
                  <c:v>Expenses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5000"/>
                    <a:lumOff val="95000"/>
                    <a:alpha val="48000"/>
                  </a:schemeClr>
                </a:gs>
                <a:gs pos="18000">
                  <a:srgbClr val="FE3713"/>
                </a:gs>
              </a:gsLst>
              <a:lin ang="5400000" scaled="1"/>
            </a:gradFill>
            <a:ln>
              <a:noFill/>
            </a:ln>
            <a:effectLst/>
          </c:spPr>
          <c:cat>
            <c:numRef>
              <c:f>Helper!$G$3:$G$14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cat>
          <c:val>
            <c:numRef>
              <c:f>Helper!$I$3:$I$14</c:f>
              <c:numCache>
                <c:formatCode>"$"#,##0.00</c:formatCode>
                <c:ptCount val="12"/>
                <c:pt idx="0">
                  <c:v>2450</c:v>
                </c:pt>
                <c:pt idx="1">
                  <c:v>2400</c:v>
                </c:pt>
                <c:pt idx="2">
                  <c:v>2800</c:v>
                </c:pt>
                <c:pt idx="3">
                  <c:v>2500</c:v>
                </c:pt>
                <c:pt idx="4">
                  <c:v>1950</c:v>
                </c:pt>
                <c:pt idx="5">
                  <c:v>1800</c:v>
                </c:pt>
                <c:pt idx="6">
                  <c:v>2250</c:v>
                </c:pt>
                <c:pt idx="7">
                  <c:v>2350</c:v>
                </c:pt>
                <c:pt idx="8">
                  <c:v>2300</c:v>
                </c:pt>
                <c:pt idx="9">
                  <c:v>2600</c:v>
                </c:pt>
                <c:pt idx="10">
                  <c:v>2400</c:v>
                </c:pt>
                <c:pt idx="11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5-4DF2-8E1F-9AAD5394E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112304"/>
        <c:axId val="543112784"/>
      </c:areaChart>
      <c:barChart>
        <c:barDir val="col"/>
        <c:grouping val="clustered"/>
        <c:varyColors val="0"/>
        <c:ser>
          <c:idx val="0"/>
          <c:order val="0"/>
          <c:tx>
            <c:strRef>
              <c:f>Helper!$H$2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3876D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Helper!$H$3:$H$14</c:f>
              <c:numCache>
                <c:formatCode>"$"#,##0.00</c:formatCode>
                <c:ptCount val="12"/>
                <c:pt idx="0">
                  <c:v>8027.5</c:v>
                </c:pt>
                <c:pt idx="1">
                  <c:v>2270</c:v>
                </c:pt>
                <c:pt idx="2">
                  <c:v>4844</c:v>
                </c:pt>
                <c:pt idx="3">
                  <c:v>7967.75</c:v>
                </c:pt>
                <c:pt idx="4">
                  <c:v>4812.5</c:v>
                </c:pt>
                <c:pt idx="5">
                  <c:v>3175</c:v>
                </c:pt>
                <c:pt idx="6">
                  <c:v>3641</c:v>
                </c:pt>
                <c:pt idx="7">
                  <c:v>3440.5</c:v>
                </c:pt>
                <c:pt idx="8">
                  <c:v>4029.5</c:v>
                </c:pt>
                <c:pt idx="9">
                  <c:v>2896.5</c:v>
                </c:pt>
                <c:pt idx="10">
                  <c:v>5618</c:v>
                </c:pt>
                <c:pt idx="11">
                  <c:v>2918.5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A5-4DF2-8E1F-9AAD5394E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43112304"/>
        <c:axId val="543112784"/>
      </c:barChart>
      <c:catAx>
        <c:axId val="5431123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43112784"/>
        <c:crosses val="autoZero"/>
        <c:auto val="1"/>
        <c:lblAlgn val="ctr"/>
        <c:lblOffset val="100"/>
        <c:noMultiLvlLbl val="0"/>
      </c:catAx>
      <c:valAx>
        <c:axId val="543112784"/>
        <c:scaling>
          <c:orientation val="minMax"/>
        </c:scaling>
        <c:delete val="0"/>
        <c:axPos val="r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431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01300940764974"/>
          <c:y val="1.9004614040917631E-4"/>
          <c:w val="0.1669482942673880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77326102052808"/>
          <c:y val="0.24297941395484066"/>
          <c:w val="0.62778334647825951"/>
          <c:h val="0.71126491887513976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3876D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8-4FE7-AA09-2BD658A0DF1B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8-4FE7-AA09-2BD658A0DF1B}"/>
              </c:ext>
            </c:extLst>
          </c:dPt>
          <c:dPt>
            <c:idx val="2"/>
            <c:bubble3D val="0"/>
            <c:spPr>
              <a:solidFill>
                <a:schemeClr val="bg2">
                  <a:lumMod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8-4FE7-AA09-2BD658A0DF1B}"/>
              </c:ext>
            </c:extLst>
          </c:dPt>
          <c:val>
            <c:numRef>
              <c:f>Helper!$D$32:$F$32</c:f>
              <c:numCache>
                <c:formatCode>0.00%</c:formatCode>
                <c:ptCount val="3"/>
                <c:pt idx="0">
                  <c:v>0.46875</c:v>
                </c:pt>
                <c:pt idx="1">
                  <c:v>0.53125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58-4FE7-AA09-2BD658A0D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6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1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2" dropStyle="combo" dx="26" fmlaLink="Helper!$C$2" fmlaRange="Helper!$A$2:$A$3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emf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5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14.emf"/><Relationship Id="rId5" Type="http://schemas.openxmlformats.org/officeDocument/2006/relationships/image" Target="../media/image13.emf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svg"/><Relationship Id="rId3" Type="http://schemas.openxmlformats.org/officeDocument/2006/relationships/image" Target="../media/image21.emf"/><Relationship Id="rId7" Type="http://schemas.openxmlformats.org/officeDocument/2006/relationships/image" Target="../media/image23.svg"/><Relationship Id="rId12" Type="http://schemas.openxmlformats.org/officeDocument/2006/relationships/image" Target="../media/image28.png"/><Relationship Id="rId2" Type="http://schemas.openxmlformats.org/officeDocument/2006/relationships/image" Target="../media/image20.emf"/><Relationship Id="rId1" Type="http://schemas.openxmlformats.org/officeDocument/2006/relationships/image" Target="../media/image19.emf"/><Relationship Id="rId6" Type="http://schemas.openxmlformats.org/officeDocument/2006/relationships/image" Target="../media/image22.png"/><Relationship Id="rId11" Type="http://schemas.openxmlformats.org/officeDocument/2006/relationships/image" Target="../media/image27.svg"/><Relationship Id="rId5" Type="http://schemas.openxmlformats.org/officeDocument/2006/relationships/chart" Target="../charts/chart1.xml"/><Relationship Id="rId15" Type="http://schemas.openxmlformats.org/officeDocument/2006/relationships/image" Target="../media/image30.emf"/><Relationship Id="rId10" Type="http://schemas.openxmlformats.org/officeDocument/2006/relationships/image" Target="../media/image26.png"/><Relationship Id="rId4" Type="http://schemas.openxmlformats.org/officeDocument/2006/relationships/hyperlink" Target="#Orders!A1"/><Relationship Id="rId9" Type="http://schemas.openxmlformats.org/officeDocument/2006/relationships/image" Target="../media/image25.svg"/><Relationship Id="rId14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2.emf"/><Relationship Id="rId1" Type="http://schemas.openxmlformats.org/officeDocument/2006/relationships/image" Target="../media/image31.emf"/><Relationship Id="rId4" Type="http://schemas.openxmlformats.org/officeDocument/2006/relationships/image" Target="../media/image3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45722</xdr:colOff>
      <xdr:row>1</xdr:row>
      <xdr:rowOff>30480</xdr:rowOff>
    </xdr:from>
    <xdr:to>
      <xdr:col>4</xdr:col>
      <xdr:colOff>623842</xdr:colOff>
      <xdr:row>1</xdr:row>
      <xdr:rowOff>606480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1831BC-2E44-928E-8023-643D689BA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0162" y="533400"/>
          <a:ext cx="578120" cy="576000"/>
        </a:xfrm>
        <a:prstGeom prst="rect">
          <a:avLst/>
        </a:prstGeom>
      </xdr:spPr>
    </xdr:pic>
    <xdr:clientData/>
  </xdr:twoCellAnchor>
  <xdr:oneCellAnchor>
    <xdr:from>
      <xdr:col>4</xdr:col>
      <xdr:colOff>45722</xdr:colOff>
      <xdr:row>2</xdr:row>
      <xdr:rowOff>30481</xdr:rowOff>
    </xdr:from>
    <xdr:ext cx="578120" cy="575998"/>
    <xdr:pic>
      <xdr:nvPicPr>
        <xdr:cNvPr id="5" name="Picture 4">
          <a:extLst>
            <a:ext uri="{FF2B5EF4-FFF2-40B4-BE49-F238E27FC236}">
              <a16:creationId xmlns:a16="http://schemas.microsoft.com/office/drawing/2014/main" id="{1F5C369D-7608-457F-A035-A817E4D3A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90162" y="1165861"/>
          <a:ext cx="578120" cy="575998"/>
        </a:xfrm>
        <a:prstGeom prst="rect">
          <a:avLst/>
        </a:prstGeom>
      </xdr:spPr>
    </xdr:pic>
    <xdr:clientData/>
  </xdr:oneCellAnchor>
  <xdr:oneCellAnchor>
    <xdr:from>
      <xdr:col>4</xdr:col>
      <xdr:colOff>45722</xdr:colOff>
      <xdr:row>3</xdr:row>
      <xdr:rowOff>30481</xdr:rowOff>
    </xdr:from>
    <xdr:ext cx="578120" cy="575998"/>
    <xdr:pic>
      <xdr:nvPicPr>
        <xdr:cNvPr id="6" name="Picture 5">
          <a:extLst>
            <a:ext uri="{FF2B5EF4-FFF2-40B4-BE49-F238E27FC236}">
              <a16:creationId xmlns:a16="http://schemas.microsoft.com/office/drawing/2014/main" id="{8F937261-F377-4BD9-A285-DF696EA08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90162" y="1798321"/>
          <a:ext cx="578120" cy="575998"/>
        </a:xfrm>
        <a:prstGeom prst="rect">
          <a:avLst/>
        </a:prstGeom>
      </xdr:spPr>
    </xdr:pic>
    <xdr:clientData/>
  </xdr:oneCellAnchor>
  <xdr:oneCellAnchor>
    <xdr:from>
      <xdr:col>4</xdr:col>
      <xdr:colOff>45722</xdr:colOff>
      <xdr:row>4</xdr:row>
      <xdr:rowOff>30481</xdr:rowOff>
    </xdr:from>
    <xdr:ext cx="578120" cy="575998"/>
    <xdr:pic>
      <xdr:nvPicPr>
        <xdr:cNvPr id="7" name="Picture 6">
          <a:extLst>
            <a:ext uri="{FF2B5EF4-FFF2-40B4-BE49-F238E27FC236}">
              <a16:creationId xmlns:a16="http://schemas.microsoft.com/office/drawing/2014/main" id="{387799D2-FD99-4CA4-AEBC-0096464FD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90162" y="2430781"/>
          <a:ext cx="578120" cy="57599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108438</xdr:colOff>
      <xdr:row>38</xdr:row>
      <xdr:rowOff>70338</xdr:rowOff>
    </xdr:from>
    <xdr:to>
      <xdr:col>1</xdr:col>
      <xdr:colOff>413238</xdr:colOff>
      <xdr:row>38</xdr:row>
      <xdr:rowOff>375138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CB993B8F-AB41-BDE0-524A-7ADC98481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6192" y="6359769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108438</xdr:colOff>
      <xdr:row>39</xdr:row>
      <xdr:rowOff>67408</xdr:rowOff>
    </xdr:from>
    <xdr:to>
      <xdr:col>1</xdr:col>
      <xdr:colOff>413238</xdr:colOff>
      <xdr:row>39</xdr:row>
      <xdr:rowOff>372208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9FB5B795-0E7E-0670-EBC5-B1D2B224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066192" y="6796454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108438</xdr:colOff>
      <xdr:row>40</xdr:row>
      <xdr:rowOff>64477</xdr:rowOff>
    </xdr:from>
    <xdr:to>
      <xdr:col>1</xdr:col>
      <xdr:colOff>413238</xdr:colOff>
      <xdr:row>40</xdr:row>
      <xdr:rowOff>369277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42DBDBDB-D73B-3E18-A03C-49D3F4A5D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66192" y="7233139"/>
          <a:ext cx="304800" cy="304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23447</xdr:colOff>
          <xdr:row>42</xdr:row>
          <xdr:rowOff>5860</xdr:rowOff>
        </xdr:from>
        <xdr:to>
          <xdr:col>1</xdr:col>
          <xdr:colOff>527447</xdr:colOff>
          <xdr:row>42</xdr:row>
          <xdr:rowOff>425860</xdr:rowOff>
        </xdr:to>
        <xdr:pic>
          <xdr:nvPicPr>
            <xdr:cNvPr id="15" name="Graphic 14">
              <a:extLst>
                <a:ext uri="{FF2B5EF4-FFF2-40B4-BE49-F238E27FC236}">
                  <a16:creationId xmlns:a16="http://schemas.microsoft.com/office/drawing/2014/main" id="{F8443CCC-5E9D-4974-B15E-414EA0C9474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Conversion_Pct" spid="_x0000_s7178"/>
                </a:ext>
              </a:extLst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81201" y="8223737"/>
              <a:ext cx="504000" cy="42000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45722</xdr:colOff>
      <xdr:row>2</xdr:row>
      <xdr:rowOff>30480</xdr:rowOff>
    </xdr:from>
    <xdr:to>
      <xdr:col>5</xdr:col>
      <xdr:colOff>623842</xdr:colOff>
      <xdr:row>2</xdr:row>
      <xdr:rowOff>606480</xdr:rowOff>
    </xdr:to>
    <xdr:pic>
      <xdr:nvPicPr>
        <xdr:cNvPr id="2" name="1001">
          <a:extLst>
            <a:ext uri="{FF2B5EF4-FFF2-40B4-BE49-F238E27FC236}">
              <a16:creationId xmlns:a16="http://schemas.microsoft.com/office/drawing/2014/main" id="{D894D8FE-4FEB-4573-986A-9569BA0D3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0162" y="281940"/>
          <a:ext cx="578120" cy="576000"/>
        </a:xfrm>
        <a:prstGeom prst="rect">
          <a:avLst/>
        </a:prstGeom>
      </xdr:spPr>
    </xdr:pic>
    <xdr:clientData/>
  </xdr:twoCellAnchor>
  <xdr:oneCellAnchor>
    <xdr:from>
      <xdr:col>5</xdr:col>
      <xdr:colOff>45722</xdr:colOff>
      <xdr:row>3</xdr:row>
      <xdr:rowOff>30481</xdr:rowOff>
    </xdr:from>
    <xdr:ext cx="578120" cy="575998"/>
    <xdr:pic>
      <xdr:nvPicPr>
        <xdr:cNvPr id="3" name="Picture 2">
          <a:extLst>
            <a:ext uri="{FF2B5EF4-FFF2-40B4-BE49-F238E27FC236}">
              <a16:creationId xmlns:a16="http://schemas.microsoft.com/office/drawing/2014/main" id="{1EA5456E-300E-4651-BA86-77EE3F420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90162" y="914401"/>
          <a:ext cx="578120" cy="575998"/>
        </a:xfrm>
        <a:prstGeom prst="rect">
          <a:avLst/>
        </a:prstGeom>
      </xdr:spPr>
    </xdr:pic>
    <xdr:clientData/>
  </xdr:oneCellAnchor>
  <xdr:oneCellAnchor>
    <xdr:from>
      <xdr:col>5</xdr:col>
      <xdr:colOff>45722</xdr:colOff>
      <xdr:row>4</xdr:row>
      <xdr:rowOff>30481</xdr:rowOff>
    </xdr:from>
    <xdr:ext cx="578120" cy="575998"/>
    <xdr:pic>
      <xdr:nvPicPr>
        <xdr:cNvPr id="4" name="Picture 3">
          <a:extLst>
            <a:ext uri="{FF2B5EF4-FFF2-40B4-BE49-F238E27FC236}">
              <a16:creationId xmlns:a16="http://schemas.microsoft.com/office/drawing/2014/main" id="{9C57EFD2-A196-4C22-9201-850EE7B19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90162" y="1546861"/>
          <a:ext cx="578120" cy="575998"/>
        </a:xfrm>
        <a:prstGeom prst="rect">
          <a:avLst/>
        </a:prstGeom>
      </xdr:spPr>
    </xdr:pic>
    <xdr:clientData/>
  </xdr:oneCellAnchor>
  <xdr:oneCellAnchor>
    <xdr:from>
      <xdr:col>5</xdr:col>
      <xdr:colOff>45722</xdr:colOff>
      <xdr:row>5</xdr:row>
      <xdr:rowOff>30481</xdr:rowOff>
    </xdr:from>
    <xdr:ext cx="578120" cy="575998"/>
    <xdr:pic>
      <xdr:nvPicPr>
        <xdr:cNvPr id="5" name="Picture 4">
          <a:extLst>
            <a:ext uri="{FF2B5EF4-FFF2-40B4-BE49-F238E27FC236}">
              <a16:creationId xmlns:a16="http://schemas.microsoft.com/office/drawing/2014/main" id="{48D52DB2-9ED5-4E0B-ADAD-ABFEC6C1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90162" y="2179321"/>
          <a:ext cx="578120" cy="575998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41913</xdr:colOff>
          <xdr:row>2</xdr:row>
          <xdr:rowOff>30480</xdr:rowOff>
        </xdr:from>
        <xdr:ext cx="596819" cy="576000"/>
        <xdr:pic>
          <xdr:nvPicPr>
            <xdr:cNvPr id="7" name="1001">
              <a:extLst>
                <a:ext uri="{FF2B5EF4-FFF2-40B4-BE49-F238E27FC236}">
                  <a16:creationId xmlns:a16="http://schemas.microsoft.com/office/drawing/2014/main" id="{DAB1A71B-2847-4456-9945-D067E002713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op_1" spid="_x0000_s8271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980673" y="396240"/>
              <a:ext cx="596819" cy="576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41913</xdr:colOff>
          <xdr:row>3</xdr:row>
          <xdr:rowOff>34290</xdr:rowOff>
        </xdr:from>
        <xdr:ext cx="596819" cy="576000"/>
        <xdr:pic>
          <xdr:nvPicPr>
            <xdr:cNvPr id="8" name="1001">
              <a:extLst>
                <a:ext uri="{FF2B5EF4-FFF2-40B4-BE49-F238E27FC236}">
                  <a16:creationId xmlns:a16="http://schemas.microsoft.com/office/drawing/2014/main" id="{44AED099-854F-418F-8DB2-AC132996B108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op_2" spid="_x0000_s8272"/>
                </a:ext>
              </a:extLst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980673" y="1032510"/>
              <a:ext cx="596819" cy="576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41913</xdr:colOff>
          <xdr:row>4</xdr:row>
          <xdr:rowOff>38100</xdr:rowOff>
        </xdr:from>
        <xdr:ext cx="596819" cy="576000"/>
        <xdr:pic>
          <xdr:nvPicPr>
            <xdr:cNvPr id="9" name="1001">
              <a:extLst>
                <a:ext uri="{FF2B5EF4-FFF2-40B4-BE49-F238E27FC236}">
                  <a16:creationId xmlns:a16="http://schemas.microsoft.com/office/drawing/2014/main" id="{CEC1DE54-B84B-40A2-A2BA-3C45DE56D5B5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op_3" spid="_x0000_s8273"/>
                </a:ext>
              </a:extLst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980673" y="1668780"/>
              <a:ext cx="596819" cy="576000"/>
            </a:xfrm>
            <a:prstGeom prst="rect">
              <a:avLst/>
            </a:prstGeom>
          </xdr:spPr>
        </xdr:pic>
        <xdr:clientData/>
      </xdr:one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4568</xdr:colOff>
          <xdr:row>26</xdr:row>
          <xdr:rowOff>192470</xdr:rowOff>
        </xdr:from>
        <xdr:ext cx="655320" cy="632460"/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4A116370-8CE1-4A72-9E5D-E1A174CD80AC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op!P5" spid="_x0000_s21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>
            <a:xfrm>
              <a:off x="9091418" y="6031295"/>
              <a:ext cx="655320" cy="63246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4568</xdr:colOff>
          <xdr:row>19</xdr:row>
          <xdr:rowOff>200173</xdr:rowOff>
        </xdr:from>
        <xdr:ext cx="655320" cy="632460"/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25D948D5-975B-4AE0-BF12-269B1E6A197A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op!P4" spid="_x0000_s213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>
            <a:xfrm>
              <a:off x="9091418" y="4605486"/>
              <a:ext cx="655320" cy="63246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4568</xdr:colOff>
          <xdr:row>13</xdr:row>
          <xdr:rowOff>3090</xdr:rowOff>
        </xdr:from>
        <xdr:ext cx="655320" cy="632460"/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D2F29870-2214-4F3A-9E10-C3DA2CD09B8B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op!P3" spid="_x0000_s213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9091418" y="3179678"/>
              <a:ext cx="655320" cy="632460"/>
            </a:xfrm>
            <a:prstGeom prst="rect">
              <a:avLst/>
            </a:prstGeom>
          </xdr:spPr>
        </xdr:pic>
        <xdr:clientData/>
      </xdr:oneCellAnchor>
    </mc:Choice>
    <mc:Fallback/>
  </mc:AlternateContent>
  <xdr:twoCellAnchor>
    <xdr:from>
      <xdr:col>5</xdr:col>
      <xdr:colOff>1158240</xdr:colOff>
      <xdr:row>22</xdr:row>
      <xdr:rowOff>198120</xdr:rowOff>
    </xdr:from>
    <xdr:to>
      <xdr:col>6</xdr:col>
      <xdr:colOff>1539240</xdr:colOff>
      <xdr:row>24</xdr:row>
      <xdr:rowOff>7620</xdr:rowOff>
    </xdr:to>
    <xdr:sp macro="" textlink="">
      <xdr:nvSpPr>
        <xdr:cNvPr id="10" name="TextBox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9B7A8C-AB30-CF6E-51E0-8F2815FCF919}"/>
            </a:ext>
          </a:extLst>
        </xdr:cNvPr>
        <xdr:cNvSpPr txBox="1"/>
      </xdr:nvSpPr>
      <xdr:spPr>
        <a:xfrm>
          <a:off x="5905500" y="5234940"/>
          <a:ext cx="1592580" cy="220980"/>
        </a:xfrm>
        <a:prstGeom prst="rect">
          <a:avLst/>
        </a:prstGeom>
        <a:solidFill>
          <a:srgbClr val="3876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SEE ALL ORDERS</a:t>
          </a:r>
          <a:endParaRPr lang="en-US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0</xdr:colOff>
      <xdr:row>5</xdr:row>
      <xdr:rowOff>182880</xdr:rowOff>
    </xdr:from>
    <xdr:to>
      <xdr:col>8</xdr:col>
      <xdr:colOff>0</xdr:colOff>
      <xdr:row>20</xdr:row>
      <xdr:rowOff>152400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8A878F0-E106-5BA5-4562-2B98E1833BC1}"/>
            </a:ext>
          </a:extLst>
        </xdr:cNvPr>
        <xdr:cNvGrpSpPr/>
      </xdr:nvGrpSpPr>
      <xdr:grpSpPr>
        <a:xfrm>
          <a:off x="259080" y="1607820"/>
          <a:ext cx="7528560" cy="3169920"/>
          <a:chOff x="259080" y="1607820"/>
          <a:chExt cx="7528560" cy="316992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D289A8A-831F-8F67-1D21-32155A6F9E12}"/>
              </a:ext>
            </a:extLst>
          </xdr:cNvPr>
          <xdr:cNvSpPr/>
        </xdr:nvSpPr>
        <xdr:spPr>
          <a:xfrm>
            <a:off x="259080" y="1607820"/>
            <a:ext cx="7528560" cy="3169920"/>
          </a:xfrm>
          <a:prstGeom prst="rect">
            <a:avLst/>
          </a:prstGeom>
          <a:solidFill>
            <a:schemeClr val="bg1"/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56177A03-D830-45E8-B52F-7ED795B089AD}"/>
              </a:ext>
            </a:extLst>
          </xdr:cNvPr>
          <xdr:cNvGraphicFramePr>
            <a:graphicFrameLocks/>
          </xdr:cNvGraphicFramePr>
        </xdr:nvGraphicFramePr>
        <xdr:xfrm>
          <a:off x="327660" y="1981200"/>
          <a:ext cx="7360920" cy="2712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6AEB7025-AE97-452E-22A2-7740289C09A5}"/>
              </a:ext>
            </a:extLst>
          </xdr:cNvPr>
          <xdr:cNvSpPr txBox="1"/>
        </xdr:nvSpPr>
        <xdr:spPr>
          <a:xfrm>
            <a:off x="488533" y="1737360"/>
            <a:ext cx="1478280" cy="266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/>
          <a:lstStyle/>
          <a:p>
            <a:pPr algn="l"/>
            <a:r>
              <a:rPr lang="en-US" sz="900" b="1">
                <a:latin typeface="Bahnschrift" panose="020B0502040204020203" pitchFamily="34" charset="0"/>
              </a:rPr>
              <a:t>SALES</a:t>
            </a:r>
            <a:r>
              <a:rPr lang="en-US" sz="900" b="1" baseline="0">
                <a:latin typeface="Bahnschrift" panose="020B0502040204020203" pitchFamily="34" charset="0"/>
              </a:rPr>
              <a:t> vs EXPENSES</a:t>
            </a:r>
            <a:endParaRPr lang="en-US" sz="900" b="1">
              <a:latin typeface="Bahnschrift" panose="020B0502040204020203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" name="Drop Down 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700-000001080000}"/>
                  </a:ext>
                </a:extLst>
              </xdr:cNvPr>
              <xdr:cNvSpPr/>
            </xdr:nvSpPr>
            <xdr:spPr bwMode="auto">
              <a:xfrm>
                <a:off x="2042160" y="1783080"/>
                <a:ext cx="1630680" cy="21336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</xdr:col>
      <xdr:colOff>6626</xdr:colOff>
      <xdr:row>1</xdr:row>
      <xdr:rowOff>79512</xdr:rowOff>
    </xdr:from>
    <xdr:to>
      <xdr:col>3</xdr:col>
      <xdr:colOff>351986</xdr:colOff>
      <xdr:row>4</xdr:row>
      <xdr:rowOff>265043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A2B8B345-2C84-D6A2-1926-26C1EE452DAF}"/>
            </a:ext>
          </a:extLst>
        </xdr:cNvPr>
        <xdr:cNvGrpSpPr/>
      </xdr:nvGrpSpPr>
      <xdr:grpSpPr>
        <a:xfrm>
          <a:off x="265706" y="247152"/>
          <a:ext cx="1656000" cy="1122791"/>
          <a:chOff x="265706" y="247152"/>
          <a:chExt cx="1656000" cy="1122791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C81CE81F-AFBC-4E7B-873D-3854D6402582}"/>
              </a:ext>
            </a:extLst>
          </xdr:cNvPr>
          <xdr:cNvSpPr/>
        </xdr:nvSpPr>
        <xdr:spPr>
          <a:xfrm>
            <a:off x="265706" y="247152"/>
            <a:ext cx="1656000" cy="1122791"/>
          </a:xfrm>
          <a:prstGeom prst="rect">
            <a:avLst/>
          </a:prstGeom>
          <a:solidFill>
            <a:schemeClr val="bg1"/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Helper!D7">
        <xdr:nvSpPr>
          <xdr:cNvPr id="23" name="TextBox 22">
            <a:extLst>
              <a:ext uri="{FF2B5EF4-FFF2-40B4-BE49-F238E27FC236}">
                <a16:creationId xmlns:a16="http://schemas.microsoft.com/office/drawing/2014/main" id="{C64BB3F1-F9B5-429A-840C-CBDBFFAAE8BD}"/>
              </a:ext>
            </a:extLst>
          </xdr:cNvPr>
          <xdr:cNvSpPr txBox="1"/>
        </xdr:nvSpPr>
        <xdr:spPr>
          <a:xfrm>
            <a:off x="1158240" y="468132"/>
            <a:ext cx="600764" cy="2329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/>
          <a:lstStyle/>
          <a:p>
            <a:pPr algn="r"/>
            <a:fld id="{0EACEFFA-E925-40B4-96C6-0C89D4B571C7}" type="TxLink">
              <a:rPr lang="en-US" sz="900" b="1" i="0" u="none" strike="noStrike">
                <a:solidFill>
                  <a:srgbClr val="29AD6E"/>
                </a:solidFill>
                <a:latin typeface="Bahnschrift"/>
              </a:rPr>
              <a:pPr algn="r"/>
              <a:t>+23.46%</a:t>
            </a:fld>
            <a:endParaRPr lang="en-US" sz="1000" b="1">
              <a:solidFill>
                <a:srgbClr val="29AD6E"/>
              </a:solidFill>
              <a:latin typeface="Bahnschrift" panose="020B0502040204020203" pitchFamily="34" charset="0"/>
            </a:endParaRPr>
          </a:p>
        </xdr:txBody>
      </xdr:sp>
      <xdr:pic>
        <xdr:nvPicPr>
          <xdr:cNvPr id="20" name="Graphic 19">
            <a:extLst>
              <a:ext uri="{FF2B5EF4-FFF2-40B4-BE49-F238E27FC236}">
                <a16:creationId xmlns:a16="http://schemas.microsoft.com/office/drawing/2014/main" id="{C2C2BB69-B8C6-BBC4-5B34-BCA4F01F73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453225" y="399601"/>
            <a:ext cx="360000" cy="360000"/>
          </a:xfrm>
          <a:prstGeom prst="rect">
            <a:avLst/>
          </a:prstGeom>
        </xdr:spPr>
      </xdr:pic>
      <xdr:sp macro="" textlink="Helper!D4">
        <xdr:nvSpPr>
          <xdr:cNvPr id="21" name="TextBox 20">
            <a:extLst>
              <a:ext uri="{FF2B5EF4-FFF2-40B4-BE49-F238E27FC236}">
                <a16:creationId xmlns:a16="http://schemas.microsoft.com/office/drawing/2014/main" id="{A37E125D-E5AE-489D-B259-9B0A371A192D}"/>
              </a:ext>
            </a:extLst>
          </xdr:cNvPr>
          <xdr:cNvSpPr txBox="1"/>
        </xdr:nvSpPr>
        <xdr:spPr>
          <a:xfrm>
            <a:off x="426720" y="853440"/>
            <a:ext cx="1478280" cy="2209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/>
          <a:lstStyle/>
          <a:p>
            <a:pPr algn="l"/>
            <a:fld id="{8C5CD75D-3AB9-42EA-B711-636DECCFCD69}" type="TxLink">
              <a:rPr lang="en-US" sz="1200" b="1" i="0" u="none" strike="noStrike">
                <a:solidFill>
                  <a:srgbClr val="000000"/>
                </a:solidFill>
                <a:latin typeface="Bahnschrift"/>
              </a:rPr>
              <a:pPr algn="l"/>
              <a:t>$53,640.75</a:t>
            </a:fld>
            <a:endParaRPr lang="en-US" sz="1100" b="1">
              <a:latin typeface="Bahnschrift" panose="020B0502040204020203" pitchFamily="34" charset="0"/>
            </a:endParaRPr>
          </a:p>
        </xdr:txBody>
      </xdr:sp>
      <xdr:sp macro="" textlink="Helper!D4">
        <xdr:nvSpPr>
          <xdr:cNvPr id="22" name="TextBox 21">
            <a:extLst>
              <a:ext uri="{FF2B5EF4-FFF2-40B4-BE49-F238E27FC236}">
                <a16:creationId xmlns:a16="http://schemas.microsoft.com/office/drawing/2014/main" id="{CE1FA8EC-DEEB-477E-A8EF-4B46583341E0}"/>
              </a:ext>
            </a:extLst>
          </xdr:cNvPr>
          <xdr:cNvSpPr txBox="1"/>
        </xdr:nvSpPr>
        <xdr:spPr>
          <a:xfrm>
            <a:off x="426720" y="1082040"/>
            <a:ext cx="1478280" cy="2209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/>
          <a:lstStyle/>
          <a:p>
            <a:pPr algn="l"/>
            <a:r>
              <a:rPr lang="en-US" sz="800" b="1">
                <a:solidFill>
                  <a:schemeClr val="tx1">
                    <a:lumMod val="50000"/>
                    <a:lumOff val="50000"/>
                  </a:schemeClr>
                </a:solidFill>
                <a:latin typeface="Bahnschrift" panose="020B0502040204020203" pitchFamily="34" charset="0"/>
              </a:rPr>
              <a:t>TOTAL</a:t>
            </a:r>
            <a:r>
              <a:rPr lang="en-US" sz="800" b="1" baseline="0">
                <a:solidFill>
                  <a:schemeClr val="tx1">
                    <a:lumMod val="50000"/>
                    <a:lumOff val="50000"/>
                  </a:schemeClr>
                </a:solidFill>
                <a:latin typeface="Bahnschrift" panose="020B0502040204020203" pitchFamily="34" charset="0"/>
              </a:rPr>
              <a:t> SALES</a:t>
            </a:r>
            <a:endParaRPr lang="en-US" sz="800" b="1">
              <a:solidFill>
                <a:schemeClr val="tx1">
                  <a:lumMod val="50000"/>
                  <a:lumOff val="50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Helper!D8">
        <xdr:nvSpPr>
          <xdr:cNvPr id="24" name="TextBox 23">
            <a:extLst>
              <a:ext uri="{FF2B5EF4-FFF2-40B4-BE49-F238E27FC236}">
                <a16:creationId xmlns:a16="http://schemas.microsoft.com/office/drawing/2014/main" id="{4E97F0D2-417F-4CC6-81A0-56B7E79BD9D5}"/>
              </a:ext>
            </a:extLst>
          </xdr:cNvPr>
          <xdr:cNvSpPr txBox="1"/>
        </xdr:nvSpPr>
        <xdr:spPr>
          <a:xfrm>
            <a:off x="1158240" y="468132"/>
            <a:ext cx="600764" cy="2329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/>
          <a:lstStyle/>
          <a:p>
            <a:pPr algn="r"/>
            <a:fld id="{9BD1CE78-B0AE-4C48-B65A-90DA4AEF4D21}" type="TxLink">
              <a:rPr lang="en-US" sz="900" b="1" i="0" u="none" strike="noStrike">
                <a:solidFill>
                  <a:srgbClr val="FE3713"/>
                </a:solidFill>
                <a:latin typeface="Bahnschrift"/>
              </a:rPr>
              <a:pPr algn="r"/>
              <a:t> </a:t>
            </a:fld>
            <a:endParaRPr lang="en-US" sz="1000" b="1">
              <a:solidFill>
                <a:srgbClr val="FE3713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651786</xdr:colOff>
      <xdr:row>1</xdr:row>
      <xdr:rowOff>79512</xdr:rowOff>
    </xdr:from>
    <xdr:to>
      <xdr:col>4</xdr:col>
      <xdr:colOff>646626</xdr:colOff>
      <xdr:row>4</xdr:row>
      <xdr:rowOff>265043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3A49E853-D174-827F-C1AA-3F36169A0447}"/>
            </a:ext>
          </a:extLst>
        </xdr:cNvPr>
        <xdr:cNvGrpSpPr/>
      </xdr:nvGrpSpPr>
      <xdr:grpSpPr>
        <a:xfrm>
          <a:off x="2221506" y="247152"/>
          <a:ext cx="1656000" cy="1122791"/>
          <a:chOff x="2222169" y="245164"/>
          <a:chExt cx="1657987" cy="1119809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C6D3AB6A-F522-4B70-B84E-F1DB5867EF29}"/>
              </a:ext>
            </a:extLst>
          </xdr:cNvPr>
          <xdr:cNvGrpSpPr/>
        </xdr:nvGrpSpPr>
        <xdr:grpSpPr>
          <a:xfrm>
            <a:off x="2222169" y="245164"/>
            <a:ext cx="1657987" cy="1119809"/>
            <a:chOff x="265706" y="247152"/>
            <a:chExt cx="1656000" cy="1122791"/>
          </a:xfrm>
        </xdr:grpSpPr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31BE19B1-A629-1C6A-05BD-316F5653390C}"/>
                </a:ext>
              </a:extLst>
            </xdr:cNvPr>
            <xdr:cNvSpPr/>
          </xdr:nvSpPr>
          <xdr:spPr>
            <a:xfrm>
              <a:off x="265706" y="247152"/>
              <a:ext cx="1656000" cy="1122791"/>
            </a:xfrm>
            <a:prstGeom prst="rect">
              <a:avLst/>
            </a:prstGeom>
            <a:solidFill>
              <a:schemeClr val="bg1"/>
            </a:solidFill>
            <a:ln w="9525">
              <a:solidFill>
                <a:schemeClr val="bg1">
                  <a:lumMod val="6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Helper!D14">
          <xdr:nvSpPr>
            <xdr:cNvPr id="29" name="TextBox 28">
              <a:extLst>
                <a:ext uri="{FF2B5EF4-FFF2-40B4-BE49-F238E27FC236}">
                  <a16:creationId xmlns:a16="http://schemas.microsoft.com/office/drawing/2014/main" id="{946BFE14-0D95-5D41-A1C5-A3905379E92B}"/>
                </a:ext>
              </a:extLst>
            </xdr:cNvPr>
            <xdr:cNvSpPr txBox="1"/>
          </xdr:nvSpPr>
          <xdr:spPr>
            <a:xfrm>
              <a:off x="1158240" y="468132"/>
              <a:ext cx="600764" cy="2329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r"/>
              <a:fld id="{C70A7AC4-4377-49F5-9C50-B025737DA337}" type="TxLink">
                <a:rPr lang="en-US" sz="900" b="1" i="0" u="none" strike="noStrike">
                  <a:solidFill>
                    <a:srgbClr val="FE3713"/>
                  </a:solidFill>
                  <a:latin typeface="Bahnschrift"/>
                </a:rPr>
                <a:pPr algn="r"/>
                <a:t>+14.08%</a:t>
              </a:fld>
              <a:endParaRPr lang="en-US" sz="900" b="1">
                <a:solidFill>
                  <a:srgbClr val="FE3713"/>
                </a:solidFill>
                <a:latin typeface="Bahnschrift" panose="020B0502040204020203" pitchFamily="34" charset="0"/>
              </a:endParaRPr>
            </a:p>
          </xdr:txBody>
        </xdr:sp>
        <xdr:sp macro="" textlink="Helper!D11">
          <xdr:nvSpPr>
            <xdr:cNvPr id="31" name="TextBox 30">
              <a:extLst>
                <a:ext uri="{FF2B5EF4-FFF2-40B4-BE49-F238E27FC236}">
                  <a16:creationId xmlns:a16="http://schemas.microsoft.com/office/drawing/2014/main" id="{FDAF8DA2-DCEB-091A-5E35-B419213CC5A0}"/>
                </a:ext>
              </a:extLst>
            </xdr:cNvPr>
            <xdr:cNvSpPr txBox="1"/>
          </xdr:nvSpPr>
          <xdr:spPr>
            <a:xfrm>
              <a:off x="426720" y="853440"/>
              <a:ext cx="1478280" cy="2209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l"/>
              <a:fld id="{CE40E1AD-DA25-4750-ABAA-E1763FFEA1F7}" type="TxLink">
                <a:rPr lang="en-US" sz="1200" b="1" i="0" u="none" strike="noStrike">
                  <a:solidFill>
                    <a:srgbClr val="000000"/>
                  </a:solidFill>
                  <a:latin typeface="Bahnschrift"/>
                </a:rPr>
                <a:pPr algn="l"/>
                <a:t>$27,950.00</a:t>
              </a:fld>
              <a:endParaRPr lang="en-US" sz="1600" b="1">
                <a:latin typeface="Bahnschrift" panose="020B0502040204020203" pitchFamily="34" charset="0"/>
              </a:endParaRPr>
            </a:p>
          </xdr:txBody>
        </xdr:sp>
        <xdr:sp macro="" textlink="Helper!D4">
          <xdr:nvSpPr>
            <xdr:cNvPr id="32" name="TextBox 31">
              <a:extLst>
                <a:ext uri="{FF2B5EF4-FFF2-40B4-BE49-F238E27FC236}">
                  <a16:creationId xmlns:a16="http://schemas.microsoft.com/office/drawing/2014/main" id="{8EE94E43-1C6D-30A9-2A36-8A58E71ABE41}"/>
                </a:ext>
              </a:extLst>
            </xdr:cNvPr>
            <xdr:cNvSpPr txBox="1"/>
          </xdr:nvSpPr>
          <xdr:spPr>
            <a:xfrm>
              <a:off x="426720" y="1082040"/>
              <a:ext cx="1478280" cy="2209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l"/>
              <a:r>
                <a:rPr lang="en-US" sz="8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Bahnschrift" panose="020B0502040204020203" pitchFamily="34" charset="0"/>
                </a:rPr>
                <a:t>TOTAL</a:t>
              </a:r>
              <a:r>
                <a:rPr lang="en-US" sz="8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Bahnschrift" panose="020B0502040204020203" pitchFamily="34" charset="0"/>
                </a:rPr>
                <a:t> EXPENSES</a:t>
              </a:r>
              <a:endParaRPr lang="en-US" sz="800" b="1">
                <a:solidFill>
                  <a:schemeClr val="tx1">
                    <a:lumMod val="50000"/>
                    <a:lumOff val="50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Helper!D15">
          <xdr:nvSpPr>
            <xdr:cNvPr id="33" name="TextBox 32">
              <a:extLst>
                <a:ext uri="{FF2B5EF4-FFF2-40B4-BE49-F238E27FC236}">
                  <a16:creationId xmlns:a16="http://schemas.microsoft.com/office/drawing/2014/main" id="{044EF2ED-7E1C-8017-592A-DE7DE696F5DE}"/>
                </a:ext>
              </a:extLst>
            </xdr:cNvPr>
            <xdr:cNvSpPr txBox="1"/>
          </xdr:nvSpPr>
          <xdr:spPr>
            <a:xfrm>
              <a:off x="1158240" y="468132"/>
              <a:ext cx="600764" cy="2329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r"/>
              <a:fld id="{DB15084F-FDB2-435E-81B7-235CA4F30D24}" type="TxLink">
                <a:rPr lang="en-US" sz="900" b="1" i="0" u="none" strike="noStrike">
                  <a:solidFill>
                    <a:srgbClr val="29AD6E"/>
                  </a:solidFill>
                  <a:latin typeface="Bahnschrift"/>
                </a:rPr>
                <a:pPr algn="r"/>
                <a:t> </a:t>
              </a:fld>
              <a:endParaRPr lang="en-US" sz="900" b="1">
                <a:solidFill>
                  <a:srgbClr val="29AD6E"/>
                </a:solidFill>
                <a:latin typeface="Bahnschrift" panose="020B0502040204020203" pitchFamily="34" charset="0"/>
              </a:endParaRPr>
            </a:p>
          </xdr:txBody>
        </xdr:sp>
      </xdr:grpSp>
      <xdr:pic>
        <xdr:nvPicPr>
          <xdr:cNvPr id="62" name="Graphic 61">
            <a:extLst>
              <a:ext uri="{FF2B5EF4-FFF2-40B4-BE49-F238E27FC236}">
                <a16:creationId xmlns:a16="http://schemas.microsoft.com/office/drawing/2014/main" id="{E1620CE3-7B0C-7690-6CC1-1A8D8FF8B6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387821" y="397564"/>
            <a:ext cx="360000" cy="3600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946426</xdr:colOff>
      <xdr:row>1</xdr:row>
      <xdr:rowOff>79512</xdr:rowOff>
    </xdr:from>
    <xdr:to>
      <xdr:col>5</xdr:col>
      <xdr:colOff>1086046</xdr:colOff>
      <xdr:row>4</xdr:row>
      <xdr:rowOff>265043</xdr:rowOff>
    </xdr:to>
    <xdr:grpSp>
      <xdr:nvGrpSpPr>
        <xdr:cNvPr id="2050" name="Group 2049">
          <a:extLst>
            <a:ext uri="{FF2B5EF4-FFF2-40B4-BE49-F238E27FC236}">
              <a16:creationId xmlns:a16="http://schemas.microsoft.com/office/drawing/2014/main" id="{52FCFA1A-D832-67C3-5C4C-A697DDBEBE9E}"/>
            </a:ext>
          </a:extLst>
        </xdr:cNvPr>
        <xdr:cNvGrpSpPr/>
      </xdr:nvGrpSpPr>
      <xdr:grpSpPr>
        <a:xfrm>
          <a:off x="4177306" y="247152"/>
          <a:ext cx="1656000" cy="1122791"/>
          <a:chOff x="4173102" y="247678"/>
          <a:chExt cx="1658365" cy="1126206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F7711822-53C7-4D73-B0E6-7F70ECB70148}"/>
              </a:ext>
            </a:extLst>
          </xdr:cNvPr>
          <xdr:cNvGrpSpPr/>
        </xdr:nvGrpSpPr>
        <xdr:grpSpPr>
          <a:xfrm>
            <a:off x="4173102" y="247678"/>
            <a:ext cx="1658365" cy="1126206"/>
            <a:chOff x="265706" y="247152"/>
            <a:chExt cx="1656000" cy="1122791"/>
          </a:xfrm>
        </xdr:grpSpPr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88BDA2ED-A9E9-0B58-0235-B7706D4F2F17}"/>
                </a:ext>
              </a:extLst>
            </xdr:cNvPr>
            <xdr:cNvSpPr/>
          </xdr:nvSpPr>
          <xdr:spPr>
            <a:xfrm>
              <a:off x="265706" y="247152"/>
              <a:ext cx="1656000" cy="1122791"/>
            </a:xfrm>
            <a:prstGeom prst="rect">
              <a:avLst/>
            </a:prstGeom>
            <a:solidFill>
              <a:schemeClr val="bg1"/>
            </a:solidFill>
            <a:ln w="9525">
              <a:solidFill>
                <a:schemeClr val="bg1">
                  <a:lumMod val="6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Helper!D21">
          <xdr:nvSpPr>
            <xdr:cNvPr id="36" name="TextBox 35">
              <a:extLst>
                <a:ext uri="{FF2B5EF4-FFF2-40B4-BE49-F238E27FC236}">
                  <a16:creationId xmlns:a16="http://schemas.microsoft.com/office/drawing/2014/main" id="{0830AEF7-E9D2-E4A1-C392-955256436B93}"/>
                </a:ext>
              </a:extLst>
            </xdr:cNvPr>
            <xdr:cNvSpPr txBox="1"/>
          </xdr:nvSpPr>
          <xdr:spPr>
            <a:xfrm>
              <a:off x="1158240" y="468132"/>
              <a:ext cx="600764" cy="2329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r"/>
              <a:fld id="{6E36CC3F-496E-4D70-A75B-E88297957C49}" type="TxLink">
                <a:rPr lang="en-US" sz="900" b="1" i="0" u="none" strike="noStrike">
                  <a:solidFill>
                    <a:srgbClr val="29AD6E"/>
                  </a:solidFill>
                  <a:latin typeface="Bahnschrift"/>
                </a:rPr>
                <a:pPr algn="r"/>
                <a:t>+6.67%</a:t>
              </a:fld>
              <a:endParaRPr lang="en-US" sz="900" b="1">
                <a:solidFill>
                  <a:srgbClr val="29AD6E"/>
                </a:solidFill>
                <a:latin typeface="Bahnschrift" panose="020B0502040204020203" pitchFamily="34" charset="0"/>
              </a:endParaRPr>
            </a:p>
          </xdr:txBody>
        </xdr:sp>
        <xdr:sp macro="" textlink="Helper!D18">
          <xdr:nvSpPr>
            <xdr:cNvPr id="38" name="TextBox 37">
              <a:extLst>
                <a:ext uri="{FF2B5EF4-FFF2-40B4-BE49-F238E27FC236}">
                  <a16:creationId xmlns:a16="http://schemas.microsoft.com/office/drawing/2014/main" id="{BF0EBB68-5D26-1EDB-3886-E414B37A3895}"/>
                </a:ext>
              </a:extLst>
            </xdr:cNvPr>
            <xdr:cNvSpPr txBox="1"/>
          </xdr:nvSpPr>
          <xdr:spPr>
            <a:xfrm>
              <a:off x="426720" y="853440"/>
              <a:ext cx="1478280" cy="2209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l"/>
              <a:fld id="{08A08100-4EE4-46F4-90A8-1B5A1DFB5484}" type="TxLink">
                <a:rPr lang="en-US" sz="1200" b="1" i="0" u="none" strike="noStrike">
                  <a:solidFill>
                    <a:srgbClr val="000000"/>
                  </a:solidFill>
                  <a:latin typeface="Bahnschrift"/>
                </a:rPr>
                <a:pPr algn="l"/>
                <a:t>32</a:t>
              </a:fld>
              <a:endParaRPr lang="en-US" sz="1600" b="1">
                <a:latin typeface="Bahnschrift" panose="020B0502040204020203" pitchFamily="34" charset="0"/>
              </a:endParaRPr>
            </a:p>
          </xdr:txBody>
        </xdr:sp>
        <xdr:sp macro="" textlink="Helper!D4">
          <xdr:nvSpPr>
            <xdr:cNvPr id="39" name="TextBox 38">
              <a:extLst>
                <a:ext uri="{FF2B5EF4-FFF2-40B4-BE49-F238E27FC236}">
                  <a16:creationId xmlns:a16="http://schemas.microsoft.com/office/drawing/2014/main" id="{0021F1DF-C056-5044-6824-5DF783826841}"/>
                </a:ext>
              </a:extLst>
            </xdr:cNvPr>
            <xdr:cNvSpPr txBox="1"/>
          </xdr:nvSpPr>
          <xdr:spPr>
            <a:xfrm>
              <a:off x="426720" y="1082040"/>
              <a:ext cx="1478280" cy="2209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l"/>
              <a:r>
                <a:rPr lang="en-US" sz="8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Bahnschrift" panose="020B0502040204020203" pitchFamily="34" charset="0"/>
                </a:rPr>
                <a:t>TOTAL</a:t>
              </a:r>
              <a:r>
                <a:rPr lang="en-US" sz="8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Bahnschrift" panose="020B0502040204020203" pitchFamily="34" charset="0"/>
                </a:rPr>
                <a:t> </a:t>
              </a:r>
              <a:r>
                <a:rPr lang="sr-Latn-RS" sz="8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Bahnschrift" panose="020B0502040204020203" pitchFamily="34" charset="0"/>
                </a:rPr>
                <a:t>VISITORS</a:t>
              </a:r>
              <a:endParaRPr lang="en-US" sz="800" b="1">
                <a:solidFill>
                  <a:schemeClr val="tx1">
                    <a:lumMod val="50000"/>
                    <a:lumOff val="50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Helper!D22">
          <xdr:nvSpPr>
            <xdr:cNvPr id="40" name="TextBox 39">
              <a:extLst>
                <a:ext uri="{FF2B5EF4-FFF2-40B4-BE49-F238E27FC236}">
                  <a16:creationId xmlns:a16="http://schemas.microsoft.com/office/drawing/2014/main" id="{82804B42-22F4-17FD-755E-595D5F88D323}"/>
                </a:ext>
              </a:extLst>
            </xdr:cNvPr>
            <xdr:cNvSpPr txBox="1"/>
          </xdr:nvSpPr>
          <xdr:spPr>
            <a:xfrm>
              <a:off x="1158240" y="468132"/>
              <a:ext cx="600764" cy="2329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r"/>
              <a:fld id="{330E68CD-0F67-40C3-B664-7D66F5ED8A93}" type="TxLink">
                <a:rPr lang="en-US" sz="900" b="1" i="0" u="none" strike="noStrike">
                  <a:solidFill>
                    <a:srgbClr val="FE3713"/>
                  </a:solidFill>
                  <a:latin typeface="Bahnschrift"/>
                </a:rPr>
                <a:pPr algn="r"/>
                <a:t> </a:t>
              </a:fld>
              <a:endParaRPr lang="en-US" sz="900" b="1">
                <a:solidFill>
                  <a:srgbClr val="FE3713"/>
                </a:solidFill>
                <a:latin typeface="Bahnschrift" panose="020B0502040204020203" pitchFamily="34" charset="0"/>
              </a:endParaRPr>
            </a:p>
          </xdr:txBody>
        </xdr:sp>
      </xdr:grpSp>
      <xdr:pic>
        <xdr:nvPicPr>
          <xdr:cNvPr id="2048" name="Graphic 2047">
            <a:extLst>
              <a:ext uri="{FF2B5EF4-FFF2-40B4-BE49-F238E27FC236}">
                <a16:creationId xmlns:a16="http://schemas.microsoft.com/office/drawing/2014/main" id="{42E26C18-C01B-AA37-0212-E3ECDB1E76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4320061" y="395854"/>
            <a:ext cx="360000" cy="3600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174266</xdr:colOff>
      <xdr:row>1</xdr:row>
      <xdr:rowOff>79512</xdr:rowOff>
    </xdr:from>
    <xdr:to>
      <xdr:col>8</xdr:col>
      <xdr:colOff>1466</xdr:colOff>
      <xdr:row>4</xdr:row>
      <xdr:rowOff>265043</xdr:rowOff>
    </xdr:to>
    <xdr:grpSp>
      <xdr:nvGrpSpPr>
        <xdr:cNvPr id="2052" name="Group 2051">
          <a:extLst>
            <a:ext uri="{FF2B5EF4-FFF2-40B4-BE49-F238E27FC236}">
              <a16:creationId xmlns:a16="http://schemas.microsoft.com/office/drawing/2014/main" id="{8FCA2803-83B0-DF21-0376-84BB49810948}"/>
            </a:ext>
          </a:extLst>
        </xdr:cNvPr>
        <xdr:cNvGrpSpPr/>
      </xdr:nvGrpSpPr>
      <xdr:grpSpPr>
        <a:xfrm>
          <a:off x="6133106" y="247152"/>
          <a:ext cx="1656000" cy="1122791"/>
          <a:chOff x="6126831" y="249841"/>
          <a:chExt cx="1656000" cy="1126826"/>
        </a:xfrm>
      </xdr:grpSpPr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BA145108-9466-44C5-914E-84DC2015BF58}"/>
              </a:ext>
            </a:extLst>
          </xdr:cNvPr>
          <xdr:cNvGrpSpPr/>
        </xdr:nvGrpSpPr>
        <xdr:grpSpPr>
          <a:xfrm>
            <a:off x="6126831" y="249841"/>
            <a:ext cx="1656000" cy="1126826"/>
            <a:chOff x="265706" y="247152"/>
            <a:chExt cx="1656000" cy="1122791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1A731C44-A17E-2EFA-A498-010EB98EC210}"/>
                </a:ext>
              </a:extLst>
            </xdr:cNvPr>
            <xdr:cNvSpPr/>
          </xdr:nvSpPr>
          <xdr:spPr>
            <a:xfrm>
              <a:off x="265706" y="247152"/>
              <a:ext cx="1656000" cy="1122791"/>
            </a:xfrm>
            <a:prstGeom prst="rect">
              <a:avLst/>
            </a:prstGeom>
            <a:solidFill>
              <a:schemeClr val="bg1"/>
            </a:solidFill>
            <a:ln w="9525">
              <a:solidFill>
                <a:schemeClr val="bg1">
                  <a:lumMod val="6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Helper!D28">
          <xdr:nvSpPr>
            <xdr:cNvPr id="57" name="TextBox 56">
              <a:extLst>
                <a:ext uri="{FF2B5EF4-FFF2-40B4-BE49-F238E27FC236}">
                  <a16:creationId xmlns:a16="http://schemas.microsoft.com/office/drawing/2014/main" id="{C12924BF-FA1D-7179-F0FF-1FB88725BAF9}"/>
                </a:ext>
              </a:extLst>
            </xdr:cNvPr>
            <xdr:cNvSpPr txBox="1"/>
          </xdr:nvSpPr>
          <xdr:spPr>
            <a:xfrm>
              <a:off x="1158240" y="468132"/>
              <a:ext cx="600764" cy="2329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r"/>
              <a:fld id="{BF670E1C-E0FD-41DA-BB8B-400459371A4E}" type="TxLink">
                <a:rPr lang="en-US" sz="900" b="1" i="0" u="none" strike="noStrike">
                  <a:solidFill>
                    <a:srgbClr val="29AD6E"/>
                  </a:solidFill>
                  <a:latin typeface="Bahnschrift"/>
                </a:rPr>
                <a:pPr algn="r"/>
                <a:t>+15.38%</a:t>
              </a:fld>
              <a:endParaRPr lang="en-US" sz="900" b="1">
                <a:solidFill>
                  <a:srgbClr val="29AD6E"/>
                </a:solidFill>
                <a:latin typeface="Bahnschrift" panose="020B0502040204020203" pitchFamily="34" charset="0"/>
              </a:endParaRPr>
            </a:p>
          </xdr:txBody>
        </xdr:sp>
        <xdr:sp macro="" textlink="Helper!D25">
          <xdr:nvSpPr>
            <xdr:cNvPr id="59" name="TextBox 58">
              <a:extLst>
                <a:ext uri="{FF2B5EF4-FFF2-40B4-BE49-F238E27FC236}">
                  <a16:creationId xmlns:a16="http://schemas.microsoft.com/office/drawing/2014/main" id="{48911061-27D2-CB4F-3ED1-28F02BCEAB3E}"/>
                </a:ext>
              </a:extLst>
            </xdr:cNvPr>
            <xdr:cNvSpPr txBox="1"/>
          </xdr:nvSpPr>
          <xdr:spPr>
            <a:xfrm>
              <a:off x="426720" y="853440"/>
              <a:ext cx="1478280" cy="2209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l"/>
              <a:fld id="{0F3788C1-C105-47EB-848F-12442A6FF017}" type="TxLink">
                <a:rPr lang="en-US" sz="1200" b="1" i="0" u="none" strike="noStrike">
                  <a:solidFill>
                    <a:srgbClr val="000000"/>
                  </a:solidFill>
                  <a:latin typeface="Bahnschrift"/>
                </a:rPr>
                <a:pPr algn="l"/>
                <a:t>15</a:t>
              </a:fld>
              <a:endParaRPr lang="en-US" sz="1600" b="1">
                <a:latin typeface="Bahnschrift" panose="020B0502040204020203" pitchFamily="34" charset="0"/>
              </a:endParaRPr>
            </a:p>
          </xdr:txBody>
        </xdr:sp>
        <xdr:sp macro="" textlink="Helper!D4">
          <xdr:nvSpPr>
            <xdr:cNvPr id="60" name="TextBox 59">
              <a:extLst>
                <a:ext uri="{FF2B5EF4-FFF2-40B4-BE49-F238E27FC236}">
                  <a16:creationId xmlns:a16="http://schemas.microsoft.com/office/drawing/2014/main" id="{96A98115-EF46-3FA8-31DF-45704895BE6A}"/>
                </a:ext>
              </a:extLst>
            </xdr:cNvPr>
            <xdr:cNvSpPr txBox="1"/>
          </xdr:nvSpPr>
          <xdr:spPr>
            <a:xfrm>
              <a:off x="426720" y="1082040"/>
              <a:ext cx="1478280" cy="2209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l"/>
              <a:r>
                <a:rPr lang="en-US" sz="8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Bahnschrift" panose="020B0502040204020203" pitchFamily="34" charset="0"/>
                </a:rPr>
                <a:t>TOTAL</a:t>
              </a:r>
              <a:r>
                <a:rPr lang="en-US" sz="8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Bahnschrift" panose="020B0502040204020203" pitchFamily="34" charset="0"/>
                </a:rPr>
                <a:t> </a:t>
              </a:r>
              <a:r>
                <a:rPr lang="sr-Latn-RS" sz="8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Bahnschrift" panose="020B0502040204020203" pitchFamily="34" charset="0"/>
                </a:rPr>
                <a:t>ORDERS</a:t>
              </a:r>
              <a:endParaRPr lang="en-US" sz="800" b="1">
                <a:solidFill>
                  <a:schemeClr val="tx1">
                    <a:lumMod val="50000"/>
                    <a:lumOff val="50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Helper!D29">
          <xdr:nvSpPr>
            <xdr:cNvPr id="61" name="TextBox 60">
              <a:extLst>
                <a:ext uri="{FF2B5EF4-FFF2-40B4-BE49-F238E27FC236}">
                  <a16:creationId xmlns:a16="http://schemas.microsoft.com/office/drawing/2014/main" id="{7AC17969-EC3D-F41D-AAB0-381419BA8936}"/>
                </a:ext>
              </a:extLst>
            </xdr:cNvPr>
            <xdr:cNvSpPr txBox="1"/>
          </xdr:nvSpPr>
          <xdr:spPr>
            <a:xfrm>
              <a:off x="1158240" y="468132"/>
              <a:ext cx="600764" cy="2329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r"/>
              <a:fld id="{43D0CD2A-DACE-4959-8C97-6D5A332CFBAD}" type="TxLink">
                <a:rPr lang="en-US" sz="900" b="1" i="0" u="none" strike="noStrike">
                  <a:solidFill>
                    <a:srgbClr val="FE3713"/>
                  </a:solidFill>
                  <a:latin typeface="Bahnschrift"/>
                </a:rPr>
                <a:pPr algn="r"/>
                <a:t> </a:t>
              </a:fld>
              <a:endParaRPr lang="en-US" sz="900" b="1">
                <a:solidFill>
                  <a:srgbClr val="FE3713"/>
                </a:solidFill>
                <a:latin typeface="Bahnschrift" panose="020B0502040204020203" pitchFamily="34" charset="0"/>
              </a:endParaRPr>
            </a:p>
          </xdr:txBody>
        </xdr:sp>
      </xdr:grpSp>
      <xdr:pic>
        <xdr:nvPicPr>
          <xdr:cNvPr id="2051" name="Graphic 2050">
            <a:extLst>
              <a:ext uri="{FF2B5EF4-FFF2-40B4-BE49-F238E27FC236}">
                <a16:creationId xmlns:a16="http://schemas.microsoft.com/office/drawing/2014/main" id="{E2851F34-8F2D-1217-6ECA-26DB1F04E1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6257368" y="403412"/>
            <a:ext cx="372415" cy="3600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251012</xdr:colOff>
      <xdr:row>1</xdr:row>
      <xdr:rowOff>71717</xdr:rowOff>
    </xdr:from>
    <xdr:to>
      <xdr:col>14</xdr:col>
      <xdr:colOff>8965</xdr:colOff>
      <xdr:row>6</xdr:row>
      <xdr:rowOff>161364</xdr:rowOff>
    </xdr:to>
    <xdr:graphicFrame macro="">
      <xdr:nvGraphicFramePr>
        <xdr:cNvPr id="2053" name="Chart 2052">
          <a:extLst>
            <a:ext uri="{FF2B5EF4-FFF2-40B4-BE49-F238E27FC236}">
              <a16:creationId xmlns:a16="http://schemas.microsoft.com/office/drawing/2014/main" id="{E03B9933-61D0-463D-8A9E-D17E865D4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179294</xdr:colOff>
      <xdr:row>1</xdr:row>
      <xdr:rowOff>161365</xdr:rowOff>
    </xdr:from>
    <xdr:to>
      <xdr:col>12</xdr:col>
      <xdr:colOff>607295</xdr:colOff>
      <xdr:row>1</xdr:row>
      <xdr:rowOff>358589</xdr:rowOff>
    </xdr:to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525F22E6-EA07-4C20-96AA-693AD1A2209B}"/>
            </a:ext>
          </a:extLst>
        </xdr:cNvPr>
        <xdr:cNvSpPr txBox="1"/>
      </xdr:nvSpPr>
      <xdr:spPr>
        <a:xfrm>
          <a:off x="8220635" y="331694"/>
          <a:ext cx="1476872" cy="197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l"/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CONVERSION</a:t>
          </a:r>
          <a:endParaRPr lang="en-US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320039</xdr:colOff>
      <xdr:row>3</xdr:row>
      <xdr:rowOff>86263</xdr:rowOff>
    </xdr:from>
    <xdr:to>
      <xdr:col>12</xdr:col>
      <xdr:colOff>257286</xdr:colOff>
      <xdr:row>4</xdr:row>
      <xdr:rowOff>80436</xdr:rowOff>
    </xdr:to>
    <xdr:sp macro="" textlink="Helper!D32">
      <xdr:nvSpPr>
        <xdr:cNvPr id="2055" name="TextBox 2054">
          <a:extLst>
            <a:ext uri="{FF2B5EF4-FFF2-40B4-BE49-F238E27FC236}">
              <a16:creationId xmlns:a16="http://schemas.microsoft.com/office/drawing/2014/main" id="{5BFFB748-01E0-41FD-90D5-AC4144C94A40}"/>
            </a:ext>
          </a:extLst>
        </xdr:cNvPr>
        <xdr:cNvSpPr txBox="1"/>
      </xdr:nvSpPr>
      <xdr:spPr>
        <a:xfrm>
          <a:off x="8678593" y="977217"/>
          <a:ext cx="669939" cy="216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fld id="{304E3A0F-8322-4B7D-83E8-80233C52A466}" type="TxLink">
            <a:rPr lang="en-US" sz="900" b="1" i="0" u="none" strike="noStrike">
              <a:solidFill>
                <a:schemeClr val="bg1"/>
              </a:solidFill>
              <a:latin typeface="Bahnschrift"/>
            </a:rPr>
            <a:pPr algn="ctr"/>
            <a:t>46.88%</a:t>
          </a:fld>
          <a:endParaRPr lang="en-US" sz="8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320039</xdr:colOff>
      <xdr:row>4</xdr:row>
      <xdr:rowOff>86267</xdr:rowOff>
    </xdr:from>
    <xdr:to>
      <xdr:col>12</xdr:col>
      <xdr:colOff>257286</xdr:colOff>
      <xdr:row>4</xdr:row>
      <xdr:rowOff>303178</xdr:rowOff>
    </xdr:to>
    <xdr:sp macro="" textlink="Helper!D35">
      <xdr:nvSpPr>
        <xdr:cNvPr id="2056" name="TextBox 2055">
          <a:extLst>
            <a:ext uri="{FF2B5EF4-FFF2-40B4-BE49-F238E27FC236}">
              <a16:creationId xmlns:a16="http://schemas.microsoft.com/office/drawing/2014/main" id="{DF83E414-7215-4A11-9AEC-71E952721BFF}"/>
            </a:ext>
          </a:extLst>
        </xdr:cNvPr>
        <xdr:cNvSpPr txBox="1"/>
      </xdr:nvSpPr>
      <xdr:spPr>
        <a:xfrm>
          <a:off x="8678593" y="1199959"/>
          <a:ext cx="669939" cy="216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fld id="{2892A13C-545A-4A04-AD02-9FA6F4254587}" type="TxLink">
            <a:rPr lang="en-US" sz="800" b="1" i="0" u="none" strike="noStrike">
              <a:solidFill>
                <a:srgbClr val="29AD6E"/>
              </a:solidFill>
              <a:latin typeface="Bahnschrift"/>
            </a:rPr>
            <a:pPr algn="ctr"/>
            <a:t>+8.17%</a:t>
          </a:fld>
          <a:endParaRPr lang="en-US" sz="600" b="1">
            <a:solidFill>
              <a:srgbClr val="29AD6E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320039</xdr:colOff>
      <xdr:row>4</xdr:row>
      <xdr:rowOff>51096</xdr:rowOff>
    </xdr:from>
    <xdr:to>
      <xdr:col>12</xdr:col>
      <xdr:colOff>257286</xdr:colOff>
      <xdr:row>4</xdr:row>
      <xdr:rowOff>181706</xdr:rowOff>
    </xdr:to>
    <xdr:sp macro="" textlink="Helper!D36">
      <xdr:nvSpPr>
        <xdr:cNvPr id="2057" name="TextBox 2056">
          <a:extLst>
            <a:ext uri="{FF2B5EF4-FFF2-40B4-BE49-F238E27FC236}">
              <a16:creationId xmlns:a16="http://schemas.microsoft.com/office/drawing/2014/main" id="{74A7EC94-BC2B-48AD-A75F-B7A3782170E1}"/>
            </a:ext>
          </a:extLst>
        </xdr:cNvPr>
        <xdr:cNvSpPr txBox="1"/>
      </xdr:nvSpPr>
      <xdr:spPr>
        <a:xfrm>
          <a:off x="8678593" y="1164788"/>
          <a:ext cx="669939" cy="130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fld id="{037B10F7-346E-48F1-A0CC-F6B0A1FDAC11}" type="TxLink">
            <a:rPr lang="en-US" sz="800" b="1" i="0" u="none" strike="noStrike">
              <a:solidFill>
                <a:srgbClr val="FE3713"/>
              </a:solidFill>
              <a:latin typeface="Bahnschrift"/>
            </a:rPr>
            <a:pPr algn="ctr"/>
            <a:t> </a:t>
          </a:fld>
          <a:endParaRPr lang="en-US" sz="400" b="1">
            <a:solidFill>
              <a:srgbClr val="FE3713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10</xdr:col>
      <xdr:colOff>17</xdr:colOff>
      <xdr:row>5</xdr:row>
      <xdr:rowOff>4803</xdr:rowOff>
    </xdr:from>
    <xdr:to>
      <xdr:col>13</xdr:col>
      <xdr:colOff>31614</xdr:colOff>
      <xdr:row>6</xdr:row>
      <xdr:rowOff>73006</xdr:rowOff>
    </xdr:to>
    <xdr:grpSp>
      <xdr:nvGrpSpPr>
        <xdr:cNvPr id="2065" name="Group 2064">
          <a:extLst>
            <a:ext uri="{FF2B5EF4-FFF2-40B4-BE49-F238E27FC236}">
              <a16:creationId xmlns:a16="http://schemas.microsoft.com/office/drawing/2014/main" id="{CB040A17-1B06-68B0-AA46-8533262AB2E0}"/>
            </a:ext>
          </a:extLst>
        </xdr:cNvPr>
        <xdr:cNvGrpSpPr/>
      </xdr:nvGrpSpPr>
      <xdr:grpSpPr>
        <a:xfrm>
          <a:off x="8237237" y="1429743"/>
          <a:ext cx="1540357" cy="395863"/>
          <a:chOff x="8244091" y="1412233"/>
          <a:chExt cx="1544366" cy="395701"/>
        </a:xfrm>
      </xdr:grpSpPr>
      <xdr:grpSp>
        <xdr:nvGrpSpPr>
          <xdr:cNvPr id="2063" name="Group 2062">
            <a:extLst>
              <a:ext uri="{FF2B5EF4-FFF2-40B4-BE49-F238E27FC236}">
                <a16:creationId xmlns:a16="http://schemas.microsoft.com/office/drawing/2014/main" id="{BE2CE8EF-91CF-D2DA-D4F5-8818141D54E6}"/>
              </a:ext>
            </a:extLst>
          </xdr:cNvPr>
          <xdr:cNvGrpSpPr/>
        </xdr:nvGrpSpPr>
        <xdr:grpSpPr>
          <a:xfrm>
            <a:off x="8256033" y="1449620"/>
            <a:ext cx="1471552" cy="358314"/>
            <a:chOff x="8311756" y="1464586"/>
            <a:chExt cx="1467431" cy="359861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058" name="Graphic 14">
                  <a:extLst>
                    <a:ext uri="{FF2B5EF4-FFF2-40B4-BE49-F238E27FC236}">
                      <a16:creationId xmlns:a16="http://schemas.microsoft.com/office/drawing/2014/main" id="{F17FA70A-31E9-4FDD-93FE-D1DE8E92683F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Helper!B43" spid="_x0000_s2137"/>
                    </a:ext>
                  </a:extLst>
                </xdr:cNvPicPr>
              </xdr:nvPicPr>
              <xdr:blipFill>
                <a:blip xmlns:r="http://schemas.openxmlformats.org/officeDocument/2006/relationships" r:embed="rId15"/>
                <a:stretch>
                  <a:fillRect/>
                </a:stretch>
              </xdr:blipFill>
              <xdr:spPr>
                <a:xfrm>
                  <a:off x="8311756" y="1464586"/>
                  <a:ext cx="429960" cy="359861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grpSp>
          <xdr:nvGrpSpPr>
            <xdr:cNvPr id="2062" name="Group 2061">
              <a:extLst>
                <a:ext uri="{FF2B5EF4-FFF2-40B4-BE49-F238E27FC236}">
                  <a16:creationId xmlns:a16="http://schemas.microsoft.com/office/drawing/2014/main" id="{FA673234-6200-3B24-743B-87993338B7CE}"/>
                </a:ext>
              </a:extLst>
            </xdr:cNvPr>
            <xdr:cNvGrpSpPr/>
          </xdr:nvGrpSpPr>
          <xdr:grpSpPr>
            <a:xfrm>
              <a:off x="8677687" y="1485900"/>
              <a:ext cx="1101500" cy="266700"/>
              <a:chOff x="8677687" y="1485900"/>
              <a:chExt cx="1101500" cy="266700"/>
            </a:xfrm>
          </xdr:grpSpPr>
          <xdr:sp macro="" textlink="">
            <xdr:nvSpPr>
              <xdr:cNvPr id="2061" name="Rectangle 2060">
                <a:extLst>
                  <a:ext uri="{FF2B5EF4-FFF2-40B4-BE49-F238E27FC236}">
                    <a16:creationId xmlns:a16="http://schemas.microsoft.com/office/drawing/2014/main" id="{5831A81E-D89A-BED0-18DA-B758C97FDE67}"/>
                  </a:ext>
                </a:extLst>
              </xdr:cNvPr>
              <xdr:cNvSpPr/>
            </xdr:nvSpPr>
            <xdr:spPr>
              <a:xfrm>
                <a:off x="8677687" y="1485900"/>
                <a:ext cx="1101500" cy="266700"/>
              </a:xfrm>
              <a:prstGeom prst="rect">
                <a:avLst/>
              </a:prstGeom>
              <a:solidFill>
                <a:srgbClr val="2D2B2B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Helper!D42">
            <xdr:nvSpPr>
              <xdr:cNvPr id="2059" name="TextBox 2058">
                <a:extLst>
                  <a:ext uri="{FF2B5EF4-FFF2-40B4-BE49-F238E27FC236}">
                    <a16:creationId xmlns:a16="http://schemas.microsoft.com/office/drawing/2014/main" id="{10E3A5CB-843C-42F6-834B-337A1444EE23}"/>
                  </a:ext>
                </a:extLst>
              </xdr:cNvPr>
              <xdr:cNvSpPr txBox="1"/>
            </xdr:nvSpPr>
            <xdr:spPr>
              <a:xfrm>
                <a:off x="8715693" y="1495740"/>
                <a:ext cx="976857" cy="12177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0" rIns="0" bIns="0" rtlCol="0" anchor="ctr"/>
              <a:lstStyle/>
              <a:p>
                <a:pPr algn="l"/>
                <a:fld id="{2CE0327A-E313-4734-A958-C555F72DA08C}" type="TxLink">
                  <a:rPr lang="en-US" sz="600" b="0" i="0" u="none" strike="noStrike">
                    <a:solidFill>
                      <a:srgbClr val="FFFFFF"/>
                    </a:solidFill>
                    <a:latin typeface="Bahnschrift"/>
                  </a:rPr>
                  <a:pPr algn="l"/>
                  <a:t>Normal Conversion Rate</a:t>
                </a:fld>
                <a:endParaRPr lang="en-US" sz="500" b="1">
                  <a:solidFill>
                    <a:schemeClr val="bg1"/>
                  </a:solidFill>
                  <a:latin typeface="Bahnschrift" panose="020B0502040204020203" pitchFamily="34" charset="0"/>
                </a:endParaRPr>
              </a:p>
            </xdr:txBody>
          </xdr:sp>
          <xdr:sp macro="" textlink="Helper!D43">
            <xdr:nvSpPr>
              <xdr:cNvPr id="2060" name="TextBox 2059">
                <a:extLst>
                  <a:ext uri="{FF2B5EF4-FFF2-40B4-BE49-F238E27FC236}">
                    <a16:creationId xmlns:a16="http://schemas.microsoft.com/office/drawing/2014/main" id="{BDDD726F-F698-43E5-8B3E-9746A757EA86}"/>
                  </a:ext>
                </a:extLst>
              </xdr:cNvPr>
              <xdr:cNvSpPr txBox="1"/>
            </xdr:nvSpPr>
            <xdr:spPr>
              <a:xfrm>
                <a:off x="8719691" y="1605118"/>
                <a:ext cx="1043311" cy="1128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0" rIns="0" bIns="0" rtlCol="0" anchor="ctr"/>
              <a:lstStyle/>
              <a:p>
                <a:pPr algn="l"/>
                <a:fld id="{2A0DFF1C-05FC-4376-8042-3D8620F31926}" type="TxLink">
                  <a:rPr lang="en-US" sz="600" b="1" i="0" u="none" strike="noStrike">
                    <a:solidFill>
                      <a:srgbClr val="3876D7"/>
                    </a:solidFill>
                    <a:latin typeface="Bahnschrift"/>
                  </a:rPr>
                  <a:pPr algn="l"/>
                  <a:t>Keep it up!</a:t>
                </a:fld>
                <a:endParaRPr lang="en-US" sz="300" b="1">
                  <a:solidFill>
                    <a:srgbClr val="3876D7"/>
                  </a:solidFill>
                  <a:latin typeface="Bahnschrift" panose="020B0502040204020203" pitchFamily="34" charset="0"/>
                </a:endParaRPr>
              </a:p>
            </xdr:txBody>
          </xdr:sp>
        </xdr:grpSp>
      </xdr:grpSp>
      <xdr:sp macro="" textlink="">
        <xdr:nvSpPr>
          <xdr:cNvPr id="2064" name="Rectangle 2063">
            <a:extLst>
              <a:ext uri="{FF2B5EF4-FFF2-40B4-BE49-F238E27FC236}">
                <a16:creationId xmlns:a16="http://schemas.microsoft.com/office/drawing/2014/main" id="{44CB72B8-0723-B2BE-F757-C6A349A5CCDD}"/>
              </a:ext>
            </a:extLst>
          </xdr:cNvPr>
          <xdr:cNvSpPr/>
        </xdr:nvSpPr>
        <xdr:spPr>
          <a:xfrm>
            <a:off x="8244091" y="1412233"/>
            <a:ext cx="1544366" cy="394172"/>
          </a:xfrm>
          <a:prstGeom prst="rect">
            <a:avLst/>
          </a:prstGeom>
          <a:noFill/>
          <a:ln w="952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PWORK%202024\Alexey%20Nikolayev%20-%20Dashboards\CEO\CEO%20Dashboard%20Template%20-%20TemplateLab.com.xlsx" TargetMode="External"/><Relationship Id="rId1" Type="http://schemas.openxmlformats.org/officeDocument/2006/relationships/externalLinkPath" Target="file:///D:\UPWORK%202024\Alexey%20Nikolayev%20-%20Dashboards\CEO\CEO%20Dashboard%20Template%20-%20TemplateLab.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©"/>
    </sheetNames>
    <sheetDataSet>
      <sheetData sheetId="0">
        <row r="65">
          <cell r="K65" t="str">
            <v>INCREASE</v>
          </cell>
        </row>
        <row r="83">
          <cell r="K83" t="str">
            <v>DECREASE</v>
          </cell>
        </row>
        <row r="115">
          <cell r="C115" t="str">
            <v>Emp_6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51C89-2A61-4F6D-9264-9C36279C992D}" name="Products" displayName="Products" ref="A1:E5" totalsRowShown="0" headerRowDxfId="51" dataDxfId="49" headerRowBorderDxfId="50" tableBorderDxfId="48" totalsRowBorderDxfId="47">
  <tableColumns count="5">
    <tableColumn id="1" xr3:uid="{D2002600-A18F-4FDF-9D40-F3849513F8B0}" name="ID" dataDxfId="46"/>
    <tableColumn id="2" xr3:uid="{7332017A-5BFB-4D4C-8414-99B8A4D72184}" name="Description" dataDxfId="45"/>
    <tableColumn id="3" xr3:uid="{9CBDBB8A-81EE-44B4-B66A-9A58DDC05D73}" name="Manufacturer" dataDxfId="44"/>
    <tableColumn id="4" xr3:uid="{6524EF5C-C4CD-4EB9-A74B-18E81BDC7B81}" name="Price" dataDxfId="43"/>
    <tableColumn id="5" xr3:uid="{8F88CADC-7FE1-49C1-AB68-936DE9E01A51}" name="Image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515E1A-1825-4DEE-8AC1-94A9A12AABC6}" name="Orders" displayName="Orders" ref="A1:E30" totalsRowShown="0" headerRowDxfId="41">
  <tableColumns count="5">
    <tableColumn id="1" xr3:uid="{7C371069-5F70-4FD4-8857-2433A3FFFE10}" name="ID" dataDxfId="40"/>
    <tableColumn id="2" xr3:uid="{8A343FED-ABCC-4D49-9920-CF6804CF75C7}" name="Date" dataDxfId="39"/>
    <tableColumn id="3" xr3:uid="{7DA85002-3DCC-4AF8-A7EF-A164826BA7FD}" name="Billing" dataDxfId="38"/>
    <tableColumn id="4" xr3:uid="{D9230E08-473B-44F0-821A-30F1AB0B7E9B}" name="Amount" dataDxfId="37">
      <calculatedColumnFormula>SUMIF(Sold[Order],Orders!A2,Sold[Total])</calculatedColumnFormula>
    </tableColumn>
    <tableColumn id="5" xr3:uid="{A5E51055-D641-4DDE-95A2-2F563944576E}" name="Status" dataDxfId="3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7FA15-FFC8-4FDA-A1D0-8308CBE7F15B}" name="Sold" displayName="Sold" ref="A1:G82" totalsRowShown="0" headerRowDxfId="35" dataDxfId="34">
  <tableColumns count="7">
    <tableColumn id="1" xr3:uid="{9278F458-DDD4-4A5A-A5DE-EDF149BF8242}" name="Order" dataDxfId="33"/>
    <tableColumn id="2" xr3:uid="{8722510D-8F15-4DB5-AB70-5D38A7CF64BC}" name="Date" dataDxfId="32"/>
    <tableColumn id="3" xr3:uid="{A023847F-77F3-4AD6-AB80-AA6C10796732}" name="ID" dataDxfId="31"/>
    <tableColumn id="4" xr3:uid="{39D59C0B-FC90-4C0B-88E0-BC36CD988284}" name="Product" dataDxfId="30"/>
    <tableColumn id="5" xr3:uid="{C8277E83-E454-4732-A75A-44C831D69980}" name="Qty" dataDxfId="29"/>
    <tableColumn id="6" xr3:uid="{3F2520BA-10B0-47BB-B020-60F5E8F19389}" name="Unit" dataDxfId="28"/>
    <tableColumn id="7" xr3:uid="{E25C578E-2CAA-42A6-93D8-313665025897}" name="Total" dataDxfId="27">
      <calculatedColumnFormula>E2*F2</calculatedColumnFormula>
    </tableColumn>
  </tableColumns>
  <tableStyleInfo name="TableStyleDark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810A8D-B421-42F7-83BB-9EFEFDD18E87}" name="Expenses" displayName="Expenses" ref="A1:D126" totalsRowShown="0" headerRowDxfId="26" dataDxfId="24" headerRowBorderDxfId="25" tableBorderDxfId="23" totalsRowBorderDxfId="22">
  <tableColumns count="4">
    <tableColumn id="1" xr3:uid="{80DF0694-354C-40D0-80E7-CC0F68C6B950}" name="Year" dataDxfId="21"/>
    <tableColumn id="2" xr3:uid="{F77DE60E-6773-44D3-8EE7-3C1BEBBABB43}" name="Month" dataDxfId="20"/>
    <tableColumn id="3" xr3:uid="{FAFAAF7A-1DDE-4B2B-9D55-FCA34C0F112E}" name="Expense" dataDxfId="19"/>
    <tableColumn id="4" xr3:uid="{3A3C27D0-4720-4C26-96E2-DBF216D6F780}" name="Amount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B45AEA-E325-4755-8CD1-E81397FF73F4}" name="Visitors" displayName="Visitors" ref="A1:C26" totalsRowShown="0" headerRowDxfId="17" dataDxfId="15" headerRowBorderDxfId="16" tableBorderDxfId="14" totalsRowBorderDxfId="13">
  <tableColumns count="3">
    <tableColumn id="1" xr3:uid="{32E98EA7-A401-48BF-BBBF-86C236045AD0}" name="Year" dataDxfId="12"/>
    <tableColumn id="2" xr3:uid="{0A1C5C32-E76E-487A-AE54-E30D9A9BBA10}" name="Month" dataDxfId="11"/>
    <tableColumn id="3" xr3:uid="{54C2C0D0-67CF-4300-AC19-881F1A45D95B}" name="Visitors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517711-40F0-4F71-A488-99C3BD1687B0}" name="Top" displayName="Top" ref="A2:F6" totalsRowShown="0" headerRowDxfId="9" headerRowBorderDxfId="8" tableBorderDxfId="7" totalsRowBorderDxfId="6">
  <tableColumns count="6">
    <tableColumn id="1" xr3:uid="{E2EF01AB-EF90-473A-BAC7-FF098937A30E}" name="ID" dataDxfId="5"/>
    <tableColumn id="2" xr3:uid="{0D0DFF04-D314-463C-B2A3-74AB059F95D8}" name="Description" dataDxfId="4"/>
    <tableColumn id="3" xr3:uid="{C9A1BCD5-BD4B-48A1-B67C-1F6209522EC7}" name="Manufacturer" dataDxfId="3"/>
    <tableColumn id="4" xr3:uid="{E9AEEA16-CB85-4D8F-923F-9D6D6E874EAC}" name="Qty" dataDxfId="2">
      <calculatedColumnFormula array="1">SUMPRODUCT((YEAR(Sold[Date])=Helper!$D$1)*(Sold[ID]=A3)*Sold[Qty])</calculatedColumnFormula>
    </tableColumn>
    <tableColumn id="5" xr3:uid="{035261A1-BA22-47D6-BD8F-17B92D1649D4}" name="Amount" dataDxfId="1">
      <calculatedColumnFormula array="1">SUMPRODUCT((YEAR(Sold[Date])=Helper!$D$1)*(Sold[ID]=A3)*Sold[Total])</calculatedColumnFormula>
    </tableColumn>
    <tableColumn id="6" xr3:uid="{E58450F8-4FB9-4F10-8BA3-F410C4F16D66}" name="Im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F391-C7A7-4285-98AD-4A991C6F66A1}">
  <dimension ref="A1:F30"/>
  <sheetViews>
    <sheetView workbookViewId="0">
      <selection activeCell="E2" sqref="E2:E5"/>
    </sheetView>
  </sheetViews>
  <sheetFormatPr defaultRowHeight="13.2" x14ac:dyDescent="0.3"/>
  <cols>
    <col min="1" max="1" width="8.88671875" style="1"/>
    <col min="2" max="2" width="20.5546875" style="1" customWidth="1"/>
    <col min="3" max="3" width="24.44140625" style="1" customWidth="1"/>
    <col min="4" max="4" width="19.6640625" style="1" customWidth="1"/>
    <col min="5" max="5" width="9.5546875" style="1" customWidth="1"/>
    <col min="6" max="16384" width="8.88671875" style="1"/>
  </cols>
  <sheetData>
    <row r="1" spans="1:6" ht="19.95" customHeight="1" x14ac:dyDescent="0.3">
      <c r="A1" s="14" t="s">
        <v>1</v>
      </c>
      <c r="B1" s="15" t="s">
        <v>2</v>
      </c>
      <c r="C1" s="15" t="s">
        <v>3</v>
      </c>
      <c r="D1" s="16" t="s">
        <v>4</v>
      </c>
      <c r="E1" s="17" t="s">
        <v>6</v>
      </c>
      <c r="F1" s="3"/>
    </row>
    <row r="2" spans="1:6" ht="49.95" customHeight="1" x14ac:dyDescent="0.3">
      <c r="A2" s="5">
        <v>1001</v>
      </c>
      <c r="B2" s="6" t="s">
        <v>0</v>
      </c>
      <c r="C2" s="6" t="s">
        <v>5</v>
      </c>
      <c r="D2" s="7">
        <v>5.45</v>
      </c>
      <c r="E2" s="8"/>
      <c r="F2" s="13"/>
    </row>
    <row r="3" spans="1:6" ht="49.95" customHeight="1" x14ac:dyDescent="0.3">
      <c r="A3" s="5">
        <v>1002</v>
      </c>
      <c r="B3" s="6" t="s">
        <v>12</v>
      </c>
      <c r="C3" s="6" t="s">
        <v>10</v>
      </c>
      <c r="D3" s="7">
        <v>5.75</v>
      </c>
      <c r="E3" s="8"/>
      <c r="F3" s="13"/>
    </row>
    <row r="4" spans="1:6" ht="49.95" customHeight="1" x14ac:dyDescent="0.3">
      <c r="A4" s="5">
        <v>1003</v>
      </c>
      <c r="B4" s="6" t="s">
        <v>11</v>
      </c>
      <c r="C4" s="6" t="s">
        <v>9</v>
      </c>
      <c r="D4" s="7">
        <v>4.95</v>
      </c>
      <c r="E4" s="8"/>
      <c r="F4" s="13"/>
    </row>
    <row r="5" spans="1:6" ht="49.95" customHeight="1" x14ac:dyDescent="0.3">
      <c r="A5" s="9">
        <v>1004</v>
      </c>
      <c r="B5" s="10" t="s">
        <v>7</v>
      </c>
      <c r="C5" s="10" t="s">
        <v>8</v>
      </c>
      <c r="D5" s="11">
        <v>4.7</v>
      </c>
      <c r="E5" s="12"/>
      <c r="F5" s="3"/>
    </row>
    <row r="6" spans="1:6" ht="49.95" customHeight="1" x14ac:dyDescent="0.3">
      <c r="A6" s="3"/>
      <c r="B6" s="3"/>
      <c r="C6" s="3"/>
      <c r="D6" s="3"/>
      <c r="E6" s="3"/>
      <c r="F6" s="3"/>
    </row>
    <row r="7" spans="1:6" ht="19.95" customHeight="1" x14ac:dyDescent="0.3"/>
    <row r="8" spans="1:6" ht="19.95" customHeight="1" x14ac:dyDescent="0.3"/>
    <row r="9" spans="1:6" ht="19.95" customHeight="1" x14ac:dyDescent="0.3"/>
    <row r="10" spans="1:6" ht="19.95" customHeight="1" x14ac:dyDescent="0.3"/>
    <row r="11" spans="1:6" ht="19.95" customHeight="1" x14ac:dyDescent="0.3"/>
    <row r="12" spans="1:6" ht="19.95" customHeight="1" x14ac:dyDescent="0.3"/>
    <row r="13" spans="1:6" ht="19.95" customHeight="1" x14ac:dyDescent="0.3"/>
    <row r="14" spans="1:6" ht="19.95" customHeight="1" x14ac:dyDescent="0.3"/>
    <row r="15" spans="1:6" ht="19.95" customHeight="1" x14ac:dyDescent="0.3"/>
    <row r="16" spans="1:6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B064-6062-4FD6-9774-4D7F13A826F1}">
  <dimension ref="A1:F34"/>
  <sheetViews>
    <sheetView workbookViewId="0">
      <selection activeCell="A31" sqref="A31"/>
    </sheetView>
  </sheetViews>
  <sheetFormatPr defaultRowHeight="13.2" x14ac:dyDescent="0.3"/>
  <cols>
    <col min="1" max="1" width="10.88671875" style="18" customWidth="1"/>
    <col min="2" max="2" width="20.21875" style="18" customWidth="1"/>
    <col min="3" max="3" width="23.5546875" style="18" customWidth="1"/>
    <col min="4" max="4" width="15.6640625" style="18" customWidth="1"/>
    <col min="5" max="5" width="23.44140625" style="18" customWidth="1"/>
    <col min="6" max="16384" width="8.88671875" style="18"/>
  </cols>
  <sheetData>
    <row r="1" spans="1:6" x14ac:dyDescent="0.3">
      <c r="A1" s="18" t="s">
        <v>1</v>
      </c>
      <c r="B1" s="18" t="s">
        <v>15</v>
      </c>
      <c r="C1" s="19" t="s">
        <v>14</v>
      </c>
      <c r="D1" s="18" t="s">
        <v>17</v>
      </c>
      <c r="E1" s="18" t="s">
        <v>18</v>
      </c>
      <c r="F1" s="23"/>
    </row>
    <row r="2" spans="1:6" x14ac:dyDescent="0.3">
      <c r="A2" s="18">
        <v>100100</v>
      </c>
      <c r="B2" s="20">
        <v>45646.416666666664</v>
      </c>
      <c r="C2" s="19" t="s">
        <v>56</v>
      </c>
      <c r="D2" s="21">
        <f>SUMIF(Sold[Order],Orders!A2,Sold[Total])</f>
        <v>3310</v>
      </c>
      <c r="E2" s="18" t="s">
        <v>19</v>
      </c>
      <c r="F2" s="23"/>
    </row>
    <row r="3" spans="1:6" x14ac:dyDescent="0.3">
      <c r="A3" s="18">
        <v>100099</v>
      </c>
      <c r="B3" s="20">
        <v>45646.375</v>
      </c>
      <c r="C3" s="19" t="s">
        <v>26</v>
      </c>
      <c r="D3" s="21">
        <f>SUMIF(Sold[Order],Orders!A3,Sold[Total])</f>
        <v>705</v>
      </c>
      <c r="E3" s="18" t="s">
        <v>25</v>
      </c>
      <c r="F3" s="23"/>
    </row>
    <row r="4" spans="1:6" x14ac:dyDescent="0.3">
      <c r="A4" s="18">
        <v>100098</v>
      </c>
      <c r="B4" s="20">
        <v>45631.291666666664</v>
      </c>
      <c r="C4" s="19" t="s">
        <v>27</v>
      </c>
      <c r="D4" s="21">
        <f>SUMIF(Sold[Order],Orders!A4,Sold[Total])</f>
        <v>1852.5</v>
      </c>
      <c r="E4" s="18" t="s">
        <v>28</v>
      </c>
      <c r="F4" s="23"/>
    </row>
    <row r="5" spans="1:6" x14ac:dyDescent="0.3">
      <c r="A5" s="18">
        <v>100097</v>
      </c>
      <c r="B5" s="20">
        <v>45627.458333333336</v>
      </c>
      <c r="C5" s="19" t="s">
        <v>29</v>
      </c>
      <c r="D5" s="21">
        <f>SUMIF(Sold[Order],Orders!A5,Sold[Total])</f>
        <v>2160</v>
      </c>
      <c r="E5" s="18" t="s">
        <v>30</v>
      </c>
      <c r="F5" s="23"/>
    </row>
    <row r="6" spans="1:6" x14ac:dyDescent="0.3">
      <c r="A6" s="18">
        <v>100096</v>
      </c>
      <c r="B6" s="20">
        <v>45613.458333333336</v>
      </c>
      <c r="C6" s="19" t="s">
        <v>31</v>
      </c>
      <c r="D6" s="21">
        <f>SUMIF(Sold[Order],Orders!A6,Sold[Total])</f>
        <v>2270</v>
      </c>
      <c r="E6" s="18" t="s">
        <v>30</v>
      </c>
      <c r="F6" s="23"/>
    </row>
    <row r="7" spans="1:6" x14ac:dyDescent="0.3">
      <c r="A7" s="18">
        <v>100095</v>
      </c>
      <c r="B7" s="20">
        <v>45585.333333333336</v>
      </c>
      <c r="C7" s="19" t="s">
        <v>32</v>
      </c>
      <c r="D7" s="21">
        <f>SUMIF(Sold[Order],Orders!A7,Sold[Total])</f>
        <v>4844</v>
      </c>
      <c r="E7" s="18" t="s">
        <v>30</v>
      </c>
      <c r="F7" s="23"/>
    </row>
    <row r="8" spans="1:6" x14ac:dyDescent="0.3">
      <c r="A8" s="18">
        <v>100094</v>
      </c>
      <c r="B8" s="20">
        <v>45544.625</v>
      </c>
      <c r="C8" s="19" t="s">
        <v>33</v>
      </c>
      <c r="D8" s="21">
        <f>SUMIF(Sold[Order],Orders!A8,Sold[Total])</f>
        <v>7967.75</v>
      </c>
      <c r="E8" s="18" t="s">
        <v>30</v>
      </c>
      <c r="F8" s="23"/>
    </row>
    <row r="9" spans="1:6" x14ac:dyDescent="0.3">
      <c r="A9" s="18">
        <v>100093</v>
      </c>
      <c r="B9" s="20">
        <v>45507.583333333336</v>
      </c>
      <c r="C9" s="19" t="s">
        <v>16</v>
      </c>
      <c r="D9" s="21">
        <f>SUMIF(Sold[Order],Orders!A9,Sold[Total])</f>
        <v>4812.5</v>
      </c>
      <c r="E9" s="18" t="s">
        <v>30</v>
      </c>
      <c r="F9" s="23"/>
    </row>
    <row r="10" spans="1:6" x14ac:dyDescent="0.3">
      <c r="A10" s="18">
        <v>100092</v>
      </c>
      <c r="B10" s="20">
        <v>45495.375</v>
      </c>
      <c r="C10" s="19" t="s">
        <v>58</v>
      </c>
      <c r="D10" s="21">
        <f>SUMIF(Sold[Order],Orders!A10,Sold[Total])</f>
        <v>3175</v>
      </c>
      <c r="E10" s="18" t="s">
        <v>30</v>
      </c>
      <c r="F10" s="23"/>
    </row>
    <row r="11" spans="1:6" x14ac:dyDescent="0.3">
      <c r="A11" s="18">
        <v>100091</v>
      </c>
      <c r="B11" s="20">
        <v>45463.333333333336</v>
      </c>
      <c r="C11" s="19" t="s">
        <v>59</v>
      </c>
      <c r="D11" s="21">
        <f>SUMIF(Sold[Order],Orders!A11,Sold[Total])</f>
        <v>3641</v>
      </c>
      <c r="E11" s="18" t="s">
        <v>30</v>
      </c>
      <c r="F11" s="23"/>
    </row>
    <row r="12" spans="1:6" x14ac:dyDescent="0.3">
      <c r="A12" s="18">
        <v>100090</v>
      </c>
      <c r="B12" s="20">
        <v>45422.333333333336</v>
      </c>
      <c r="C12" s="19" t="s">
        <v>60</v>
      </c>
      <c r="D12" s="21">
        <f>SUMIF(Sold[Order],Orders!A12,Sold[Total])</f>
        <v>3440.5</v>
      </c>
      <c r="E12" s="18" t="s">
        <v>30</v>
      </c>
      <c r="F12" s="23"/>
    </row>
    <row r="13" spans="1:6" x14ac:dyDescent="0.3">
      <c r="A13" s="18">
        <v>100089</v>
      </c>
      <c r="B13" s="20">
        <v>45395.458333333336</v>
      </c>
      <c r="C13" s="19" t="s">
        <v>61</v>
      </c>
      <c r="D13" s="21">
        <f>SUMIF(Sold[Order],Orders!A13,Sold[Total])</f>
        <v>4029.5</v>
      </c>
      <c r="E13" s="18" t="s">
        <v>30</v>
      </c>
      <c r="F13" s="23"/>
    </row>
    <row r="14" spans="1:6" x14ac:dyDescent="0.3">
      <c r="A14" s="18">
        <v>100088</v>
      </c>
      <c r="B14" s="20">
        <v>45369.416666666664</v>
      </c>
      <c r="C14" s="19" t="s">
        <v>62</v>
      </c>
      <c r="D14" s="21">
        <f>SUMIF(Sold[Order],Orders!A14,Sold[Total])</f>
        <v>2896.5</v>
      </c>
      <c r="E14" s="18" t="s">
        <v>30</v>
      </c>
      <c r="F14" s="23"/>
    </row>
    <row r="15" spans="1:6" x14ac:dyDescent="0.3">
      <c r="A15" s="18">
        <v>100087</v>
      </c>
      <c r="B15" s="20">
        <v>45328.395833333336</v>
      </c>
      <c r="C15" s="19" t="s">
        <v>63</v>
      </c>
      <c r="D15" s="21">
        <f>SUMIF(Sold[Order],Orders!A15,Sold[Total])</f>
        <v>5618</v>
      </c>
      <c r="E15" s="18" t="s">
        <v>30</v>
      </c>
      <c r="F15" s="23"/>
    </row>
    <row r="16" spans="1:6" x14ac:dyDescent="0.3">
      <c r="A16" s="18">
        <v>100086</v>
      </c>
      <c r="B16" s="20">
        <v>45303.479166666664</v>
      </c>
      <c r="C16" s="19" t="s">
        <v>64</v>
      </c>
      <c r="D16" s="21">
        <f>SUMIF(Sold[Order],Orders!A16,Sold[Total])</f>
        <v>2918.5</v>
      </c>
      <c r="E16" s="18" t="s">
        <v>30</v>
      </c>
      <c r="F16" s="23"/>
    </row>
    <row r="17" spans="1:6" x14ac:dyDescent="0.3">
      <c r="A17" s="18">
        <v>100085</v>
      </c>
      <c r="B17" s="20">
        <v>45276.583333333336</v>
      </c>
      <c r="C17" s="19" t="s">
        <v>65</v>
      </c>
      <c r="D17" s="21">
        <f>SUMIF(Sold[Order],Orders!A17,Sold[Total])</f>
        <v>4510</v>
      </c>
      <c r="E17" s="18" t="s">
        <v>30</v>
      </c>
      <c r="F17" s="23"/>
    </row>
    <row r="18" spans="1:6" x14ac:dyDescent="0.3">
      <c r="A18" s="18">
        <v>100084</v>
      </c>
      <c r="B18" s="20">
        <v>45252.40625</v>
      </c>
      <c r="C18" s="19" t="s">
        <v>66</v>
      </c>
      <c r="D18" s="21">
        <f>SUMIF(Sold[Order],Orders!A18,Sold[Total])</f>
        <v>2898.5</v>
      </c>
      <c r="E18" s="18" t="s">
        <v>30</v>
      </c>
      <c r="F18" s="23"/>
    </row>
    <row r="19" spans="1:6" x14ac:dyDescent="0.3">
      <c r="A19" s="18">
        <v>100083</v>
      </c>
      <c r="B19" s="20">
        <v>45216.416666666664</v>
      </c>
      <c r="C19" s="19" t="s">
        <v>67</v>
      </c>
      <c r="D19" s="21">
        <f>SUMIF(Sold[Order],Orders!A19,Sold[Total])</f>
        <v>2927.75</v>
      </c>
      <c r="E19" s="18" t="s">
        <v>30</v>
      </c>
      <c r="F19" s="23"/>
    </row>
    <row r="20" spans="1:6" x14ac:dyDescent="0.3">
      <c r="A20" s="18">
        <v>100082</v>
      </c>
      <c r="B20" s="20">
        <v>45181.666666666664</v>
      </c>
      <c r="C20" s="19" t="s">
        <v>68</v>
      </c>
      <c r="D20" s="21">
        <f>SUMIF(Sold[Order],Orders!A20,Sold[Total])</f>
        <v>3687.5</v>
      </c>
      <c r="E20" s="18" t="s">
        <v>30</v>
      </c>
      <c r="F20" s="23"/>
    </row>
    <row r="21" spans="1:6" x14ac:dyDescent="0.3">
      <c r="A21" s="18">
        <v>100081</v>
      </c>
      <c r="B21" s="20">
        <v>45158.423611111109</v>
      </c>
      <c r="C21" s="19" t="s">
        <v>69</v>
      </c>
      <c r="D21" s="21">
        <f>SUMIF(Sold[Order],Orders!A21,Sold[Total])</f>
        <v>2239.25</v>
      </c>
      <c r="E21" s="18" t="s">
        <v>30</v>
      </c>
      <c r="F21" s="23"/>
    </row>
    <row r="22" spans="1:6" x14ac:dyDescent="0.3">
      <c r="A22" s="18">
        <v>100080</v>
      </c>
      <c r="B22" s="20">
        <v>45119.541666666664</v>
      </c>
      <c r="C22" s="19" t="s">
        <v>70</v>
      </c>
      <c r="D22" s="21">
        <f>SUMIF(Sold[Order],Orders!A22,Sold[Total])</f>
        <v>1666.5</v>
      </c>
      <c r="E22" s="18" t="s">
        <v>30</v>
      </c>
      <c r="F22" s="23"/>
    </row>
    <row r="23" spans="1:6" x14ac:dyDescent="0.3">
      <c r="A23" s="18">
        <v>100079</v>
      </c>
      <c r="B23" s="20">
        <v>45117.416666666664</v>
      </c>
      <c r="C23" s="19" t="s">
        <v>71</v>
      </c>
      <c r="D23" s="21">
        <f>SUMIF(Sold[Order],Orders!A23,Sold[Total])</f>
        <v>2940</v>
      </c>
      <c r="E23" s="18" t="s">
        <v>30</v>
      </c>
      <c r="F23" s="23"/>
    </row>
    <row r="24" spans="1:6" x14ac:dyDescent="0.3">
      <c r="A24" s="18">
        <v>100078</v>
      </c>
      <c r="B24" s="20">
        <v>45097.458333333336</v>
      </c>
      <c r="C24" s="19" t="s">
        <v>72</v>
      </c>
      <c r="D24" s="21">
        <f>SUMIF(Sold[Order],Orders!A24,Sold[Total])</f>
        <v>4188.5</v>
      </c>
      <c r="E24" s="18" t="s">
        <v>30</v>
      </c>
      <c r="F24" s="23"/>
    </row>
    <row r="25" spans="1:6" x14ac:dyDescent="0.3">
      <c r="A25" s="18">
        <v>100077</v>
      </c>
      <c r="B25" s="20">
        <v>45067.625</v>
      </c>
      <c r="C25" s="19" t="s">
        <v>73</v>
      </c>
      <c r="D25" s="21">
        <f>SUMIF(Sold[Order],Orders!A25,Sold[Total])</f>
        <v>3021</v>
      </c>
      <c r="E25" s="18" t="s">
        <v>30</v>
      </c>
      <c r="F25" s="23"/>
    </row>
    <row r="26" spans="1:6" x14ac:dyDescent="0.3">
      <c r="A26" s="18">
        <v>100076</v>
      </c>
      <c r="B26" s="20">
        <v>45027.541666666664</v>
      </c>
      <c r="C26" s="19" t="s">
        <v>74</v>
      </c>
      <c r="D26" s="21">
        <f>SUMIF(Sold[Order],Orders!A26,Sold[Total])</f>
        <v>2612.5</v>
      </c>
      <c r="E26" s="18" t="s">
        <v>30</v>
      </c>
      <c r="F26" s="23"/>
    </row>
    <row r="27" spans="1:6" x14ac:dyDescent="0.3">
      <c r="A27" s="18">
        <v>100075</v>
      </c>
      <c r="B27" s="20">
        <v>45001.395833333336</v>
      </c>
      <c r="C27" s="19" t="s">
        <v>75</v>
      </c>
      <c r="D27" s="21">
        <f>SUMIF(Sold[Order],Orders!A27,Sold[Total])</f>
        <v>4219.75</v>
      </c>
      <c r="E27" s="18" t="s">
        <v>30</v>
      </c>
      <c r="F27" s="23"/>
    </row>
    <row r="28" spans="1:6" x14ac:dyDescent="0.3">
      <c r="A28" s="18">
        <v>100074</v>
      </c>
      <c r="B28" s="20">
        <v>44963.395833333336</v>
      </c>
      <c r="C28" s="19" t="s">
        <v>76</v>
      </c>
      <c r="D28" s="21">
        <f>SUMIF(Sold[Order],Orders!A28,Sold[Total])</f>
        <v>5618</v>
      </c>
      <c r="E28" s="18" t="s">
        <v>30</v>
      </c>
      <c r="F28" s="23"/>
    </row>
    <row r="29" spans="1:6" x14ac:dyDescent="0.3">
      <c r="A29" s="18">
        <v>100073</v>
      </c>
      <c r="B29" s="20">
        <v>44938.4375</v>
      </c>
      <c r="C29" s="19" t="s">
        <v>77</v>
      </c>
      <c r="D29" s="21">
        <f>SUMIF(Sold[Order],Orders!A29,Sold[Total])</f>
        <v>2918.5</v>
      </c>
      <c r="E29" s="18" t="s">
        <v>30</v>
      </c>
      <c r="F29" s="23"/>
    </row>
    <row r="30" spans="1:6" x14ac:dyDescent="0.3">
      <c r="A30" s="18">
        <v>100072</v>
      </c>
      <c r="B30" s="20">
        <v>44917.541666666664</v>
      </c>
      <c r="C30" s="19" t="s">
        <v>78</v>
      </c>
      <c r="D30" s="21">
        <f>SUMIF(Sold[Order],Orders!A30,Sold[Total])</f>
        <v>16380</v>
      </c>
      <c r="E30" s="18" t="s">
        <v>30</v>
      </c>
      <c r="F30" s="23"/>
    </row>
    <row r="31" spans="1:6" x14ac:dyDescent="0.3">
      <c r="A31" s="23"/>
      <c r="B31" s="23"/>
      <c r="C31" s="23"/>
      <c r="D31" s="23"/>
      <c r="E31" s="23"/>
      <c r="F31" s="23"/>
    </row>
    <row r="32" spans="1:6" x14ac:dyDescent="0.3">
      <c r="A32" s="23"/>
      <c r="B32" s="23"/>
      <c r="C32" s="23"/>
      <c r="D32" s="23"/>
      <c r="E32" s="23"/>
      <c r="F32" s="23"/>
    </row>
    <row r="33" spans="1:6" x14ac:dyDescent="0.3">
      <c r="A33" s="23"/>
      <c r="B33" s="23"/>
      <c r="C33" s="23"/>
      <c r="D33" s="23"/>
      <c r="E33" s="23"/>
      <c r="F33" s="23"/>
    </row>
    <row r="34" spans="1:6" x14ac:dyDescent="0.3">
      <c r="A34" s="23"/>
      <c r="B34" s="23"/>
      <c r="C34" s="23"/>
      <c r="D34" s="23"/>
      <c r="E34" s="23"/>
      <c r="F34" s="23"/>
    </row>
  </sheetData>
  <dataValidations count="1">
    <dataValidation type="list" allowBlank="1" showInputMessage="1" showErrorMessage="1" sqref="E2:E30" xr:uid="{5A4540A3-A5C0-4E91-86D4-D409EE469D30}">
      <formula1>"Pending Payment, On Hold, Processing, Completed"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1D2A-D28D-47DB-86C3-2F23C5849D1B}">
  <dimension ref="A1:H88"/>
  <sheetViews>
    <sheetView zoomScale="85" zoomScaleNormal="85" workbookViewId="0">
      <selection activeCell="E12" sqref="E12"/>
    </sheetView>
  </sheetViews>
  <sheetFormatPr defaultRowHeight="13.2" x14ac:dyDescent="0.3"/>
  <cols>
    <col min="1" max="1" width="8.88671875" style="1"/>
    <col min="2" max="3" width="18.88671875" style="1" customWidth="1"/>
    <col min="4" max="4" width="21.33203125" style="1" customWidth="1"/>
    <col min="5" max="5" width="13.44140625" style="1" customWidth="1"/>
    <col min="6" max="6" width="14.44140625" style="1" customWidth="1"/>
    <col min="7" max="7" width="15.44140625" style="1" customWidth="1"/>
    <col min="8" max="16384" width="8.88671875" style="1"/>
  </cols>
  <sheetData>
    <row r="1" spans="1:8" ht="24" customHeight="1" x14ac:dyDescent="0.3">
      <c r="A1" s="2" t="s">
        <v>20</v>
      </c>
      <c r="B1" s="2" t="s">
        <v>15</v>
      </c>
      <c r="C1" s="2" t="s">
        <v>1</v>
      </c>
      <c r="D1" s="2" t="s">
        <v>21</v>
      </c>
      <c r="E1" s="2" t="s">
        <v>22</v>
      </c>
      <c r="F1" s="2" t="s">
        <v>23</v>
      </c>
      <c r="G1" s="2" t="s">
        <v>24</v>
      </c>
      <c r="H1" s="3"/>
    </row>
    <row r="2" spans="1:8" x14ac:dyDescent="0.3">
      <c r="A2" s="18">
        <v>100100</v>
      </c>
      <c r="B2" s="20">
        <v>45646.416666666664</v>
      </c>
      <c r="C2" s="1">
        <v>1001</v>
      </c>
      <c r="D2" s="25" t="s">
        <v>0</v>
      </c>
      <c r="E2" s="1">
        <v>100</v>
      </c>
      <c r="F2" s="24">
        <v>5.45</v>
      </c>
      <c r="G2" s="24">
        <f>E2*F2</f>
        <v>545</v>
      </c>
      <c r="H2" s="3"/>
    </row>
    <row r="3" spans="1:8" x14ac:dyDescent="0.3">
      <c r="A3" s="18">
        <v>100100</v>
      </c>
      <c r="B3" s="20">
        <v>45646.416666666664</v>
      </c>
      <c r="C3" s="1">
        <v>1002</v>
      </c>
      <c r="D3" s="25" t="s">
        <v>12</v>
      </c>
      <c r="E3" s="1">
        <v>100</v>
      </c>
      <c r="F3" s="24">
        <v>5.75</v>
      </c>
      <c r="G3" s="24">
        <f t="shared" ref="G3:G5" si="0">E3*F3</f>
        <v>575</v>
      </c>
      <c r="H3" s="3"/>
    </row>
    <row r="4" spans="1:8" x14ac:dyDescent="0.3">
      <c r="A4" s="18">
        <v>100100</v>
      </c>
      <c r="B4" s="20">
        <v>45646.416666666664</v>
      </c>
      <c r="C4" s="1">
        <v>1003</v>
      </c>
      <c r="D4" s="25" t="s">
        <v>11</v>
      </c>
      <c r="E4" s="1">
        <v>300</v>
      </c>
      <c r="F4" s="24">
        <v>4.95</v>
      </c>
      <c r="G4" s="24">
        <f t="shared" si="0"/>
        <v>1485</v>
      </c>
      <c r="H4" s="3"/>
    </row>
    <row r="5" spans="1:8" x14ac:dyDescent="0.3">
      <c r="A5" s="18">
        <v>100100</v>
      </c>
      <c r="B5" s="20">
        <v>45646.416666666664</v>
      </c>
      <c r="C5" s="1">
        <v>1004</v>
      </c>
      <c r="D5" s="25" t="s">
        <v>7</v>
      </c>
      <c r="E5" s="1">
        <v>150</v>
      </c>
      <c r="F5" s="24">
        <v>4.7</v>
      </c>
      <c r="G5" s="24">
        <f t="shared" si="0"/>
        <v>705</v>
      </c>
      <c r="H5" s="3"/>
    </row>
    <row r="6" spans="1:8" x14ac:dyDescent="0.3">
      <c r="A6" s="18">
        <v>100099</v>
      </c>
      <c r="B6" s="20">
        <v>45646.375</v>
      </c>
      <c r="C6" s="1">
        <v>1004</v>
      </c>
      <c r="D6" s="25" t="s">
        <v>7</v>
      </c>
      <c r="E6" s="1">
        <v>150</v>
      </c>
      <c r="F6" s="24">
        <v>4.7</v>
      </c>
      <c r="G6" s="24">
        <f>E6*F6</f>
        <v>705</v>
      </c>
      <c r="H6" s="3"/>
    </row>
    <row r="7" spans="1:8" x14ac:dyDescent="0.3">
      <c r="A7" s="18">
        <v>100098</v>
      </c>
      <c r="B7" s="20">
        <v>45631.291666666664</v>
      </c>
      <c r="C7" s="1">
        <v>1003</v>
      </c>
      <c r="D7" s="25" t="s">
        <v>11</v>
      </c>
      <c r="E7" s="1">
        <v>200</v>
      </c>
      <c r="F7" s="24">
        <v>4.95</v>
      </c>
      <c r="G7" s="24">
        <f>E7*F7</f>
        <v>990</v>
      </c>
      <c r="H7" s="3"/>
    </row>
    <row r="8" spans="1:8" x14ac:dyDescent="0.3">
      <c r="A8" s="18">
        <v>100098</v>
      </c>
      <c r="B8" s="20">
        <v>45631.291666666664</v>
      </c>
      <c r="C8" s="1">
        <v>1004</v>
      </c>
      <c r="D8" s="25" t="s">
        <v>7</v>
      </c>
      <c r="E8" s="1">
        <v>150</v>
      </c>
      <c r="F8" s="24">
        <v>5.75</v>
      </c>
      <c r="G8" s="24">
        <f>E8*F8</f>
        <v>862.5</v>
      </c>
      <c r="H8" s="3"/>
    </row>
    <row r="9" spans="1:8" x14ac:dyDescent="0.3">
      <c r="A9" s="18">
        <v>100097</v>
      </c>
      <c r="B9" s="20">
        <v>45627.458333333336</v>
      </c>
      <c r="C9" s="1">
        <v>1001</v>
      </c>
      <c r="D9" s="25" t="s">
        <v>0</v>
      </c>
      <c r="E9" s="1">
        <v>200</v>
      </c>
      <c r="F9" s="24">
        <v>5.45</v>
      </c>
      <c r="G9" s="24">
        <f>E9*F9</f>
        <v>1090</v>
      </c>
      <c r="H9" s="3"/>
    </row>
    <row r="10" spans="1:8" x14ac:dyDescent="0.3">
      <c r="A10" s="18">
        <v>100097</v>
      </c>
      <c r="B10" s="20">
        <v>45627.458333333336</v>
      </c>
      <c r="C10" s="1">
        <v>1002</v>
      </c>
      <c r="D10" s="25" t="s">
        <v>12</v>
      </c>
      <c r="E10" s="1">
        <v>100</v>
      </c>
      <c r="F10" s="24">
        <v>5.75</v>
      </c>
      <c r="G10" s="24">
        <f t="shared" ref="G10:G11" si="1">E10*F10</f>
        <v>575</v>
      </c>
      <c r="H10" s="3"/>
    </row>
    <row r="11" spans="1:8" x14ac:dyDescent="0.3">
      <c r="A11" s="18">
        <v>100097</v>
      </c>
      <c r="B11" s="20">
        <v>45627.458333333336</v>
      </c>
      <c r="C11" s="1">
        <v>1003</v>
      </c>
      <c r="D11" s="25" t="s">
        <v>11</v>
      </c>
      <c r="E11" s="1">
        <v>100</v>
      </c>
      <c r="F11" s="24">
        <v>4.95</v>
      </c>
      <c r="G11" s="24">
        <f t="shared" si="1"/>
        <v>495</v>
      </c>
      <c r="H11" s="3"/>
    </row>
    <row r="12" spans="1:8" x14ac:dyDescent="0.3">
      <c r="A12" s="18">
        <v>100096</v>
      </c>
      <c r="B12" s="20">
        <v>45613.458333333336</v>
      </c>
      <c r="C12" s="1">
        <v>1002</v>
      </c>
      <c r="D12" s="25" t="s">
        <v>12</v>
      </c>
      <c r="E12" s="1">
        <v>100</v>
      </c>
      <c r="F12" s="24">
        <v>5.75</v>
      </c>
      <c r="G12" s="24">
        <f t="shared" ref="G12:G13" si="2">E12*F12</f>
        <v>575</v>
      </c>
      <c r="H12" s="3"/>
    </row>
    <row r="13" spans="1:8" x14ac:dyDescent="0.3">
      <c r="A13" s="18">
        <v>100096</v>
      </c>
      <c r="B13" s="20">
        <v>45613.458333333336</v>
      </c>
      <c r="C13" s="1">
        <v>1003</v>
      </c>
      <c r="D13" s="25" t="s">
        <v>11</v>
      </c>
      <c r="E13" s="1">
        <v>200</v>
      </c>
      <c r="F13" s="24">
        <v>4.95</v>
      </c>
      <c r="G13" s="24">
        <f t="shared" si="2"/>
        <v>990</v>
      </c>
      <c r="H13" s="3"/>
    </row>
    <row r="14" spans="1:8" x14ac:dyDescent="0.3">
      <c r="A14" s="18">
        <v>100096</v>
      </c>
      <c r="B14" s="20">
        <v>45613.458333333336</v>
      </c>
      <c r="C14" s="1">
        <v>1004</v>
      </c>
      <c r="D14" s="25" t="s">
        <v>7</v>
      </c>
      <c r="E14" s="1">
        <v>150</v>
      </c>
      <c r="F14" s="24">
        <v>4.7</v>
      </c>
      <c r="G14" s="24">
        <f>E14*F14</f>
        <v>705</v>
      </c>
      <c r="H14" s="3"/>
    </row>
    <row r="15" spans="1:8" x14ac:dyDescent="0.3">
      <c r="A15" s="18">
        <v>100095</v>
      </c>
      <c r="B15" s="20">
        <v>45585.333333333336</v>
      </c>
      <c r="C15" s="1">
        <v>1001</v>
      </c>
      <c r="D15" s="25" t="s">
        <v>0</v>
      </c>
      <c r="E15" s="1">
        <v>110</v>
      </c>
      <c r="F15" s="24">
        <v>5.45</v>
      </c>
      <c r="G15" s="24">
        <f>E15*F15</f>
        <v>599.5</v>
      </c>
      <c r="H15" s="3"/>
    </row>
    <row r="16" spans="1:8" x14ac:dyDescent="0.3">
      <c r="A16" s="18">
        <v>100095</v>
      </c>
      <c r="B16" s="20">
        <v>45585.333333333336</v>
      </c>
      <c r="C16" s="1">
        <v>1002</v>
      </c>
      <c r="D16" s="25" t="s">
        <v>12</v>
      </c>
      <c r="E16" s="1">
        <v>265</v>
      </c>
      <c r="F16" s="24">
        <v>5.75</v>
      </c>
      <c r="G16" s="24">
        <f t="shared" ref="G16:G19" si="3">E16*F16</f>
        <v>1523.75</v>
      </c>
      <c r="H16" s="3"/>
    </row>
    <row r="17" spans="1:8" x14ac:dyDescent="0.3">
      <c r="A17" s="18">
        <v>100095</v>
      </c>
      <c r="B17" s="20">
        <v>45585.333333333336</v>
      </c>
      <c r="C17" s="1">
        <v>1003</v>
      </c>
      <c r="D17" s="25" t="s">
        <v>11</v>
      </c>
      <c r="E17" s="1">
        <v>355</v>
      </c>
      <c r="F17" s="24">
        <v>4.95</v>
      </c>
      <c r="G17" s="24">
        <f t="shared" si="3"/>
        <v>1757.25</v>
      </c>
      <c r="H17" s="3"/>
    </row>
    <row r="18" spans="1:8" x14ac:dyDescent="0.3">
      <c r="A18" s="18">
        <v>100095</v>
      </c>
      <c r="B18" s="20">
        <v>45585.333333333336</v>
      </c>
      <c r="C18" s="1">
        <v>1004</v>
      </c>
      <c r="D18" s="25" t="s">
        <v>7</v>
      </c>
      <c r="E18" s="1">
        <v>205</v>
      </c>
      <c r="F18" s="24">
        <v>4.7</v>
      </c>
      <c r="G18" s="24">
        <f t="shared" si="3"/>
        <v>963.5</v>
      </c>
      <c r="H18" s="3"/>
    </row>
    <row r="19" spans="1:8" x14ac:dyDescent="0.3">
      <c r="A19" s="18">
        <v>100094</v>
      </c>
      <c r="B19" s="20">
        <v>45544.625</v>
      </c>
      <c r="C19" s="1">
        <v>1003</v>
      </c>
      <c r="D19" s="25" t="s">
        <v>11</v>
      </c>
      <c r="E19" s="1">
        <v>600</v>
      </c>
      <c r="F19" s="24">
        <v>4.95</v>
      </c>
      <c r="G19" s="24">
        <f t="shared" si="3"/>
        <v>2970</v>
      </c>
      <c r="H19" s="3"/>
    </row>
    <row r="20" spans="1:8" x14ac:dyDescent="0.3">
      <c r="A20" s="18">
        <v>100094</v>
      </c>
      <c r="B20" s="20">
        <v>45544.625</v>
      </c>
      <c r="C20" s="1">
        <v>1004</v>
      </c>
      <c r="D20" s="25" t="s">
        <v>7</v>
      </c>
      <c r="E20" s="1">
        <v>385</v>
      </c>
      <c r="F20" s="24">
        <v>4.7</v>
      </c>
      <c r="G20" s="24">
        <f>E20*F20</f>
        <v>1809.5</v>
      </c>
      <c r="H20" s="3"/>
    </row>
    <row r="21" spans="1:8" x14ac:dyDescent="0.3">
      <c r="A21" s="18">
        <v>100094</v>
      </c>
      <c r="B21" s="20">
        <v>45544.625</v>
      </c>
      <c r="C21" s="1">
        <v>1001</v>
      </c>
      <c r="D21" s="25" t="s">
        <v>0</v>
      </c>
      <c r="E21" s="1">
        <v>585</v>
      </c>
      <c r="F21" s="24">
        <v>5.45</v>
      </c>
      <c r="G21" s="24">
        <f>E21*F21</f>
        <v>3188.25</v>
      </c>
      <c r="H21" s="3"/>
    </row>
    <row r="22" spans="1:8" x14ac:dyDescent="0.3">
      <c r="A22" s="18">
        <v>100093</v>
      </c>
      <c r="B22" s="20">
        <v>45507.583333333336</v>
      </c>
      <c r="C22" s="1">
        <v>1003</v>
      </c>
      <c r="D22" s="25" t="s">
        <v>11</v>
      </c>
      <c r="E22" s="1">
        <v>450</v>
      </c>
      <c r="F22" s="24">
        <v>4.95</v>
      </c>
      <c r="G22" s="24">
        <f t="shared" ref="G22" si="4">E22*F22</f>
        <v>2227.5</v>
      </c>
      <c r="H22" s="3"/>
    </row>
    <row r="23" spans="1:8" x14ac:dyDescent="0.3">
      <c r="A23" s="18">
        <v>100093</v>
      </c>
      <c r="B23" s="20">
        <v>45507.583333333336</v>
      </c>
      <c r="C23" s="1">
        <v>1004</v>
      </c>
      <c r="D23" s="25" t="s">
        <v>7</v>
      </c>
      <c r="E23" s="1">
        <v>550</v>
      </c>
      <c r="F23" s="24">
        <v>4.7</v>
      </c>
      <c r="G23" s="24">
        <f>E23*F23</f>
        <v>2585</v>
      </c>
      <c r="H23" s="3"/>
    </row>
    <row r="24" spans="1:8" x14ac:dyDescent="0.3">
      <c r="A24" s="18">
        <v>100092</v>
      </c>
      <c r="B24" s="20">
        <v>45495.375</v>
      </c>
      <c r="C24" s="1">
        <v>1001</v>
      </c>
      <c r="D24" s="25" t="s">
        <v>0</v>
      </c>
      <c r="E24" s="1">
        <v>250</v>
      </c>
      <c r="F24" s="24">
        <v>5.45</v>
      </c>
      <c r="G24" s="24">
        <f>E24*F24</f>
        <v>1362.5</v>
      </c>
      <c r="H24" s="3"/>
    </row>
    <row r="25" spans="1:8" x14ac:dyDescent="0.3">
      <c r="A25" s="18">
        <v>100092</v>
      </c>
      <c r="B25" s="20">
        <v>45495.375</v>
      </c>
      <c r="C25" s="1">
        <v>1002</v>
      </c>
      <c r="D25" s="25" t="s">
        <v>12</v>
      </c>
      <c r="E25" s="1">
        <v>100</v>
      </c>
      <c r="F25" s="24">
        <v>5.75</v>
      </c>
      <c r="G25" s="24">
        <f t="shared" ref="G25:G26" si="5">E25*F25</f>
        <v>575</v>
      </c>
      <c r="H25" s="3"/>
    </row>
    <row r="26" spans="1:8" x14ac:dyDescent="0.3">
      <c r="A26" s="18">
        <v>100092</v>
      </c>
      <c r="B26" s="20">
        <v>45495.375</v>
      </c>
      <c r="C26" s="1">
        <v>1003</v>
      </c>
      <c r="D26" s="25" t="s">
        <v>11</v>
      </c>
      <c r="E26" s="1">
        <v>250</v>
      </c>
      <c r="F26" s="24">
        <v>4.95</v>
      </c>
      <c r="G26" s="24">
        <f t="shared" si="5"/>
        <v>1237.5</v>
      </c>
      <c r="H26" s="3"/>
    </row>
    <row r="27" spans="1:8" x14ac:dyDescent="0.3">
      <c r="A27" s="18">
        <v>100091</v>
      </c>
      <c r="B27" s="20">
        <v>45463.333333333336</v>
      </c>
      <c r="C27" s="1">
        <v>1004</v>
      </c>
      <c r="D27" s="25" t="s">
        <v>7</v>
      </c>
      <c r="E27" s="1">
        <v>450</v>
      </c>
      <c r="F27" s="24">
        <v>4.7</v>
      </c>
      <c r="G27" s="24">
        <f>E27*F27</f>
        <v>2115</v>
      </c>
      <c r="H27" s="3"/>
    </row>
    <row r="28" spans="1:8" x14ac:dyDescent="0.3">
      <c r="A28" s="18">
        <v>100091</v>
      </c>
      <c r="B28" s="20">
        <v>45463.333333333336</v>
      </c>
      <c r="C28" s="1">
        <v>1001</v>
      </c>
      <c r="D28" s="25" t="s">
        <v>0</v>
      </c>
      <c r="E28" s="1">
        <v>280</v>
      </c>
      <c r="F28" s="24">
        <v>5.45</v>
      </c>
      <c r="G28" s="24">
        <f>E28*F28</f>
        <v>1526</v>
      </c>
      <c r="H28" s="3"/>
    </row>
    <row r="29" spans="1:8" x14ac:dyDescent="0.3">
      <c r="A29" s="18">
        <v>100090</v>
      </c>
      <c r="B29" s="20">
        <v>45422.333333333336</v>
      </c>
      <c r="C29" s="1">
        <v>1001</v>
      </c>
      <c r="D29" s="25" t="s">
        <v>0</v>
      </c>
      <c r="E29" s="1">
        <v>170</v>
      </c>
      <c r="F29" s="24">
        <v>5.45</v>
      </c>
      <c r="G29" s="24">
        <f>E29*F29</f>
        <v>926.5</v>
      </c>
      <c r="H29" s="3"/>
    </row>
    <row r="30" spans="1:8" x14ac:dyDescent="0.3">
      <c r="A30" s="18">
        <v>100090</v>
      </c>
      <c r="B30" s="20">
        <v>45422.333333333336</v>
      </c>
      <c r="C30" s="1">
        <v>1002</v>
      </c>
      <c r="D30" s="25" t="s">
        <v>12</v>
      </c>
      <c r="E30" s="1">
        <v>210</v>
      </c>
      <c r="F30" s="24">
        <v>5.75</v>
      </c>
      <c r="G30" s="24">
        <f t="shared" ref="G30:G34" si="6">E30*F30</f>
        <v>1207.5</v>
      </c>
      <c r="H30" s="3"/>
    </row>
    <row r="31" spans="1:8" x14ac:dyDescent="0.3">
      <c r="A31" s="18">
        <v>100090</v>
      </c>
      <c r="B31" s="20">
        <v>45422.333333333336</v>
      </c>
      <c r="C31" s="1">
        <v>1003</v>
      </c>
      <c r="D31" s="25" t="s">
        <v>11</v>
      </c>
      <c r="E31" s="1">
        <v>150</v>
      </c>
      <c r="F31" s="24">
        <v>4.95</v>
      </c>
      <c r="G31" s="24">
        <f t="shared" si="6"/>
        <v>742.5</v>
      </c>
      <c r="H31" s="3"/>
    </row>
    <row r="32" spans="1:8" x14ac:dyDescent="0.3">
      <c r="A32" s="18">
        <v>100090</v>
      </c>
      <c r="B32" s="20">
        <v>45422.333333333336</v>
      </c>
      <c r="C32" s="1">
        <v>1004</v>
      </c>
      <c r="D32" s="25" t="s">
        <v>7</v>
      </c>
      <c r="E32" s="1">
        <v>120</v>
      </c>
      <c r="F32" s="24">
        <v>4.7</v>
      </c>
      <c r="G32" s="24">
        <f t="shared" si="6"/>
        <v>564</v>
      </c>
      <c r="H32" s="3"/>
    </row>
    <row r="33" spans="1:8" x14ac:dyDescent="0.3">
      <c r="A33" s="18">
        <v>100089</v>
      </c>
      <c r="B33" s="20">
        <v>45395.458333333336</v>
      </c>
      <c r="C33" s="1">
        <v>1004</v>
      </c>
      <c r="D33" s="25" t="s">
        <v>7</v>
      </c>
      <c r="E33" s="1">
        <v>520</v>
      </c>
      <c r="F33" s="24">
        <v>5.75</v>
      </c>
      <c r="G33" s="24">
        <f t="shared" si="6"/>
        <v>2990</v>
      </c>
      <c r="H33" s="3"/>
    </row>
    <row r="34" spans="1:8" x14ac:dyDescent="0.3">
      <c r="A34" s="18">
        <v>100089</v>
      </c>
      <c r="B34" s="20">
        <v>45395.458333333336</v>
      </c>
      <c r="C34" s="1">
        <v>1003</v>
      </c>
      <c r="D34" s="25" t="s">
        <v>11</v>
      </c>
      <c r="E34" s="1">
        <v>210</v>
      </c>
      <c r="F34" s="24">
        <v>4.95</v>
      </c>
      <c r="G34" s="24">
        <f t="shared" si="6"/>
        <v>1039.5</v>
      </c>
      <c r="H34" s="3"/>
    </row>
    <row r="35" spans="1:8" x14ac:dyDescent="0.3">
      <c r="A35" s="18">
        <v>100088</v>
      </c>
      <c r="B35" s="20">
        <v>45369.416666666664</v>
      </c>
      <c r="C35" s="1">
        <v>1001</v>
      </c>
      <c r="D35" s="25" t="s">
        <v>0</v>
      </c>
      <c r="E35" s="1">
        <v>250</v>
      </c>
      <c r="F35" s="24">
        <v>5.45</v>
      </c>
      <c r="G35" s="24">
        <f>E35*F35</f>
        <v>1362.5</v>
      </c>
      <c r="H35" s="3"/>
    </row>
    <row r="36" spans="1:8" x14ac:dyDescent="0.3">
      <c r="A36" s="18">
        <v>100088</v>
      </c>
      <c r="B36" s="20">
        <v>45369.416666666664</v>
      </c>
      <c r="C36" s="1">
        <v>1003</v>
      </c>
      <c r="D36" s="25" t="s">
        <v>11</v>
      </c>
      <c r="E36" s="1">
        <v>120</v>
      </c>
      <c r="F36" s="24">
        <v>4.95</v>
      </c>
      <c r="G36" s="24">
        <f t="shared" ref="G36:G37" si="7">E36*F36</f>
        <v>594</v>
      </c>
      <c r="H36" s="3"/>
    </row>
    <row r="37" spans="1:8" x14ac:dyDescent="0.3">
      <c r="A37" s="18">
        <v>100088</v>
      </c>
      <c r="B37" s="20">
        <v>45369.416666666664</v>
      </c>
      <c r="C37" s="1">
        <v>1004</v>
      </c>
      <c r="D37" s="25" t="s">
        <v>7</v>
      </c>
      <c r="E37" s="1">
        <v>200</v>
      </c>
      <c r="F37" s="24">
        <v>4.7</v>
      </c>
      <c r="G37" s="24">
        <f t="shared" si="7"/>
        <v>940</v>
      </c>
      <c r="H37" s="3"/>
    </row>
    <row r="38" spans="1:8" x14ac:dyDescent="0.3">
      <c r="A38" s="18">
        <v>100087</v>
      </c>
      <c r="B38" s="20">
        <v>45328.395833333336</v>
      </c>
      <c r="C38" s="1">
        <v>1001</v>
      </c>
      <c r="D38" s="25" t="s">
        <v>0</v>
      </c>
      <c r="E38" s="1">
        <v>440</v>
      </c>
      <c r="F38" s="24">
        <v>5.45</v>
      </c>
      <c r="G38" s="24">
        <f>E38*F38</f>
        <v>2398</v>
      </c>
      <c r="H38" s="3"/>
    </row>
    <row r="39" spans="1:8" x14ac:dyDescent="0.3">
      <c r="A39" s="18">
        <v>100087</v>
      </c>
      <c r="B39" s="20">
        <v>45328.395833333336</v>
      </c>
      <c r="C39" s="1">
        <v>1002</v>
      </c>
      <c r="D39" s="25" t="s">
        <v>12</v>
      </c>
      <c r="E39" s="1">
        <v>560</v>
      </c>
      <c r="F39" s="24">
        <v>5.75</v>
      </c>
      <c r="G39" s="24">
        <f t="shared" ref="G39" si="8">E39*F39</f>
        <v>3220</v>
      </c>
      <c r="H39" s="3"/>
    </row>
    <row r="40" spans="1:8" x14ac:dyDescent="0.3">
      <c r="A40" s="18">
        <v>100086</v>
      </c>
      <c r="B40" s="20">
        <v>45303.479166666664</v>
      </c>
      <c r="C40" s="1">
        <v>1001</v>
      </c>
      <c r="D40" s="25" t="s">
        <v>0</v>
      </c>
      <c r="E40" s="1">
        <v>150</v>
      </c>
      <c r="F40" s="24">
        <v>5.45</v>
      </c>
      <c r="G40" s="24">
        <f>E40*F40</f>
        <v>817.5</v>
      </c>
      <c r="H40" s="3"/>
    </row>
    <row r="41" spans="1:8" x14ac:dyDescent="0.3">
      <c r="A41" s="18">
        <v>100086</v>
      </c>
      <c r="B41" s="20">
        <v>45303.479166666664</v>
      </c>
      <c r="C41" s="1">
        <v>1002</v>
      </c>
      <c r="D41" s="25" t="s">
        <v>12</v>
      </c>
      <c r="E41" s="1">
        <v>275</v>
      </c>
      <c r="F41" s="24">
        <v>5.75</v>
      </c>
      <c r="G41" s="24">
        <f t="shared" ref="G41:G42" si="9">E41*F41</f>
        <v>1581.25</v>
      </c>
      <c r="H41" s="3"/>
    </row>
    <row r="42" spans="1:8" x14ac:dyDescent="0.3">
      <c r="A42" s="18">
        <v>100086</v>
      </c>
      <c r="B42" s="20">
        <v>45303.479166666664</v>
      </c>
      <c r="C42" s="1">
        <v>1003</v>
      </c>
      <c r="D42" s="25" t="s">
        <v>11</v>
      </c>
      <c r="E42" s="1">
        <v>105</v>
      </c>
      <c r="F42" s="24">
        <v>4.95</v>
      </c>
      <c r="G42" s="24">
        <f t="shared" si="9"/>
        <v>519.75</v>
      </c>
      <c r="H42" s="3"/>
    </row>
    <row r="43" spans="1:8" x14ac:dyDescent="0.3">
      <c r="A43" s="18">
        <v>100085</v>
      </c>
      <c r="B43" s="20">
        <v>45276.583333333336</v>
      </c>
      <c r="C43" s="1">
        <v>1001</v>
      </c>
      <c r="D43" s="25" t="s">
        <v>0</v>
      </c>
      <c r="E43" s="1">
        <v>110</v>
      </c>
      <c r="F43" s="24">
        <v>5.45</v>
      </c>
      <c r="G43" s="24">
        <f>E43*F43</f>
        <v>599.5</v>
      </c>
      <c r="H43" s="3"/>
    </row>
    <row r="44" spans="1:8" x14ac:dyDescent="0.3">
      <c r="A44" s="18">
        <v>100085</v>
      </c>
      <c r="B44" s="20">
        <v>45276.583333333336</v>
      </c>
      <c r="C44" s="1">
        <v>1002</v>
      </c>
      <c r="D44" s="25" t="s">
        <v>12</v>
      </c>
      <c r="E44" s="1">
        <v>250</v>
      </c>
      <c r="F44" s="24">
        <v>5.75</v>
      </c>
      <c r="G44" s="24">
        <f t="shared" ref="G44:G46" si="10">E44*F44</f>
        <v>1437.5</v>
      </c>
      <c r="H44" s="3"/>
    </row>
    <row r="45" spans="1:8" x14ac:dyDescent="0.3">
      <c r="A45" s="18">
        <v>100085</v>
      </c>
      <c r="B45" s="20">
        <v>45276.583333333336</v>
      </c>
      <c r="C45" s="1">
        <v>1003</v>
      </c>
      <c r="D45" s="25" t="s">
        <v>11</v>
      </c>
      <c r="E45" s="1">
        <v>210</v>
      </c>
      <c r="F45" s="24">
        <v>4.95</v>
      </c>
      <c r="G45" s="24">
        <f t="shared" si="10"/>
        <v>1039.5</v>
      </c>
      <c r="H45" s="3"/>
    </row>
    <row r="46" spans="1:8" x14ac:dyDescent="0.3">
      <c r="A46" s="18">
        <v>100085</v>
      </c>
      <c r="B46" s="20">
        <v>45276.583333333336</v>
      </c>
      <c r="C46" s="1">
        <v>1004</v>
      </c>
      <c r="D46" s="25" t="s">
        <v>7</v>
      </c>
      <c r="E46" s="1">
        <v>305</v>
      </c>
      <c r="F46" s="24">
        <v>4.7</v>
      </c>
      <c r="G46" s="24">
        <f t="shared" si="10"/>
        <v>1433.5</v>
      </c>
      <c r="H46" s="3"/>
    </row>
    <row r="47" spans="1:8" x14ac:dyDescent="0.3">
      <c r="A47" s="18">
        <v>100084</v>
      </c>
      <c r="B47" s="20">
        <v>45252.40625</v>
      </c>
      <c r="C47" s="1">
        <v>1001</v>
      </c>
      <c r="D47" s="25" t="s">
        <v>0</v>
      </c>
      <c r="E47" s="1">
        <v>305</v>
      </c>
      <c r="F47" s="24">
        <v>5.45</v>
      </c>
      <c r="G47" s="24">
        <f>E47*F47</f>
        <v>1662.25</v>
      </c>
      <c r="H47" s="3"/>
    </row>
    <row r="48" spans="1:8" x14ac:dyDescent="0.3">
      <c r="A48" s="18">
        <v>100084</v>
      </c>
      <c r="B48" s="20">
        <v>45252.40625</v>
      </c>
      <c r="C48" s="1">
        <v>1002</v>
      </c>
      <c r="D48" s="25" t="s">
        <v>12</v>
      </c>
      <c r="E48" s="1">
        <v>215</v>
      </c>
      <c r="F48" s="24">
        <v>5.75</v>
      </c>
      <c r="G48" s="24">
        <f t="shared" ref="G48:G50" si="11">E48*F48</f>
        <v>1236.25</v>
      </c>
      <c r="H48" s="3"/>
    </row>
    <row r="49" spans="1:8" x14ac:dyDescent="0.3">
      <c r="A49" s="18">
        <v>100083</v>
      </c>
      <c r="B49" s="20">
        <v>45216.416666666664</v>
      </c>
      <c r="C49" s="1">
        <v>1002</v>
      </c>
      <c r="D49" s="25" t="s">
        <v>12</v>
      </c>
      <c r="E49" s="1">
        <v>180</v>
      </c>
      <c r="F49" s="24">
        <v>5.75</v>
      </c>
      <c r="G49" s="24">
        <f t="shared" si="11"/>
        <v>1035</v>
      </c>
      <c r="H49" s="3"/>
    </row>
    <row r="50" spans="1:8" x14ac:dyDescent="0.3">
      <c r="A50" s="18">
        <v>100083</v>
      </c>
      <c r="B50" s="20">
        <v>45216.416666666664</v>
      </c>
      <c r="C50" s="1">
        <v>1003</v>
      </c>
      <c r="D50" s="25" t="s">
        <v>11</v>
      </c>
      <c r="E50" s="1">
        <v>145</v>
      </c>
      <c r="F50" s="24">
        <v>4.95</v>
      </c>
      <c r="G50" s="24">
        <f t="shared" si="11"/>
        <v>717.75</v>
      </c>
      <c r="H50" s="3"/>
    </row>
    <row r="51" spans="1:8" x14ac:dyDescent="0.3">
      <c r="A51" s="18">
        <v>100083</v>
      </c>
      <c r="B51" s="20">
        <v>45216.416666666664</v>
      </c>
      <c r="C51" s="1">
        <v>1004</v>
      </c>
      <c r="D51" s="25" t="s">
        <v>7</v>
      </c>
      <c r="E51" s="1">
        <v>250</v>
      </c>
      <c r="F51" s="24">
        <v>4.7</v>
      </c>
      <c r="G51" s="24">
        <f>E51*F51</f>
        <v>1175</v>
      </c>
      <c r="H51" s="3"/>
    </row>
    <row r="52" spans="1:8" x14ac:dyDescent="0.3">
      <c r="A52" s="18">
        <v>100082</v>
      </c>
      <c r="B52" s="20">
        <v>45181.666666666664</v>
      </c>
      <c r="C52" s="1">
        <v>1004</v>
      </c>
      <c r="D52" s="25" t="s">
        <v>7</v>
      </c>
      <c r="E52" s="1">
        <v>400</v>
      </c>
      <c r="F52" s="24">
        <v>4.7</v>
      </c>
      <c r="G52" s="24">
        <f>E52*F52</f>
        <v>1880</v>
      </c>
      <c r="H52" s="3"/>
    </row>
    <row r="53" spans="1:8" x14ac:dyDescent="0.3">
      <c r="A53" s="18">
        <v>100082</v>
      </c>
      <c r="B53" s="20">
        <v>45181.666666666664</v>
      </c>
      <c r="C53" s="1">
        <v>1001</v>
      </c>
      <c r="D53" s="25" t="s">
        <v>0</v>
      </c>
      <c r="E53" s="1">
        <v>150</v>
      </c>
      <c r="F53" s="24">
        <v>5.45</v>
      </c>
      <c r="G53" s="24">
        <f>E53*F53</f>
        <v>817.5</v>
      </c>
      <c r="H53" s="3"/>
    </row>
    <row r="54" spans="1:8" x14ac:dyDescent="0.3">
      <c r="A54" s="18">
        <v>100082</v>
      </c>
      <c r="B54" s="20">
        <v>45181.666666666664</v>
      </c>
      <c r="C54" s="1">
        <v>1003</v>
      </c>
      <c r="D54" s="25" t="s">
        <v>11</v>
      </c>
      <c r="E54" s="1">
        <v>200</v>
      </c>
      <c r="F54" s="24">
        <v>4.95</v>
      </c>
      <c r="G54" s="24">
        <f t="shared" ref="G54:G57" si="12">E54*F54</f>
        <v>990</v>
      </c>
      <c r="H54" s="3"/>
    </row>
    <row r="55" spans="1:8" x14ac:dyDescent="0.3">
      <c r="A55" s="18">
        <v>100081</v>
      </c>
      <c r="B55" s="20">
        <v>45158.423611111109</v>
      </c>
      <c r="C55" s="1">
        <v>1002</v>
      </c>
      <c r="D55" s="25" t="s">
        <v>12</v>
      </c>
      <c r="E55" s="1">
        <v>145</v>
      </c>
      <c r="F55" s="24">
        <v>5.75</v>
      </c>
      <c r="G55" s="24">
        <f t="shared" si="12"/>
        <v>833.75</v>
      </c>
      <c r="H55" s="3"/>
    </row>
    <row r="56" spans="1:8" x14ac:dyDescent="0.3">
      <c r="A56" s="18">
        <v>100081</v>
      </c>
      <c r="B56" s="20">
        <v>45158.423611111109</v>
      </c>
      <c r="C56" s="1">
        <v>1003</v>
      </c>
      <c r="D56" s="25" t="s">
        <v>11</v>
      </c>
      <c r="E56" s="1">
        <v>170</v>
      </c>
      <c r="F56" s="24">
        <v>4.95</v>
      </c>
      <c r="G56" s="24">
        <f t="shared" si="12"/>
        <v>841.5</v>
      </c>
      <c r="H56" s="3"/>
    </row>
    <row r="57" spans="1:8" x14ac:dyDescent="0.3">
      <c r="A57" s="18">
        <v>100081</v>
      </c>
      <c r="B57" s="20">
        <v>45158.423611111109</v>
      </c>
      <c r="C57" s="1">
        <v>1004</v>
      </c>
      <c r="D57" s="25" t="s">
        <v>7</v>
      </c>
      <c r="E57" s="1">
        <v>120</v>
      </c>
      <c r="F57" s="24">
        <v>4.7</v>
      </c>
      <c r="G57" s="24">
        <f t="shared" si="12"/>
        <v>564</v>
      </c>
      <c r="H57" s="3"/>
    </row>
    <row r="58" spans="1:8" x14ac:dyDescent="0.3">
      <c r="A58" s="18">
        <v>100080</v>
      </c>
      <c r="B58" s="20">
        <v>45119.541666666664</v>
      </c>
      <c r="C58" s="1">
        <v>1001</v>
      </c>
      <c r="D58" s="25" t="s">
        <v>0</v>
      </c>
      <c r="E58" s="1">
        <v>165</v>
      </c>
      <c r="F58" s="24">
        <v>5.45</v>
      </c>
      <c r="G58" s="24">
        <f>E58*F58</f>
        <v>899.25</v>
      </c>
      <c r="H58" s="3"/>
    </row>
    <row r="59" spans="1:8" x14ac:dyDescent="0.3">
      <c r="A59" s="18">
        <v>100080</v>
      </c>
      <c r="B59" s="20">
        <v>45119.541666666664</v>
      </c>
      <c r="C59" s="1">
        <v>1003</v>
      </c>
      <c r="D59" s="25" t="s">
        <v>11</v>
      </c>
      <c r="E59" s="1">
        <v>155</v>
      </c>
      <c r="F59" s="24">
        <v>4.95</v>
      </c>
      <c r="G59" s="24">
        <f t="shared" ref="G59:G61" si="13">E59*F59</f>
        <v>767.25</v>
      </c>
      <c r="H59" s="3"/>
    </row>
    <row r="60" spans="1:8" x14ac:dyDescent="0.3">
      <c r="A60" s="18">
        <v>100079</v>
      </c>
      <c r="B60" s="20">
        <v>45117.416666666664</v>
      </c>
      <c r="C60" s="1">
        <v>1002</v>
      </c>
      <c r="D60" s="25" t="s">
        <v>12</v>
      </c>
      <c r="E60" s="1">
        <v>210</v>
      </c>
      <c r="F60" s="24">
        <v>5.75</v>
      </c>
      <c r="G60" s="24">
        <f t="shared" si="13"/>
        <v>1207.5</v>
      </c>
      <c r="H60" s="3"/>
    </row>
    <row r="61" spans="1:8" x14ac:dyDescent="0.3">
      <c r="A61" s="18">
        <v>100079</v>
      </c>
      <c r="B61" s="20">
        <v>45117.416666666664</v>
      </c>
      <c r="C61" s="1">
        <v>1003</v>
      </c>
      <c r="D61" s="25" t="s">
        <v>11</v>
      </c>
      <c r="E61" s="1">
        <v>350</v>
      </c>
      <c r="F61" s="24">
        <v>4.95</v>
      </c>
      <c r="G61" s="24">
        <f t="shared" si="13"/>
        <v>1732.5</v>
      </c>
      <c r="H61" s="3"/>
    </row>
    <row r="62" spans="1:8" x14ac:dyDescent="0.3">
      <c r="A62" s="18">
        <v>100078</v>
      </c>
      <c r="B62" s="20">
        <v>45097.458333333336</v>
      </c>
      <c r="C62" s="1">
        <v>1004</v>
      </c>
      <c r="D62" s="25" t="s">
        <v>7</v>
      </c>
      <c r="E62" s="1">
        <v>120</v>
      </c>
      <c r="F62" s="24">
        <v>4.7</v>
      </c>
      <c r="G62" s="24">
        <f>E62*F62</f>
        <v>564</v>
      </c>
      <c r="H62" s="3"/>
    </row>
    <row r="63" spans="1:8" x14ac:dyDescent="0.3">
      <c r="A63" s="18">
        <v>100078</v>
      </c>
      <c r="B63" s="20">
        <v>45097.458333333336</v>
      </c>
      <c r="C63" s="1">
        <v>1003</v>
      </c>
      <c r="D63" s="25" t="s">
        <v>11</v>
      </c>
      <c r="E63" s="1">
        <v>165</v>
      </c>
      <c r="F63" s="24">
        <v>4.95</v>
      </c>
      <c r="G63" s="24">
        <f>E63*F63</f>
        <v>816.75</v>
      </c>
      <c r="H63" s="3"/>
    </row>
    <row r="64" spans="1:8" x14ac:dyDescent="0.3">
      <c r="A64" s="18">
        <v>100078</v>
      </c>
      <c r="B64" s="20">
        <v>45097.458333333336</v>
      </c>
      <c r="C64" s="1">
        <v>1002</v>
      </c>
      <c r="D64" s="25" t="s">
        <v>12</v>
      </c>
      <c r="E64" s="1">
        <v>185</v>
      </c>
      <c r="F64" s="24">
        <v>5.75</v>
      </c>
      <c r="G64" s="24">
        <f>E64*F64</f>
        <v>1063.75</v>
      </c>
      <c r="H64" s="3"/>
    </row>
    <row r="65" spans="1:8" x14ac:dyDescent="0.3">
      <c r="A65" s="18">
        <v>100078</v>
      </c>
      <c r="B65" s="20">
        <v>45097.458333333336</v>
      </c>
      <c r="C65" s="1">
        <v>1001</v>
      </c>
      <c r="D65" s="25" t="s">
        <v>0</v>
      </c>
      <c r="E65" s="1">
        <v>320</v>
      </c>
      <c r="F65" s="24">
        <v>5.45</v>
      </c>
      <c r="G65" s="24">
        <f>E65*F65</f>
        <v>1744</v>
      </c>
      <c r="H65" s="3"/>
    </row>
    <row r="66" spans="1:8" x14ac:dyDescent="0.3">
      <c r="A66" s="18">
        <v>100077</v>
      </c>
      <c r="B66" s="20">
        <v>45067.625</v>
      </c>
      <c r="C66" s="1">
        <v>1001</v>
      </c>
      <c r="D66" s="25" t="s">
        <v>0</v>
      </c>
      <c r="E66" s="1">
        <v>300</v>
      </c>
      <c r="F66" s="24">
        <v>5.45</v>
      </c>
      <c r="G66" s="24">
        <f>E66*F66</f>
        <v>1635</v>
      </c>
      <c r="H66" s="3"/>
    </row>
    <row r="67" spans="1:8" x14ac:dyDescent="0.3">
      <c r="A67" s="18">
        <v>100077</v>
      </c>
      <c r="B67" s="20">
        <v>45067.625</v>
      </c>
      <c r="C67" s="1">
        <v>1003</v>
      </c>
      <c r="D67" s="25" t="s">
        <v>11</v>
      </c>
      <c r="E67" s="1">
        <v>280</v>
      </c>
      <c r="F67" s="24">
        <v>4.95</v>
      </c>
      <c r="G67" s="24">
        <f t="shared" ref="G67" si="14">E67*F67</f>
        <v>1386</v>
      </c>
      <c r="H67" s="3"/>
    </row>
    <row r="68" spans="1:8" x14ac:dyDescent="0.3">
      <c r="A68" s="18">
        <v>100076</v>
      </c>
      <c r="B68" s="20">
        <v>45027.541666666664</v>
      </c>
      <c r="C68" s="1">
        <v>1001</v>
      </c>
      <c r="D68" s="25" t="s">
        <v>0</v>
      </c>
      <c r="E68" s="1">
        <v>300</v>
      </c>
      <c r="F68" s="24">
        <v>5.45</v>
      </c>
      <c r="G68" s="24">
        <f>E68*F68</f>
        <v>1635</v>
      </c>
      <c r="H68" s="3"/>
    </row>
    <row r="69" spans="1:8" x14ac:dyDescent="0.3">
      <c r="A69" s="18">
        <v>100076</v>
      </c>
      <c r="B69" s="20">
        <v>45027.541666666664</v>
      </c>
      <c r="C69" s="1">
        <v>1002</v>
      </c>
      <c r="D69" s="25" t="s">
        <v>12</v>
      </c>
      <c r="E69" s="1">
        <v>170</v>
      </c>
      <c r="F69" s="24">
        <v>5.75</v>
      </c>
      <c r="G69" s="24">
        <f t="shared" ref="G69" si="15">E69*F69</f>
        <v>977.5</v>
      </c>
      <c r="H69" s="3"/>
    </row>
    <row r="70" spans="1:8" x14ac:dyDescent="0.3">
      <c r="A70" s="18">
        <v>100075</v>
      </c>
      <c r="B70" s="20">
        <v>45001.395833333336</v>
      </c>
      <c r="C70" s="1">
        <v>1001</v>
      </c>
      <c r="D70" s="25" t="s">
        <v>0</v>
      </c>
      <c r="E70" s="1">
        <v>120</v>
      </c>
      <c r="F70" s="24">
        <v>5.45</v>
      </c>
      <c r="G70" s="24">
        <f>E70*F70</f>
        <v>654</v>
      </c>
      <c r="H70" s="3"/>
    </row>
    <row r="71" spans="1:8" x14ac:dyDescent="0.3">
      <c r="A71" s="18">
        <v>100075</v>
      </c>
      <c r="B71" s="20">
        <v>45001.395833333336</v>
      </c>
      <c r="C71" s="1">
        <v>1002</v>
      </c>
      <c r="D71" s="25" t="s">
        <v>12</v>
      </c>
      <c r="E71" s="1">
        <v>250</v>
      </c>
      <c r="F71" s="24">
        <v>5.75</v>
      </c>
      <c r="G71" s="24">
        <f t="shared" ref="G71:G73" si="16">E71*F71</f>
        <v>1437.5</v>
      </c>
      <c r="H71" s="3"/>
    </row>
    <row r="72" spans="1:8" x14ac:dyDescent="0.3">
      <c r="A72" s="18">
        <v>100075</v>
      </c>
      <c r="B72" s="20">
        <v>45001.395833333336</v>
      </c>
      <c r="C72" s="1">
        <v>1003</v>
      </c>
      <c r="D72" s="25" t="s">
        <v>11</v>
      </c>
      <c r="E72" s="1">
        <v>335</v>
      </c>
      <c r="F72" s="24">
        <v>4.95</v>
      </c>
      <c r="G72" s="24">
        <f t="shared" si="16"/>
        <v>1658.25</v>
      </c>
      <c r="H72" s="3"/>
    </row>
    <row r="73" spans="1:8" x14ac:dyDescent="0.3">
      <c r="A73" s="18">
        <v>100075</v>
      </c>
      <c r="B73" s="20">
        <v>45001.395833333336</v>
      </c>
      <c r="C73" s="1">
        <v>1004</v>
      </c>
      <c r="D73" s="25" t="s">
        <v>7</v>
      </c>
      <c r="E73" s="1">
        <v>100</v>
      </c>
      <c r="F73" s="24">
        <v>4.7</v>
      </c>
      <c r="G73" s="24">
        <f t="shared" si="16"/>
        <v>470</v>
      </c>
      <c r="H73" s="3"/>
    </row>
    <row r="74" spans="1:8" x14ac:dyDescent="0.3">
      <c r="A74" s="18">
        <v>100074</v>
      </c>
      <c r="B74" s="20">
        <v>44963.395833333336</v>
      </c>
      <c r="C74" s="1">
        <v>1001</v>
      </c>
      <c r="D74" s="25" t="s">
        <v>0</v>
      </c>
      <c r="E74" s="1">
        <v>440</v>
      </c>
      <c r="F74" s="24">
        <v>5.45</v>
      </c>
      <c r="G74" s="24">
        <f>E74*F74</f>
        <v>2398</v>
      </c>
      <c r="H74" s="3"/>
    </row>
    <row r="75" spans="1:8" x14ac:dyDescent="0.3">
      <c r="A75" s="18">
        <v>100074</v>
      </c>
      <c r="B75" s="20">
        <v>44963.395833333336</v>
      </c>
      <c r="C75" s="1">
        <v>1002</v>
      </c>
      <c r="D75" s="25" t="s">
        <v>12</v>
      </c>
      <c r="E75" s="1">
        <v>560</v>
      </c>
      <c r="F75" s="24">
        <v>5.75</v>
      </c>
      <c r="G75" s="24">
        <f t="shared" ref="G75" si="17">E75*F75</f>
        <v>3220</v>
      </c>
      <c r="H75" s="3"/>
    </row>
    <row r="76" spans="1:8" x14ac:dyDescent="0.3">
      <c r="A76" s="18">
        <v>100073</v>
      </c>
      <c r="B76" s="20">
        <v>44938.4375</v>
      </c>
      <c r="C76" s="1">
        <v>1001</v>
      </c>
      <c r="D76" s="25" t="s">
        <v>0</v>
      </c>
      <c r="E76" s="1">
        <v>150</v>
      </c>
      <c r="F76" s="24">
        <v>5.45</v>
      </c>
      <c r="G76" s="24">
        <f>E76*F76</f>
        <v>817.5</v>
      </c>
      <c r="H76" s="3"/>
    </row>
    <row r="77" spans="1:8" x14ac:dyDescent="0.3">
      <c r="A77" s="18">
        <v>100073</v>
      </c>
      <c r="B77" s="20">
        <v>44938.4375</v>
      </c>
      <c r="C77" s="1">
        <v>1004</v>
      </c>
      <c r="D77" s="25" t="s">
        <v>7</v>
      </c>
      <c r="E77" s="1">
        <v>275</v>
      </c>
      <c r="F77" s="24">
        <v>5.75</v>
      </c>
      <c r="G77" s="24">
        <f t="shared" ref="G77:G80" si="18">E77*F77</f>
        <v>1581.25</v>
      </c>
      <c r="H77" s="3"/>
    </row>
    <row r="78" spans="1:8" x14ac:dyDescent="0.3">
      <c r="A78" s="18">
        <v>100073</v>
      </c>
      <c r="B78" s="20">
        <v>44938.4375</v>
      </c>
      <c r="C78" s="1">
        <v>1003</v>
      </c>
      <c r="D78" s="25" t="s">
        <v>11</v>
      </c>
      <c r="E78" s="1">
        <v>105</v>
      </c>
      <c r="F78" s="24">
        <v>4.95</v>
      </c>
      <c r="G78" s="24">
        <f t="shared" si="18"/>
        <v>519.75</v>
      </c>
      <c r="H78" s="3"/>
    </row>
    <row r="79" spans="1:8" x14ac:dyDescent="0.3">
      <c r="A79" s="18">
        <v>100072</v>
      </c>
      <c r="B79" s="20">
        <v>44917.541666666664</v>
      </c>
      <c r="C79" s="1">
        <v>1003</v>
      </c>
      <c r="D79" s="25" t="s">
        <v>11</v>
      </c>
      <c r="E79" s="1">
        <v>1000</v>
      </c>
      <c r="F79" s="24">
        <v>4.95</v>
      </c>
      <c r="G79" s="24">
        <f t="shared" si="18"/>
        <v>4950</v>
      </c>
      <c r="H79" s="3"/>
    </row>
    <row r="80" spans="1:8" x14ac:dyDescent="0.3">
      <c r="A80" s="18">
        <v>100072</v>
      </c>
      <c r="B80" s="20">
        <v>44917.541666666664</v>
      </c>
      <c r="C80" s="1">
        <v>1004</v>
      </c>
      <c r="D80" s="25" t="s">
        <v>7</v>
      </c>
      <c r="E80" s="1">
        <v>1000</v>
      </c>
      <c r="F80" s="24">
        <v>4.7</v>
      </c>
      <c r="G80" s="24">
        <f t="shared" si="18"/>
        <v>4700</v>
      </c>
      <c r="H80" s="3"/>
    </row>
    <row r="81" spans="1:8" x14ac:dyDescent="0.3">
      <c r="A81" s="18">
        <v>100072</v>
      </c>
      <c r="B81" s="20">
        <v>44917.541666666664</v>
      </c>
      <c r="C81" s="1">
        <v>1002</v>
      </c>
      <c r="D81" s="25" t="s">
        <v>12</v>
      </c>
      <c r="E81" s="1">
        <v>600</v>
      </c>
      <c r="F81" s="24">
        <v>4.95</v>
      </c>
      <c r="G81" s="24">
        <f t="shared" ref="G81:G82" si="19">E81*F81</f>
        <v>2970</v>
      </c>
      <c r="H81" s="3"/>
    </row>
    <row r="82" spans="1:8" x14ac:dyDescent="0.3">
      <c r="A82" s="18">
        <v>100072</v>
      </c>
      <c r="B82" s="20">
        <v>44917.541666666664</v>
      </c>
      <c r="C82" s="1">
        <v>1001</v>
      </c>
      <c r="D82" s="25" t="s">
        <v>0</v>
      </c>
      <c r="E82" s="1">
        <v>800</v>
      </c>
      <c r="F82" s="24">
        <v>4.7</v>
      </c>
      <c r="G82" s="24">
        <f t="shared" si="19"/>
        <v>3760</v>
      </c>
      <c r="H82" s="3"/>
    </row>
    <row r="83" spans="1:8" x14ac:dyDescent="0.3">
      <c r="A83" s="3"/>
      <c r="B83" s="3"/>
      <c r="C83" s="3"/>
      <c r="D83" s="3"/>
      <c r="E83" s="3"/>
      <c r="F83" s="3"/>
      <c r="G83" s="3"/>
      <c r="H83" s="3"/>
    </row>
    <row r="84" spans="1:8" x14ac:dyDescent="0.3">
      <c r="A84" s="3"/>
      <c r="B84" s="3"/>
      <c r="C84" s="3"/>
      <c r="D84" s="3"/>
      <c r="E84" s="3"/>
      <c r="F84" s="3"/>
      <c r="G84" s="3"/>
      <c r="H84" s="3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3"/>
      <c r="B86" s="3"/>
      <c r="C86" s="3"/>
      <c r="D86" s="3"/>
      <c r="E86" s="3"/>
      <c r="F86" s="3"/>
      <c r="G86" s="3"/>
      <c r="H86" s="3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3"/>
      <c r="B88" s="3"/>
      <c r="C88" s="3"/>
      <c r="D88" s="3"/>
      <c r="E88" s="3"/>
      <c r="F88" s="3"/>
      <c r="G88" s="3"/>
      <c r="H88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42B1-E9B6-4038-A177-1AA41D844CC5}">
  <dimension ref="A1:E127"/>
  <sheetViews>
    <sheetView zoomScale="85" zoomScaleNormal="85" workbookViewId="0">
      <selection activeCell="E1" sqref="E1"/>
    </sheetView>
  </sheetViews>
  <sheetFormatPr defaultRowHeight="13.2" x14ac:dyDescent="0.3"/>
  <cols>
    <col min="1" max="1" width="8.88671875" style="1"/>
    <col min="2" max="2" width="13.109375" style="1" customWidth="1"/>
    <col min="3" max="3" width="29.88671875" style="1" customWidth="1"/>
    <col min="4" max="4" width="15.44140625" style="1" customWidth="1"/>
    <col min="5" max="16384" width="8.88671875" style="1"/>
  </cols>
  <sheetData>
    <row r="1" spans="1:5" x14ac:dyDescent="0.3">
      <c r="A1" s="51" t="s">
        <v>34</v>
      </c>
      <c r="B1" s="52" t="s">
        <v>35</v>
      </c>
      <c r="C1" s="53" t="s">
        <v>36</v>
      </c>
      <c r="D1" s="54" t="s">
        <v>17</v>
      </c>
      <c r="E1" s="3"/>
    </row>
    <row r="2" spans="1:5" x14ac:dyDescent="0.3">
      <c r="A2" s="49">
        <v>2024</v>
      </c>
      <c r="B2" s="27">
        <v>12</v>
      </c>
      <c r="C2" s="28" t="s">
        <v>37</v>
      </c>
      <c r="D2" s="50">
        <v>200</v>
      </c>
      <c r="E2" s="3"/>
    </row>
    <row r="3" spans="1:5" x14ac:dyDescent="0.3">
      <c r="A3" s="49">
        <v>2024</v>
      </c>
      <c r="B3" s="27">
        <v>12</v>
      </c>
      <c r="C3" s="28" t="s">
        <v>38</v>
      </c>
      <c r="D3" s="50">
        <v>850</v>
      </c>
      <c r="E3" s="3"/>
    </row>
    <row r="4" spans="1:5" x14ac:dyDescent="0.3">
      <c r="A4" s="49">
        <v>2024</v>
      </c>
      <c r="B4" s="27">
        <v>12</v>
      </c>
      <c r="C4" s="28" t="s">
        <v>39</v>
      </c>
      <c r="D4" s="50">
        <v>600</v>
      </c>
      <c r="E4" s="3"/>
    </row>
    <row r="5" spans="1:5" x14ac:dyDescent="0.3">
      <c r="A5" s="49">
        <v>2024</v>
      </c>
      <c r="B5" s="27">
        <v>12</v>
      </c>
      <c r="C5" s="28" t="s">
        <v>40</v>
      </c>
      <c r="D5" s="50">
        <v>150</v>
      </c>
      <c r="E5" s="3"/>
    </row>
    <row r="6" spans="1:5" x14ac:dyDescent="0.3">
      <c r="A6" s="49">
        <v>2024</v>
      </c>
      <c r="B6" s="27">
        <v>12</v>
      </c>
      <c r="C6" s="28" t="s">
        <v>41</v>
      </c>
      <c r="D6" s="50">
        <v>650</v>
      </c>
      <c r="E6" s="3"/>
    </row>
    <row r="7" spans="1:5" x14ac:dyDescent="0.3">
      <c r="A7" s="49">
        <v>2024</v>
      </c>
      <c r="B7" s="27">
        <v>11</v>
      </c>
      <c r="C7" s="28" t="s">
        <v>37</v>
      </c>
      <c r="D7" s="50">
        <v>350</v>
      </c>
      <c r="E7" s="3"/>
    </row>
    <row r="8" spans="1:5" x14ac:dyDescent="0.3">
      <c r="A8" s="49">
        <v>2024</v>
      </c>
      <c r="B8" s="27">
        <v>11</v>
      </c>
      <c r="C8" s="28" t="s">
        <v>38</v>
      </c>
      <c r="D8" s="50">
        <v>850</v>
      </c>
      <c r="E8" s="3"/>
    </row>
    <row r="9" spans="1:5" x14ac:dyDescent="0.3">
      <c r="A9" s="49">
        <v>2024</v>
      </c>
      <c r="B9" s="27">
        <v>11</v>
      </c>
      <c r="C9" s="28" t="s">
        <v>39</v>
      </c>
      <c r="D9" s="50">
        <v>600</v>
      </c>
      <c r="E9" s="3"/>
    </row>
    <row r="10" spans="1:5" x14ac:dyDescent="0.3">
      <c r="A10" s="49">
        <v>2024</v>
      </c>
      <c r="B10" s="27">
        <v>11</v>
      </c>
      <c r="C10" s="28" t="s">
        <v>40</v>
      </c>
      <c r="D10" s="50">
        <v>150</v>
      </c>
      <c r="E10" s="3"/>
    </row>
    <row r="11" spans="1:5" x14ac:dyDescent="0.3">
      <c r="A11" s="49">
        <v>2024</v>
      </c>
      <c r="B11" s="27">
        <v>11</v>
      </c>
      <c r="C11" s="28" t="s">
        <v>41</v>
      </c>
      <c r="D11" s="50">
        <v>450</v>
      </c>
      <c r="E11" s="3"/>
    </row>
    <row r="12" spans="1:5" x14ac:dyDescent="0.3">
      <c r="A12" s="49">
        <v>2024</v>
      </c>
      <c r="B12" s="27">
        <v>10</v>
      </c>
      <c r="C12" s="28" t="s">
        <v>37</v>
      </c>
      <c r="D12" s="50">
        <v>550</v>
      </c>
      <c r="E12" s="3"/>
    </row>
    <row r="13" spans="1:5" x14ac:dyDescent="0.3">
      <c r="A13" s="49">
        <v>2024</v>
      </c>
      <c r="B13" s="27">
        <v>10</v>
      </c>
      <c r="C13" s="28" t="s">
        <v>38</v>
      </c>
      <c r="D13" s="50">
        <v>1050</v>
      </c>
      <c r="E13" s="3"/>
    </row>
    <row r="14" spans="1:5" x14ac:dyDescent="0.3">
      <c r="A14" s="49">
        <v>2024</v>
      </c>
      <c r="B14" s="27">
        <v>10</v>
      </c>
      <c r="C14" s="28" t="s">
        <v>39</v>
      </c>
      <c r="D14" s="50">
        <v>600</v>
      </c>
      <c r="E14" s="3"/>
    </row>
    <row r="15" spans="1:5" x14ac:dyDescent="0.3">
      <c r="A15" s="49">
        <v>2024</v>
      </c>
      <c r="B15" s="27">
        <v>10</v>
      </c>
      <c r="C15" s="28" t="s">
        <v>40</v>
      </c>
      <c r="D15" s="50">
        <v>150</v>
      </c>
      <c r="E15" s="3"/>
    </row>
    <row r="16" spans="1:5" x14ac:dyDescent="0.3">
      <c r="A16" s="49">
        <v>2024</v>
      </c>
      <c r="B16" s="27">
        <v>10</v>
      </c>
      <c r="C16" s="28" t="s">
        <v>41</v>
      </c>
      <c r="D16" s="50">
        <v>450</v>
      </c>
      <c r="E16" s="3"/>
    </row>
    <row r="17" spans="1:5" x14ac:dyDescent="0.3">
      <c r="A17" s="49">
        <v>2024</v>
      </c>
      <c r="B17" s="27">
        <v>9</v>
      </c>
      <c r="C17" s="28" t="s">
        <v>37</v>
      </c>
      <c r="D17" s="50">
        <v>200</v>
      </c>
      <c r="E17" s="3"/>
    </row>
    <row r="18" spans="1:5" x14ac:dyDescent="0.3">
      <c r="A18" s="49">
        <v>2024</v>
      </c>
      <c r="B18" s="27">
        <v>9</v>
      </c>
      <c r="C18" s="28" t="s">
        <v>38</v>
      </c>
      <c r="D18" s="50">
        <v>1100</v>
      </c>
      <c r="E18" s="3"/>
    </row>
    <row r="19" spans="1:5" x14ac:dyDescent="0.3">
      <c r="A19" s="49">
        <v>2024</v>
      </c>
      <c r="B19" s="27">
        <v>9</v>
      </c>
      <c r="C19" s="28" t="s">
        <v>39</v>
      </c>
      <c r="D19" s="50">
        <v>600</v>
      </c>
      <c r="E19" s="3"/>
    </row>
    <row r="20" spans="1:5" x14ac:dyDescent="0.3">
      <c r="A20" s="49">
        <v>2024</v>
      </c>
      <c r="B20" s="27">
        <v>9</v>
      </c>
      <c r="C20" s="28" t="s">
        <v>40</v>
      </c>
      <c r="D20" s="50">
        <v>150</v>
      </c>
      <c r="E20" s="3"/>
    </row>
    <row r="21" spans="1:5" x14ac:dyDescent="0.3">
      <c r="A21" s="55">
        <v>2024</v>
      </c>
      <c r="B21" s="56">
        <v>9</v>
      </c>
      <c r="C21" s="57" t="s">
        <v>41</v>
      </c>
      <c r="D21" s="58">
        <v>450</v>
      </c>
      <c r="E21" s="3"/>
    </row>
    <row r="22" spans="1:5" x14ac:dyDescent="0.3">
      <c r="A22" s="49">
        <v>2024</v>
      </c>
      <c r="B22" s="27">
        <v>8</v>
      </c>
      <c r="C22" s="28" t="s">
        <v>37</v>
      </c>
      <c r="D22" s="50">
        <v>200</v>
      </c>
      <c r="E22" s="3"/>
    </row>
    <row r="23" spans="1:5" x14ac:dyDescent="0.3">
      <c r="A23" s="49">
        <v>2024</v>
      </c>
      <c r="B23" s="27">
        <v>8</v>
      </c>
      <c r="C23" s="28" t="s">
        <v>38</v>
      </c>
      <c r="D23" s="50">
        <v>550</v>
      </c>
      <c r="E23" s="3"/>
    </row>
    <row r="24" spans="1:5" x14ac:dyDescent="0.3">
      <c r="A24" s="49">
        <v>2024</v>
      </c>
      <c r="B24" s="27">
        <v>8</v>
      </c>
      <c r="C24" s="28" t="s">
        <v>39</v>
      </c>
      <c r="D24" s="50">
        <v>600</v>
      </c>
      <c r="E24" s="3"/>
    </row>
    <row r="25" spans="1:5" x14ac:dyDescent="0.3">
      <c r="A25" s="49">
        <v>2024</v>
      </c>
      <c r="B25" s="27">
        <v>8</v>
      </c>
      <c r="C25" s="28" t="s">
        <v>40</v>
      </c>
      <c r="D25" s="50">
        <v>150</v>
      </c>
      <c r="E25" s="3"/>
    </row>
    <row r="26" spans="1:5" x14ac:dyDescent="0.3">
      <c r="A26" s="49">
        <v>2024</v>
      </c>
      <c r="B26" s="27">
        <v>8</v>
      </c>
      <c r="C26" s="28" t="s">
        <v>41</v>
      </c>
      <c r="D26" s="50">
        <v>450</v>
      </c>
      <c r="E26" s="3"/>
    </row>
    <row r="27" spans="1:5" x14ac:dyDescent="0.3">
      <c r="A27" s="49">
        <v>2024</v>
      </c>
      <c r="B27" s="27">
        <v>7</v>
      </c>
      <c r="C27" s="28" t="s">
        <v>37</v>
      </c>
      <c r="D27" s="50">
        <v>200</v>
      </c>
      <c r="E27" s="3"/>
    </row>
    <row r="28" spans="1:5" x14ac:dyDescent="0.3">
      <c r="A28" s="49">
        <v>2024</v>
      </c>
      <c r="B28" s="27">
        <v>7</v>
      </c>
      <c r="C28" s="28" t="s">
        <v>38</v>
      </c>
      <c r="D28" s="50">
        <v>400</v>
      </c>
      <c r="E28" s="3"/>
    </row>
    <row r="29" spans="1:5" x14ac:dyDescent="0.3">
      <c r="A29" s="49">
        <v>2024</v>
      </c>
      <c r="B29" s="27">
        <v>7</v>
      </c>
      <c r="C29" s="28" t="s">
        <v>39</v>
      </c>
      <c r="D29" s="50">
        <v>600</v>
      </c>
      <c r="E29" s="3"/>
    </row>
    <row r="30" spans="1:5" x14ac:dyDescent="0.3">
      <c r="A30" s="49">
        <v>2024</v>
      </c>
      <c r="B30" s="27">
        <v>7</v>
      </c>
      <c r="C30" s="28" t="s">
        <v>40</v>
      </c>
      <c r="D30" s="50">
        <v>150</v>
      </c>
      <c r="E30" s="3"/>
    </row>
    <row r="31" spans="1:5" x14ac:dyDescent="0.3">
      <c r="A31" s="49">
        <v>2024</v>
      </c>
      <c r="B31" s="27">
        <v>7</v>
      </c>
      <c r="C31" s="28" t="s">
        <v>41</v>
      </c>
      <c r="D31" s="50">
        <v>450</v>
      </c>
      <c r="E31" s="3"/>
    </row>
    <row r="32" spans="1:5" x14ac:dyDescent="0.3">
      <c r="A32" s="49">
        <v>2024</v>
      </c>
      <c r="B32" s="27">
        <v>6</v>
      </c>
      <c r="C32" s="28" t="s">
        <v>37</v>
      </c>
      <c r="D32" s="50">
        <v>300</v>
      </c>
      <c r="E32" s="3"/>
    </row>
    <row r="33" spans="1:5" x14ac:dyDescent="0.3">
      <c r="A33" s="49">
        <v>2024</v>
      </c>
      <c r="B33" s="27">
        <v>6</v>
      </c>
      <c r="C33" s="28" t="s">
        <v>38</v>
      </c>
      <c r="D33" s="50">
        <v>850</v>
      </c>
      <c r="E33" s="3"/>
    </row>
    <row r="34" spans="1:5" x14ac:dyDescent="0.3">
      <c r="A34" s="49">
        <v>2024</v>
      </c>
      <c r="B34" s="27">
        <v>6</v>
      </c>
      <c r="C34" s="28" t="s">
        <v>39</v>
      </c>
      <c r="D34" s="50">
        <v>500</v>
      </c>
      <c r="E34" s="3"/>
    </row>
    <row r="35" spans="1:5" x14ac:dyDescent="0.3">
      <c r="A35" s="49">
        <v>2024</v>
      </c>
      <c r="B35" s="27">
        <v>6</v>
      </c>
      <c r="C35" s="28" t="s">
        <v>40</v>
      </c>
      <c r="D35" s="50">
        <v>150</v>
      </c>
      <c r="E35" s="3"/>
    </row>
    <row r="36" spans="1:5" x14ac:dyDescent="0.3">
      <c r="A36" s="49">
        <v>2024</v>
      </c>
      <c r="B36" s="27">
        <v>6</v>
      </c>
      <c r="C36" s="28" t="s">
        <v>41</v>
      </c>
      <c r="D36" s="50">
        <v>450</v>
      </c>
      <c r="E36" s="3"/>
    </row>
    <row r="37" spans="1:5" x14ac:dyDescent="0.3">
      <c r="A37" s="49">
        <v>2024</v>
      </c>
      <c r="B37" s="27">
        <v>5</v>
      </c>
      <c r="C37" s="28" t="s">
        <v>37</v>
      </c>
      <c r="D37" s="50">
        <v>300</v>
      </c>
      <c r="E37" s="3"/>
    </row>
    <row r="38" spans="1:5" x14ac:dyDescent="0.3">
      <c r="A38" s="49">
        <v>2024</v>
      </c>
      <c r="B38" s="27">
        <v>5</v>
      </c>
      <c r="C38" s="28" t="s">
        <v>38</v>
      </c>
      <c r="D38" s="50">
        <v>850</v>
      </c>
      <c r="E38" s="3"/>
    </row>
    <row r="39" spans="1:5" x14ac:dyDescent="0.3">
      <c r="A39" s="49">
        <v>2024</v>
      </c>
      <c r="B39" s="27">
        <v>5</v>
      </c>
      <c r="C39" s="28" t="s">
        <v>39</v>
      </c>
      <c r="D39" s="50">
        <v>600</v>
      </c>
      <c r="E39" s="3"/>
    </row>
    <row r="40" spans="1:5" x14ac:dyDescent="0.3">
      <c r="A40" s="49">
        <v>2024</v>
      </c>
      <c r="B40" s="27">
        <v>5</v>
      </c>
      <c r="C40" s="28" t="s">
        <v>40</v>
      </c>
      <c r="D40" s="50">
        <v>150</v>
      </c>
      <c r="E40" s="3"/>
    </row>
    <row r="41" spans="1:5" x14ac:dyDescent="0.3">
      <c r="A41" s="55">
        <v>2024</v>
      </c>
      <c r="B41" s="27">
        <v>5</v>
      </c>
      <c r="C41" s="57" t="s">
        <v>41</v>
      </c>
      <c r="D41" s="58">
        <v>450</v>
      </c>
      <c r="E41" s="3"/>
    </row>
    <row r="42" spans="1:5" x14ac:dyDescent="0.3">
      <c r="A42" s="49">
        <v>2024</v>
      </c>
      <c r="B42" s="27">
        <v>4</v>
      </c>
      <c r="C42" s="28" t="s">
        <v>37</v>
      </c>
      <c r="D42" s="50">
        <v>200</v>
      </c>
      <c r="E42" s="3"/>
    </row>
    <row r="43" spans="1:5" x14ac:dyDescent="0.3">
      <c r="A43" s="49">
        <v>2024</v>
      </c>
      <c r="B43" s="27">
        <v>4</v>
      </c>
      <c r="C43" s="28" t="s">
        <v>38</v>
      </c>
      <c r="D43" s="50">
        <v>900</v>
      </c>
      <c r="E43" s="3"/>
    </row>
    <row r="44" spans="1:5" x14ac:dyDescent="0.3">
      <c r="A44" s="49">
        <v>2024</v>
      </c>
      <c r="B44" s="27">
        <v>4</v>
      </c>
      <c r="C44" s="28" t="s">
        <v>39</v>
      </c>
      <c r="D44" s="50">
        <v>600</v>
      </c>
      <c r="E44" s="3"/>
    </row>
    <row r="45" spans="1:5" x14ac:dyDescent="0.3">
      <c r="A45" s="49">
        <v>2024</v>
      </c>
      <c r="B45" s="27">
        <v>4</v>
      </c>
      <c r="C45" s="28" t="s">
        <v>40</v>
      </c>
      <c r="D45" s="50">
        <v>150</v>
      </c>
      <c r="E45" s="3"/>
    </row>
    <row r="46" spans="1:5" x14ac:dyDescent="0.3">
      <c r="A46" s="49">
        <v>2024</v>
      </c>
      <c r="B46" s="27">
        <v>4</v>
      </c>
      <c r="C46" s="28" t="s">
        <v>41</v>
      </c>
      <c r="D46" s="50">
        <v>450</v>
      </c>
      <c r="E46" s="3"/>
    </row>
    <row r="47" spans="1:5" x14ac:dyDescent="0.3">
      <c r="A47" s="49">
        <v>2024</v>
      </c>
      <c r="B47" s="27">
        <v>3</v>
      </c>
      <c r="C47" s="28" t="s">
        <v>37</v>
      </c>
      <c r="D47" s="50">
        <v>200</v>
      </c>
      <c r="E47" s="3"/>
    </row>
    <row r="48" spans="1:5" x14ac:dyDescent="0.3">
      <c r="A48" s="49">
        <v>2024</v>
      </c>
      <c r="B48" s="27">
        <v>3</v>
      </c>
      <c r="C48" s="28" t="s">
        <v>38</v>
      </c>
      <c r="D48" s="50">
        <v>1200</v>
      </c>
      <c r="E48" s="3"/>
    </row>
    <row r="49" spans="1:5" x14ac:dyDescent="0.3">
      <c r="A49" s="49">
        <v>2024</v>
      </c>
      <c r="B49" s="27">
        <v>3</v>
      </c>
      <c r="C49" s="28" t="s">
        <v>39</v>
      </c>
      <c r="D49" s="50">
        <v>600</v>
      </c>
      <c r="E49" s="3"/>
    </row>
    <row r="50" spans="1:5" x14ac:dyDescent="0.3">
      <c r="A50" s="49">
        <v>2024</v>
      </c>
      <c r="B50" s="27">
        <v>3</v>
      </c>
      <c r="C50" s="28" t="s">
        <v>40</v>
      </c>
      <c r="D50" s="50">
        <v>150</v>
      </c>
      <c r="E50" s="3"/>
    </row>
    <row r="51" spans="1:5" x14ac:dyDescent="0.3">
      <c r="A51" s="49">
        <v>2024</v>
      </c>
      <c r="B51" s="27">
        <v>3</v>
      </c>
      <c r="C51" s="28" t="s">
        <v>41</v>
      </c>
      <c r="D51" s="50">
        <v>450</v>
      </c>
      <c r="E51" s="3"/>
    </row>
    <row r="52" spans="1:5" x14ac:dyDescent="0.3">
      <c r="A52" s="49">
        <v>2024</v>
      </c>
      <c r="B52" s="27">
        <v>2</v>
      </c>
      <c r="C52" s="28" t="s">
        <v>37</v>
      </c>
      <c r="D52" s="50">
        <v>200</v>
      </c>
      <c r="E52" s="3"/>
    </row>
    <row r="53" spans="1:5" x14ac:dyDescent="0.3">
      <c r="A53" s="49">
        <v>2024</v>
      </c>
      <c r="B53" s="27">
        <v>2</v>
      </c>
      <c r="C53" s="28" t="s">
        <v>38</v>
      </c>
      <c r="D53" s="50">
        <v>1000</v>
      </c>
      <c r="E53" s="3"/>
    </row>
    <row r="54" spans="1:5" x14ac:dyDescent="0.3">
      <c r="A54" s="49">
        <v>2024</v>
      </c>
      <c r="B54" s="27">
        <v>2</v>
      </c>
      <c r="C54" s="28" t="s">
        <v>39</v>
      </c>
      <c r="D54" s="50">
        <v>600</v>
      </c>
      <c r="E54" s="3"/>
    </row>
    <row r="55" spans="1:5" x14ac:dyDescent="0.3">
      <c r="A55" s="49">
        <v>2024</v>
      </c>
      <c r="B55" s="27">
        <v>2</v>
      </c>
      <c r="C55" s="28" t="s">
        <v>40</v>
      </c>
      <c r="D55" s="50">
        <v>150</v>
      </c>
      <c r="E55" s="3"/>
    </row>
    <row r="56" spans="1:5" x14ac:dyDescent="0.3">
      <c r="A56" s="49">
        <v>2024</v>
      </c>
      <c r="B56" s="27">
        <v>2</v>
      </c>
      <c r="C56" s="28" t="s">
        <v>41</v>
      </c>
      <c r="D56" s="50">
        <v>450</v>
      </c>
      <c r="E56" s="3"/>
    </row>
    <row r="57" spans="1:5" x14ac:dyDescent="0.3">
      <c r="A57" s="49">
        <v>2024</v>
      </c>
      <c r="B57" s="27">
        <v>1</v>
      </c>
      <c r="C57" s="28" t="s">
        <v>37</v>
      </c>
      <c r="D57" s="50">
        <v>200</v>
      </c>
      <c r="E57" s="3"/>
    </row>
    <row r="58" spans="1:5" x14ac:dyDescent="0.3">
      <c r="A58" s="49">
        <v>2024</v>
      </c>
      <c r="B58" s="27">
        <v>1</v>
      </c>
      <c r="C58" s="28" t="s">
        <v>38</v>
      </c>
      <c r="D58" s="50">
        <v>750</v>
      </c>
      <c r="E58" s="3"/>
    </row>
    <row r="59" spans="1:5" x14ac:dyDescent="0.3">
      <c r="A59" s="49">
        <v>2024</v>
      </c>
      <c r="B59" s="27">
        <v>1</v>
      </c>
      <c r="C59" s="28" t="s">
        <v>39</v>
      </c>
      <c r="D59" s="50">
        <v>600</v>
      </c>
      <c r="E59" s="3"/>
    </row>
    <row r="60" spans="1:5" x14ac:dyDescent="0.3">
      <c r="A60" s="49">
        <v>2024</v>
      </c>
      <c r="B60" s="27">
        <v>1</v>
      </c>
      <c r="C60" s="28" t="s">
        <v>40</v>
      </c>
      <c r="D60" s="50">
        <v>150</v>
      </c>
      <c r="E60" s="3"/>
    </row>
    <row r="61" spans="1:5" x14ac:dyDescent="0.3">
      <c r="A61" s="55">
        <v>2024</v>
      </c>
      <c r="B61" s="27">
        <v>1</v>
      </c>
      <c r="C61" s="57" t="s">
        <v>41</v>
      </c>
      <c r="D61" s="58">
        <v>450</v>
      </c>
      <c r="E61" s="3"/>
    </row>
    <row r="62" spans="1:5" x14ac:dyDescent="0.3">
      <c r="A62" s="49">
        <v>2023</v>
      </c>
      <c r="B62" s="27">
        <v>12</v>
      </c>
      <c r="C62" s="28" t="s">
        <v>37</v>
      </c>
      <c r="D62" s="50">
        <v>150</v>
      </c>
      <c r="E62" s="3"/>
    </row>
    <row r="63" spans="1:5" x14ac:dyDescent="0.3">
      <c r="A63" s="49">
        <v>2023</v>
      </c>
      <c r="B63" s="27">
        <v>12</v>
      </c>
      <c r="C63" s="28" t="s">
        <v>38</v>
      </c>
      <c r="D63" s="50">
        <v>650</v>
      </c>
      <c r="E63" s="3"/>
    </row>
    <row r="64" spans="1:5" x14ac:dyDescent="0.3">
      <c r="A64" s="49">
        <v>2023</v>
      </c>
      <c r="B64" s="27">
        <v>12</v>
      </c>
      <c r="C64" s="28" t="s">
        <v>39</v>
      </c>
      <c r="D64" s="50">
        <v>600</v>
      </c>
      <c r="E64" s="3"/>
    </row>
    <row r="65" spans="1:5" x14ac:dyDescent="0.3">
      <c r="A65" s="49">
        <v>2023</v>
      </c>
      <c r="B65" s="27">
        <v>12</v>
      </c>
      <c r="C65" s="28" t="s">
        <v>40</v>
      </c>
      <c r="D65" s="50">
        <v>150</v>
      </c>
      <c r="E65" s="3"/>
    </row>
    <row r="66" spans="1:5" x14ac:dyDescent="0.3">
      <c r="A66" s="49">
        <v>2023</v>
      </c>
      <c r="B66" s="27">
        <v>12</v>
      </c>
      <c r="C66" s="28" t="s">
        <v>41</v>
      </c>
      <c r="D66" s="50">
        <v>450</v>
      </c>
      <c r="E66" s="3"/>
    </row>
    <row r="67" spans="1:5" x14ac:dyDescent="0.3">
      <c r="A67" s="49">
        <v>2023</v>
      </c>
      <c r="B67" s="27">
        <v>11</v>
      </c>
      <c r="C67" s="28" t="s">
        <v>37</v>
      </c>
      <c r="D67" s="50">
        <v>200</v>
      </c>
      <c r="E67" s="3"/>
    </row>
    <row r="68" spans="1:5" x14ac:dyDescent="0.3">
      <c r="A68" s="49">
        <v>2023</v>
      </c>
      <c r="B68" s="27">
        <v>11</v>
      </c>
      <c r="C68" s="28" t="s">
        <v>38</v>
      </c>
      <c r="D68" s="50">
        <v>750</v>
      </c>
      <c r="E68" s="3"/>
    </row>
    <row r="69" spans="1:5" x14ac:dyDescent="0.3">
      <c r="A69" s="49">
        <v>2023</v>
      </c>
      <c r="B69" s="27">
        <v>11</v>
      </c>
      <c r="C69" s="28" t="s">
        <v>39</v>
      </c>
      <c r="D69" s="50">
        <v>600</v>
      </c>
      <c r="E69" s="3"/>
    </row>
    <row r="70" spans="1:5" x14ac:dyDescent="0.3">
      <c r="A70" s="49">
        <v>2023</v>
      </c>
      <c r="B70" s="27">
        <v>11</v>
      </c>
      <c r="C70" s="28" t="s">
        <v>40</v>
      </c>
      <c r="D70" s="50">
        <v>150</v>
      </c>
      <c r="E70" s="3"/>
    </row>
    <row r="71" spans="1:5" x14ac:dyDescent="0.3">
      <c r="A71" s="49">
        <v>2023</v>
      </c>
      <c r="B71" s="27">
        <v>11</v>
      </c>
      <c r="C71" s="28" t="s">
        <v>41</v>
      </c>
      <c r="D71" s="50">
        <v>450</v>
      </c>
      <c r="E71" s="3"/>
    </row>
    <row r="72" spans="1:5" x14ac:dyDescent="0.3">
      <c r="A72" s="49">
        <v>2023</v>
      </c>
      <c r="B72" s="27">
        <v>10</v>
      </c>
      <c r="C72" s="28" t="s">
        <v>37</v>
      </c>
      <c r="D72" s="50">
        <v>150</v>
      </c>
      <c r="E72" s="3"/>
    </row>
    <row r="73" spans="1:5" x14ac:dyDescent="0.3">
      <c r="A73" s="49">
        <v>2023</v>
      </c>
      <c r="B73" s="27">
        <v>10</v>
      </c>
      <c r="C73" s="28" t="s">
        <v>38</v>
      </c>
      <c r="D73" s="50">
        <v>750</v>
      </c>
      <c r="E73" s="3"/>
    </row>
    <row r="74" spans="1:5" x14ac:dyDescent="0.3">
      <c r="A74" s="49">
        <v>2023</v>
      </c>
      <c r="B74" s="27">
        <v>10</v>
      </c>
      <c r="C74" s="28" t="s">
        <v>39</v>
      </c>
      <c r="D74" s="50">
        <v>500</v>
      </c>
      <c r="E74" s="3"/>
    </row>
    <row r="75" spans="1:5" x14ac:dyDescent="0.3">
      <c r="A75" s="49">
        <v>2023</v>
      </c>
      <c r="B75" s="27">
        <v>10</v>
      </c>
      <c r="C75" s="28" t="s">
        <v>40</v>
      </c>
      <c r="D75" s="50">
        <v>150</v>
      </c>
      <c r="E75" s="3"/>
    </row>
    <row r="76" spans="1:5" x14ac:dyDescent="0.3">
      <c r="A76" s="49">
        <v>2023</v>
      </c>
      <c r="B76" s="27">
        <v>10</v>
      </c>
      <c r="C76" s="57" t="s">
        <v>41</v>
      </c>
      <c r="D76" s="58">
        <v>450</v>
      </c>
      <c r="E76" s="3"/>
    </row>
    <row r="77" spans="1:5" x14ac:dyDescent="0.3">
      <c r="A77" s="49">
        <v>2023</v>
      </c>
      <c r="B77" s="27">
        <v>9</v>
      </c>
      <c r="C77" s="28" t="s">
        <v>37</v>
      </c>
      <c r="D77" s="50">
        <v>200</v>
      </c>
      <c r="E77" s="3"/>
    </row>
    <row r="78" spans="1:5" x14ac:dyDescent="0.3">
      <c r="A78" s="49">
        <v>2023</v>
      </c>
      <c r="B78" s="27">
        <v>9</v>
      </c>
      <c r="C78" s="28" t="s">
        <v>38</v>
      </c>
      <c r="D78" s="50">
        <v>600</v>
      </c>
      <c r="E78" s="3"/>
    </row>
    <row r="79" spans="1:5" x14ac:dyDescent="0.3">
      <c r="A79" s="49">
        <v>2023</v>
      </c>
      <c r="B79" s="27">
        <v>9</v>
      </c>
      <c r="C79" s="28" t="s">
        <v>39</v>
      </c>
      <c r="D79" s="50">
        <v>500</v>
      </c>
      <c r="E79" s="3"/>
    </row>
    <row r="80" spans="1:5" x14ac:dyDescent="0.3">
      <c r="A80" s="49">
        <v>2023</v>
      </c>
      <c r="B80" s="27">
        <v>9</v>
      </c>
      <c r="C80" s="28" t="s">
        <v>40</v>
      </c>
      <c r="D80" s="50">
        <v>150</v>
      </c>
      <c r="E80" s="3"/>
    </row>
    <row r="81" spans="1:5" x14ac:dyDescent="0.3">
      <c r="A81" s="49">
        <v>2023</v>
      </c>
      <c r="B81" s="56">
        <v>9</v>
      </c>
      <c r="C81" s="28" t="s">
        <v>41</v>
      </c>
      <c r="D81" s="50">
        <v>650</v>
      </c>
      <c r="E81" s="3"/>
    </row>
    <row r="82" spans="1:5" x14ac:dyDescent="0.3">
      <c r="A82" s="49">
        <v>2023</v>
      </c>
      <c r="B82" s="27">
        <v>8</v>
      </c>
      <c r="C82" s="28" t="s">
        <v>37</v>
      </c>
      <c r="D82" s="50">
        <v>350</v>
      </c>
      <c r="E82" s="3"/>
    </row>
    <row r="83" spans="1:5" x14ac:dyDescent="0.3">
      <c r="A83" s="49">
        <v>2023</v>
      </c>
      <c r="B83" s="27">
        <v>8</v>
      </c>
      <c r="C83" s="28" t="s">
        <v>38</v>
      </c>
      <c r="D83" s="50">
        <v>650</v>
      </c>
      <c r="E83" s="3"/>
    </row>
    <row r="84" spans="1:5" x14ac:dyDescent="0.3">
      <c r="A84" s="49">
        <v>2023</v>
      </c>
      <c r="B84" s="27">
        <v>8</v>
      </c>
      <c r="C84" s="28" t="s">
        <v>39</v>
      </c>
      <c r="D84" s="50">
        <v>500</v>
      </c>
      <c r="E84" s="3"/>
    </row>
    <row r="85" spans="1:5" x14ac:dyDescent="0.3">
      <c r="A85" s="49">
        <v>2023</v>
      </c>
      <c r="B85" s="27">
        <v>8</v>
      </c>
      <c r="C85" s="28" t="s">
        <v>40</v>
      </c>
      <c r="D85" s="50">
        <v>150</v>
      </c>
      <c r="E85" s="3"/>
    </row>
    <row r="86" spans="1:5" x14ac:dyDescent="0.3">
      <c r="A86" s="49">
        <v>2023</v>
      </c>
      <c r="B86" s="27">
        <v>8</v>
      </c>
      <c r="C86" s="28" t="s">
        <v>41</v>
      </c>
      <c r="D86" s="50">
        <v>450</v>
      </c>
      <c r="E86" s="3"/>
    </row>
    <row r="87" spans="1:5" x14ac:dyDescent="0.3">
      <c r="A87" s="49">
        <v>2023</v>
      </c>
      <c r="B87" s="27">
        <v>7</v>
      </c>
      <c r="C87" s="28" t="s">
        <v>37</v>
      </c>
      <c r="D87" s="50">
        <v>550</v>
      </c>
      <c r="E87" s="3"/>
    </row>
    <row r="88" spans="1:5" x14ac:dyDescent="0.3">
      <c r="A88" s="49">
        <v>2023</v>
      </c>
      <c r="B88" s="27">
        <v>7</v>
      </c>
      <c r="C88" s="28" t="s">
        <v>38</v>
      </c>
      <c r="D88" s="50">
        <v>800</v>
      </c>
      <c r="E88" s="3"/>
    </row>
    <row r="89" spans="1:5" x14ac:dyDescent="0.3">
      <c r="A89" s="49">
        <v>2023</v>
      </c>
      <c r="B89" s="27">
        <v>7</v>
      </c>
      <c r="C89" s="28" t="s">
        <v>39</v>
      </c>
      <c r="D89" s="50">
        <v>500</v>
      </c>
      <c r="E89" s="3"/>
    </row>
    <row r="90" spans="1:5" x14ac:dyDescent="0.3">
      <c r="A90" s="49">
        <v>2023</v>
      </c>
      <c r="B90" s="27">
        <v>7</v>
      </c>
      <c r="C90" s="28" t="s">
        <v>40</v>
      </c>
      <c r="D90" s="50">
        <v>150</v>
      </c>
      <c r="E90" s="3"/>
    </row>
    <row r="91" spans="1:5" x14ac:dyDescent="0.3">
      <c r="A91" s="49">
        <v>2023</v>
      </c>
      <c r="B91" s="27">
        <v>7</v>
      </c>
      <c r="C91" s="28" t="s">
        <v>41</v>
      </c>
      <c r="D91" s="50">
        <v>600</v>
      </c>
      <c r="E91" s="3"/>
    </row>
    <row r="92" spans="1:5" x14ac:dyDescent="0.3">
      <c r="A92" s="49">
        <v>2023</v>
      </c>
      <c r="B92" s="27">
        <v>6</v>
      </c>
      <c r="C92" s="28" t="s">
        <v>37</v>
      </c>
      <c r="D92" s="50">
        <v>200</v>
      </c>
      <c r="E92" s="3"/>
    </row>
    <row r="93" spans="1:5" x14ac:dyDescent="0.3">
      <c r="A93" s="49">
        <v>2023</v>
      </c>
      <c r="B93" s="27">
        <v>6</v>
      </c>
      <c r="C93" s="28" t="s">
        <v>38</v>
      </c>
      <c r="D93" s="50">
        <v>700</v>
      </c>
      <c r="E93" s="3"/>
    </row>
    <row r="94" spans="1:5" x14ac:dyDescent="0.3">
      <c r="A94" s="49">
        <v>2023</v>
      </c>
      <c r="B94" s="27">
        <v>6</v>
      </c>
      <c r="C94" s="28" t="s">
        <v>39</v>
      </c>
      <c r="D94" s="50">
        <v>500</v>
      </c>
      <c r="E94" s="3"/>
    </row>
    <row r="95" spans="1:5" x14ac:dyDescent="0.3">
      <c r="A95" s="49">
        <v>2023</v>
      </c>
      <c r="B95" s="27">
        <v>6</v>
      </c>
      <c r="C95" s="28" t="s">
        <v>40</v>
      </c>
      <c r="D95" s="50">
        <v>150</v>
      </c>
      <c r="E95" s="3"/>
    </row>
    <row r="96" spans="1:5" x14ac:dyDescent="0.3">
      <c r="A96" s="49">
        <v>2023</v>
      </c>
      <c r="B96" s="27">
        <v>6</v>
      </c>
      <c r="C96" s="28" t="s">
        <v>41</v>
      </c>
      <c r="D96" s="50">
        <v>300</v>
      </c>
      <c r="E96" s="3"/>
    </row>
    <row r="97" spans="1:5" x14ac:dyDescent="0.3">
      <c r="A97" s="49">
        <v>2023</v>
      </c>
      <c r="B97" s="27">
        <v>5</v>
      </c>
      <c r="C97" s="28" t="s">
        <v>37</v>
      </c>
      <c r="D97" s="50">
        <v>200</v>
      </c>
      <c r="E97" s="3"/>
    </row>
    <row r="98" spans="1:5" x14ac:dyDescent="0.3">
      <c r="A98" s="49">
        <v>2023</v>
      </c>
      <c r="B98" s="27">
        <v>5</v>
      </c>
      <c r="C98" s="28" t="s">
        <v>38</v>
      </c>
      <c r="D98" s="50">
        <v>450</v>
      </c>
      <c r="E98" s="3"/>
    </row>
    <row r="99" spans="1:5" x14ac:dyDescent="0.3">
      <c r="A99" s="49">
        <v>2023</v>
      </c>
      <c r="B99" s="27">
        <v>5</v>
      </c>
      <c r="C99" s="28" t="s">
        <v>39</v>
      </c>
      <c r="D99" s="50">
        <v>600</v>
      </c>
      <c r="E99" s="3"/>
    </row>
    <row r="100" spans="1:5" x14ac:dyDescent="0.3">
      <c r="A100" s="49">
        <v>2023</v>
      </c>
      <c r="B100" s="27">
        <v>5</v>
      </c>
      <c r="C100" s="28" t="s">
        <v>40</v>
      </c>
      <c r="D100" s="50">
        <v>150</v>
      </c>
      <c r="E100" s="3"/>
    </row>
    <row r="101" spans="1:5" x14ac:dyDescent="0.3">
      <c r="A101" s="49">
        <v>2023</v>
      </c>
      <c r="B101" s="27">
        <v>5</v>
      </c>
      <c r="C101" s="28" t="s">
        <v>41</v>
      </c>
      <c r="D101" s="50">
        <v>450</v>
      </c>
      <c r="E101" s="3"/>
    </row>
    <row r="102" spans="1:5" x14ac:dyDescent="0.3">
      <c r="A102" s="49">
        <v>2023</v>
      </c>
      <c r="B102" s="27">
        <v>4</v>
      </c>
      <c r="C102" s="28" t="s">
        <v>37</v>
      </c>
      <c r="D102" s="50">
        <v>100</v>
      </c>
      <c r="E102" s="3"/>
    </row>
    <row r="103" spans="1:5" x14ac:dyDescent="0.3">
      <c r="A103" s="49">
        <v>2023</v>
      </c>
      <c r="B103" s="27">
        <v>4</v>
      </c>
      <c r="C103" s="28" t="s">
        <v>38</v>
      </c>
      <c r="D103" s="50">
        <v>500</v>
      </c>
      <c r="E103" s="3"/>
    </row>
    <row r="104" spans="1:5" x14ac:dyDescent="0.3">
      <c r="A104" s="49">
        <v>2023</v>
      </c>
      <c r="B104" s="27">
        <v>4</v>
      </c>
      <c r="C104" s="28" t="s">
        <v>39</v>
      </c>
      <c r="D104" s="50">
        <v>550</v>
      </c>
      <c r="E104" s="3"/>
    </row>
    <row r="105" spans="1:5" x14ac:dyDescent="0.3">
      <c r="A105" s="49">
        <v>2023</v>
      </c>
      <c r="B105" s="27">
        <v>4</v>
      </c>
      <c r="C105" s="28" t="s">
        <v>40</v>
      </c>
      <c r="D105" s="50">
        <v>150</v>
      </c>
      <c r="E105" s="3"/>
    </row>
    <row r="106" spans="1:5" x14ac:dyDescent="0.3">
      <c r="A106" s="49">
        <v>2023</v>
      </c>
      <c r="B106" s="27">
        <v>4</v>
      </c>
      <c r="C106" s="28" t="s">
        <v>41</v>
      </c>
      <c r="D106" s="50">
        <v>450</v>
      </c>
      <c r="E106" s="3"/>
    </row>
    <row r="107" spans="1:5" x14ac:dyDescent="0.3">
      <c r="A107" s="49">
        <v>2023</v>
      </c>
      <c r="B107" s="27">
        <v>3</v>
      </c>
      <c r="C107" s="28" t="s">
        <v>37</v>
      </c>
      <c r="D107" s="50">
        <v>300</v>
      </c>
      <c r="E107" s="3"/>
    </row>
    <row r="108" spans="1:5" x14ac:dyDescent="0.3">
      <c r="A108" s="49">
        <v>2023</v>
      </c>
      <c r="B108" s="27">
        <v>3</v>
      </c>
      <c r="C108" s="28" t="s">
        <v>38</v>
      </c>
      <c r="D108" s="50">
        <v>600</v>
      </c>
      <c r="E108" s="3"/>
    </row>
    <row r="109" spans="1:5" x14ac:dyDescent="0.3">
      <c r="A109" s="49">
        <v>2023</v>
      </c>
      <c r="B109" s="27">
        <v>3</v>
      </c>
      <c r="C109" s="28" t="s">
        <v>39</v>
      </c>
      <c r="D109" s="50">
        <v>500</v>
      </c>
      <c r="E109" s="3"/>
    </row>
    <row r="110" spans="1:5" x14ac:dyDescent="0.3">
      <c r="A110" s="49">
        <v>2023</v>
      </c>
      <c r="B110" s="27">
        <v>3</v>
      </c>
      <c r="C110" s="28" t="s">
        <v>40</v>
      </c>
      <c r="D110" s="50">
        <v>150</v>
      </c>
      <c r="E110" s="3"/>
    </row>
    <row r="111" spans="1:5" x14ac:dyDescent="0.3">
      <c r="A111" s="49">
        <v>2023</v>
      </c>
      <c r="B111" s="27">
        <v>3</v>
      </c>
      <c r="C111" s="28" t="s">
        <v>41</v>
      </c>
      <c r="D111" s="50">
        <v>250</v>
      </c>
      <c r="E111" s="3"/>
    </row>
    <row r="112" spans="1:5" x14ac:dyDescent="0.3">
      <c r="A112" s="49">
        <v>2023</v>
      </c>
      <c r="B112" s="27">
        <v>2</v>
      </c>
      <c r="C112" s="28" t="s">
        <v>37</v>
      </c>
      <c r="D112" s="50">
        <v>300</v>
      </c>
      <c r="E112" s="3"/>
    </row>
    <row r="113" spans="1:5" x14ac:dyDescent="0.3">
      <c r="A113" s="49">
        <v>2023</v>
      </c>
      <c r="B113" s="27">
        <v>2</v>
      </c>
      <c r="C113" s="28" t="s">
        <v>38</v>
      </c>
      <c r="D113" s="50">
        <v>850</v>
      </c>
      <c r="E113" s="3"/>
    </row>
    <row r="114" spans="1:5" x14ac:dyDescent="0.3">
      <c r="A114" s="49">
        <v>2023</v>
      </c>
      <c r="B114" s="27">
        <v>2</v>
      </c>
      <c r="C114" s="28" t="s">
        <v>39</v>
      </c>
      <c r="D114" s="50">
        <v>600</v>
      </c>
      <c r="E114" s="3"/>
    </row>
    <row r="115" spans="1:5" x14ac:dyDescent="0.3">
      <c r="A115" s="49">
        <v>2023</v>
      </c>
      <c r="B115" s="27">
        <v>2</v>
      </c>
      <c r="C115" s="28" t="s">
        <v>40</v>
      </c>
      <c r="D115" s="50">
        <v>150</v>
      </c>
      <c r="E115" s="3"/>
    </row>
    <row r="116" spans="1:5" x14ac:dyDescent="0.3">
      <c r="A116" s="49">
        <v>2023</v>
      </c>
      <c r="B116" s="27">
        <v>2</v>
      </c>
      <c r="C116" s="28" t="s">
        <v>41</v>
      </c>
      <c r="D116" s="50">
        <v>300</v>
      </c>
      <c r="E116" s="3"/>
    </row>
    <row r="117" spans="1:5" x14ac:dyDescent="0.3">
      <c r="A117" s="49">
        <v>2023</v>
      </c>
      <c r="B117" s="27">
        <v>1</v>
      </c>
      <c r="C117" s="28" t="s">
        <v>37</v>
      </c>
      <c r="D117" s="50">
        <v>200</v>
      </c>
      <c r="E117" s="3"/>
    </row>
    <row r="118" spans="1:5" x14ac:dyDescent="0.3">
      <c r="A118" s="49">
        <v>2023</v>
      </c>
      <c r="B118" s="27">
        <v>1</v>
      </c>
      <c r="C118" s="28" t="s">
        <v>38</v>
      </c>
      <c r="D118" s="50">
        <v>700</v>
      </c>
      <c r="E118" s="3"/>
    </row>
    <row r="119" spans="1:5" x14ac:dyDescent="0.3">
      <c r="A119" s="49">
        <v>2023</v>
      </c>
      <c r="B119" s="27">
        <v>1</v>
      </c>
      <c r="C119" s="28" t="s">
        <v>39</v>
      </c>
      <c r="D119" s="50">
        <v>600</v>
      </c>
      <c r="E119" s="3"/>
    </row>
    <row r="120" spans="1:5" x14ac:dyDescent="0.3">
      <c r="A120" s="49">
        <v>2023</v>
      </c>
      <c r="B120" s="27">
        <v>1</v>
      </c>
      <c r="C120" s="28" t="s">
        <v>40</v>
      </c>
      <c r="D120" s="50">
        <v>150</v>
      </c>
      <c r="E120" s="3"/>
    </row>
    <row r="121" spans="1:5" x14ac:dyDescent="0.3">
      <c r="A121" s="49">
        <v>2023</v>
      </c>
      <c r="B121" s="27">
        <v>1</v>
      </c>
      <c r="C121" s="57" t="s">
        <v>41</v>
      </c>
      <c r="D121" s="58">
        <v>450</v>
      </c>
      <c r="E121" s="3"/>
    </row>
    <row r="122" spans="1:5" x14ac:dyDescent="0.3">
      <c r="A122" s="49">
        <v>2022</v>
      </c>
      <c r="B122" s="27">
        <v>12</v>
      </c>
      <c r="C122" s="28" t="s">
        <v>37</v>
      </c>
      <c r="D122" s="50">
        <v>1500</v>
      </c>
      <c r="E122" s="3"/>
    </row>
    <row r="123" spans="1:5" x14ac:dyDescent="0.3">
      <c r="A123" s="49">
        <v>2022</v>
      </c>
      <c r="B123" s="27">
        <v>12</v>
      </c>
      <c r="C123" s="28" t="s">
        <v>38</v>
      </c>
      <c r="D123" s="50">
        <v>2000</v>
      </c>
      <c r="E123" s="3"/>
    </row>
    <row r="124" spans="1:5" x14ac:dyDescent="0.3">
      <c r="A124" s="49">
        <v>2022</v>
      </c>
      <c r="B124" s="27">
        <v>12</v>
      </c>
      <c r="C124" s="28" t="s">
        <v>39</v>
      </c>
      <c r="D124" s="50">
        <v>3000</v>
      </c>
      <c r="E124" s="3"/>
    </row>
    <row r="125" spans="1:5" x14ac:dyDescent="0.3">
      <c r="A125" s="49">
        <v>2022</v>
      </c>
      <c r="B125" s="27">
        <v>12</v>
      </c>
      <c r="C125" s="28" t="s">
        <v>40</v>
      </c>
      <c r="D125" s="50">
        <v>1000</v>
      </c>
      <c r="E125" s="3"/>
    </row>
    <row r="126" spans="1:5" x14ac:dyDescent="0.3">
      <c r="A126" s="49">
        <v>2022</v>
      </c>
      <c r="B126" s="56">
        <v>12</v>
      </c>
      <c r="C126" s="57" t="s">
        <v>41</v>
      </c>
      <c r="D126" s="58">
        <v>1500</v>
      </c>
      <c r="E126" s="3"/>
    </row>
    <row r="127" spans="1:5" x14ac:dyDescent="0.3">
      <c r="A127" s="3"/>
      <c r="B127" s="3"/>
      <c r="C127" s="3"/>
      <c r="D127" s="3"/>
      <c r="E127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1EC1-37C8-4784-AABC-562F6F48B81B}">
  <dimension ref="A1:D29"/>
  <sheetViews>
    <sheetView workbookViewId="0">
      <selection activeCell="E31" sqref="E31"/>
    </sheetView>
  </sheetViews>
  <sheetFormatPr defaultRowHeight="13.2" x14ac:dyDescent="0.3"/>
  <cols>
    <col min="1" max="1" width="8.88671875" style="1"/>
    <col min="2" max="2" width="13.109375" style="1" customWidth="1"/>
    <col min="3" max="3" width="12.33203125" style="1" customWidth="1"/>
    <col min="4" max="16384" width="8.88671875" style="1"/>
  </cols>
  <sheetData>
    <row r="1" spans="1:4" x14ac:dyDescent="0.3">
      <c r="A1" s="51" t="s">
        <v>34</v>
      </c>
      <c r="B1" s="52" t="s">
        <v>35</v>
      </c>
      <c r="C1" s="54" t="s">
        <v>85</v>
      </c>
      <c r="D1" s="3"/>
    </row>
    <row r="2" spans="1:4" x14ac:dyDescent="0.3">
      <c r="A2" s="49">
        <v>2024</v>
      </c>
      <c r="B2" s="27">
        <v>12</v>
      </c>
      <c r="C2" s="70">
        <v>6</v>
      </c>
      <c r="D2" s="3"/>
    </row>
    <row r="3" spans="1:4" x14ac:dyDescent="0.3">
      <c r="A3" s="49">
        <v>2024</v>
      </c>
      <c r="B3" s="27">
        <v>11</v>
      </c>
      <c r="C3" s="70">
        <v>4</v>
      </c>
      <c r="D3" s="3"/>
    </row>
    <row r="4" spans="1:4" x14ac:dyDescent="0.3">
      <c r="A4" s="49">
        <v>2024</v>
      </c>
      <c r="B4" s="27">
        <v>10</v>
      </c>
      <c r="C4" s="70">
        <v>2</v>
      </c>
      <c r="D4" s="3"/>
    </row>
    <row r="5" spans="1:4" x14ac:dyDescent="0.3">
      <c r="A5" s="49">
        <v>2024</v>
      </c>
      <c r="B5" s="27">
        <v>9</v>
      </c>
      <c r="C5" s="70">
        <v>2</v>
      </c>
      <c r="D5" s="3"/>
    </row>
    <row r="6" spans="1:4" x14ac:dyDescent="0.3">
      <c r="A6" s="49">
        <v>2024</v>
      </c>
      <c r="B6" s="27">
        <v>8</v>
      </c>
      <c r="C6" s="70">
        <v>2</v>
      </c>
      <c r="D6" s="3"/>
    </row>
    <row r="7" spans="1:4" x14ac:dyDescent="0.3">
      <c r="A7" s="49">
        <v>2024</v>
      </c>
      <c r="B7" s="27">
        <v>7</v>
      </c>
      <c r="C7" s="70">
        <v>3</v>
      </c>
      <c r="D7" s="3"/>
    </row>
    <row r="8" spans="1:4" x14ac:dyDescent="0.3">
      <c r="A8" s="49">
        <v>2024</v>
      </c>
      <c r="B8" s="27">
        <v>6</v>
      </c>
      <c r="C8" s="70">
        <v>2</v>
      </c>
      <c r="D8" s="3"/>
    </row>
    <row r="9" spans="1:4" x14ac:dyDescent="0.3">
      <c r="A9" s="49">
        <v>2024</v>
      </c>
      <c r="B9" s="27">
        <v>5</v>
      </c>
      <c r="C9" s="70">
        <v>3</v>
      </c>
      <c r="D9" s="3"/>
    </row>
    <row r="10" spans="1:4" x14ac:dyDescent="0.3">
      <c r="A10" s="49">
        <v>2024</v>
      </c>
      <c r="B10" s="27">
        <v>4</v>
      </c>
      <c r="C10" s="70">
        <v>2</v>
      </c>
      <c r="D10" s="3"/>
    </row>
    <row r="11" spans="1:4" x14ac:dyDescent="0.3">
      <c r="A11" s="49">
        <v>2024</v>
      </c>
      <c r="B11" s="27">
        <v>3</v>
      </c>
      <c r="C11" s="70">
        <v>2</v>
      </c>
      <c r="D11" s="3"/>
    </row>
    <row r="12" spans="1:4" x14ac:dyDescent="0.3">
      <c r="A12" s="49">
        <v>2024</v>
      </c>
      <c r="B12" s="27">
        <v>2</v>
      </c>
      <c r="C12" s="70">
        <v>1</v>
      </c>
      <c r="D12" s="3"/>
    </row>
    <row r="13" spans="1:4" x14ac:dyDescent="0.3">
      <c r="A13" s="49">
        <v>2024</v>
      </c>
      <c r="B13" s="27">
        <v>1</v>
      </c>
      <c r="C13" s="70">
        <v>3</v>
      </c>
      <c r="D13" s="3"/>
    </row>
    <row r="14" spans="1:4" x14ac:dyDescent="0.3">
      <c r="A14" s="49">
        <v>2023</v>
      </c>
      <c r="B14" s="27">
        <v>12</v>
      </c>
      <c r="C14" s="70">
        <v>2</v>
      </c>
      <c r="D14" s="3"/>
    </row>
    <row r="15" spans="1:4" x14ac:dyDescent="0.3">
      <c r="A15" s="49">
        <v>2023</v>
      </c>
      <c r="B15" s="27">
        <v>11</v>
      </c>
      <c r="C15" s="70">
        <v>1</v>
      </c>
      <c r="D15" s="3"/>
    </row>
    <row r="16" spans="1:4" x14ac:dyDescent="0.3">
      <c r="A16" s="49">
        <v>2023</v>
      </c>
      <c r="B16" s="27">
        <v>10</v>
      </c>
      <c r="C16" s="70">
        <v>2</v>
      </c>
      <c r="D16" s="3"/>
    </row>
    <row r="17" spans="1:4" x14ac:dyDescent="0.3">
      <c r="A17" s="49">
        <v>2023</v>
      </c>
      <c r="B17" s="27">
        <v>9</v>
      </c>
      <c r="C17" s="70">
        <v>2</v>
      </c>
      <c r="D17" s="3"/>
    </row>
    <row r="18" spans="1:4" x14ac:dyDescent="0.3">
      <c r="A18" s="49">
        <v>2023</v>
      </c>
      <c r="B18" s="27">
        <v>8</v>
      </c>
      <c r="C18" s="70">
        <v>3</v>
      </c>
      <c r="D18" s="3"/>
    </row>
    <row r="19" spans="1:4" x14ac:dyDescent="0.3">
      <c r="A19" s="49">
        <v>2023</v>
      </c>
      <c r="B19" s="27">
        <v>7</v>
      </c>
      <c r="C19" s="70">
        <v>4</v>
      </c>
      <c r="D19" s="3"/>
    </row>
    <row r="20" spans="1:4" x14ac:dyDescent="0.3">
      <c r="A20" s="49">
        <v>2023</v>
      </c>
      <c r="B20" s="27">
        <v>6</v>
      </c>
      <c r="C20" s="70">
        <v>3</v>
      </c>
      <c r="D20" s="3"/>
    </row>
    <row r="21" spans="1:4" x14ac:dyDescent="0.3">
      <c r="A21" s="49">
        <v>2023</v>
      </c>
      <c r="B21" s="27">
        <v>5</v>
      </c>
      <c r="C21" s="70">
        <v>3</v>
      </c>
      <c r="D21" s="3"/>
    </row>
    <row r="22" spans="1:4" x14ac:dyDescent="0.3">
      <c r="A22" s="49">
        <v>2023</v>
      </c>
      <c r="B22" s="27">
        <v>4</v>
      </c>
      <c r="C22" s="70">
        <v>3</v>
      </c>
      <c r="D22" s="3"/>
    </row>
    <row r="23" spans="1:4" x14ac:dyDescent="0.3">
      <c r="A23" s="49">
        <v>2023</v>
      </c>
      <c r="B23" s="27">
        <v>3</v>
      </c>
      <c r="C23" s="70">
        <v>2</v>
      </c>
      <c r="D23" s="3"/>
    </row>
    <row r="24" spans="1:4" x14ac:dyDescent="0.3">
      <c r="A24" s="49">
        <v>2023</v>
      </c>
      <c r="B24" s="27">
        <v>2</v>
      </c>
      <c r="C24" s="70">
        <v>2</v>
      </c>
      <c r="D24" s="3"/>
    </row>
    <row r="25" spans="1:4" x14ac:dyDescent="0.3">
      <c r="A25" s="55">
        <v>2023</v>
      </c>
      <c r="B25" s="56">
        <v>1</v>
      </c>
      <c r="C25" s="71">
        <v>3</v>
      </c>
      <c r="D25" s="3"/>
    </row>
    <row r="26" spans="1:4" x14ac:dyDescent="0.3">
      <c r="A26" s="55">
        <v>2022</v>
      </c>
      <c r="B26" s="56">
        <v>12</v>
      </c>
      <c r="C26" s="71">
        <v>11</v>
      </c>
      <c r="D26" s="3"/>
    </row>
    <row r="27" spans="1:4" x14ac:dyDescent="0.3">
      <c r="A27" s="3"/>
      <c r="B27" s="3"/>
      <c r="C27" s="3"/>
      <c r="D27" s="3"/>
    </row>
    <row r="28" spans="1:4" x14ac:dyDescent="0.3">
      <c r="A28" s="3"/>
      <c r="B28" s="3"/>
      <c r="C28" s="3"/>
      <c r="D28" s="3"/>
    </row>
    <row r="29" spans="1:4" x14ac:dyDescent="0.3">
      <c r="A29" s="3"/>
      <c r="B29" s="3"/>
      <c r="C29" s="3"/>
      <c r="D29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D150-A231-4692-95C9-87F9E3773FD9}">
  <dimension ref="A1:O45"/>
  <sheetViews>
    <sheetView zoomScale="70" zoomScaleNormal="70" workbookViewId="0">
      <selection activeCell="I26" sqref="I26"/>
    </sheetView>
  </sheetViews>
  <sheetFormatPr defaultRowHeight="13.2" x14ac:dyDescent="0.3"/>
  <cols>
    <col min="1" max="1" width="28.5546875" style="1" customWidth="1"/>
    <col min="2" max="2" width="7.6640625" style="1" customWidth="1"/>
    <col min="3" max="3" width="15.5546875" style="1" customWidth="1"/>
    <col min="4" max="4" width="15.44140625" style="1" customWidth="1"/>
    <col min="5" max="5" width="10.5546875" style="1" customWidth="1"/>
    <col min="6" max="6" width="8.88671875" style="1"/>
    <col min="7" max="7" width="12.44140625" style="1" customWidth="1"/>
    <col min="8" max="9" width="15.5546875" style="1" customWidth="1"/>
    <col min="10" max="11" width="8.88671875" style="1"/>
    <col min="12" max="12" width="12.44140625" style="1" customWidth="1"/>
    <col min="13" max="13" width="15.77734375" style="1" customWidth="1"/>
    <col min="14" max="14" width="15.5546875" style="1" customWidth="1"/>
    <col min="15" max="16384" width="8.88671875" style="1"/>
  </cols>
  <sheetData>
    <row r="1" spans="1:15" x14ac:dyDescent="0.3">
      <c r="A1" s="26" t="s">
        <v>47</v>
      </c>
      <c r="C1" s="26" t="s">
        <v>48</v>
      </c>
      <c r="D1" s="27" cm="1">
        <f t="array" ref="D1">INDEX(A2:A3,C2,1)</f>
        <v>2024</v>
      </c>
      <c r="E1" s="3"/>
      <c r="F1" s="88" t="s">
        <v>53</v>
      </c>
      <c r="G1" s="89"/>
      <c r="H1" s="89"/>
      <c r="I1" s="89"/>
      <c r="J1" s="3"/>
      <c r="K1" s="90" t="s">
        <v>55</v>
      </c>
      <c r="L1" s="91"/>
      <c r="M1" s="91"/>
      <c r="N1" s="91"/>
      <c r="O1" s="3"/>
    </row>
    <row r="2" spans="1:15" x14ac:dyDescent="0.3">
      <c r="A2" s="27">
        <v>2023</v>
      </c>
      <c r="B2" s="3"/>
      <c r="C2" s="76">
        <v>2</v>
      </c>
      <c r="D2" s="3"/>
      <c r="E2" s="3"/>
      <c r="F2" s="46" t="s">
        <v>34</v>
      </c>
      <c r="G2" s="46" t="s">
        <v>35</v>
      </c>
      <c r="H2" s="46" t="s">
        <v>52</v>
      </c>
      <c r="I2" s="46" t="s">
        <v>54</v>
      </c>
      <c r="J2" s="3"/>
      <c r="K2" s="46" t="s">
        <v>34</v>
      </c>
      <c r="L2" s="46" t="s">
        <v>35</v>
      </c>
      <c r="M2" s="46" t="s">
        <v>52</v>
      </c>
      <c r="N2" s="46" t="s">
        <v>54</v>
      </c>
      <c r="O2" s="3"/>
    </row>
    <row r="3" spans="1:15" x14ac:dyDescent="0.3">
      <c r="A3" s="27">
        <v>2024</v>
      </c>
      <c r="B3" s="3"/>
      <c r="C3" s="3"/>
      <c r="D3" s="3"/>
      <c r="E3" s="3"/>
      <c r="F3" s="78">
        <f>$D$1</f>
        <v>2024</v>
      </c>
      <c r="G3" s="78">
        <v>12</v>
      </c>
      <c r="H3" s="48" cm="1">
        <f t="array" ref="H3">SUMPRODUCT((YEAR(Sold[Date])=$D$1)*(MONTH(Sold[Date])=G3)*Sold[Total])</f>
        <v>8027.5</v>
      </c>
      <c r="I3" s="48" cm="1">
        <f t="array" ref="I3">SUMPRODUCT((Expenses[Year]=$D$1)*(Expenses[Month]=G3)*Expenses[Amount])</f>
        <v>2450</v>
      </c>
      <c r="J3" s="3"/>
      <c r="K3" s="78">
        <f>$D$1-1</f>
        <v>2023</v>
      </c>
      <c r="L3" s="78">
        <v>12</v>
      </c>
      <c r="M3" s="48" cm="1">
        <f t="array" ref="M3">SUMPRODUCT((YEAR(Sold[Date])=$D$1-1)*(MONTH(Sold[Date])=L3)*Sold[Total])</f>
        <v>4510</v>
      </c>
      <c r="N3" s="48" cm="1">
        <f t="array" ref="N3">SUMPRODUCT((Expenses[Year]=$D$1-1)*(Expenses[Month]=L3)*Expenses[Amount])</f>
        <v>2000</v>
      </c>
      <c r="O3" s="3"/>
    </row>
    <row r="4" spans="1:15" x14ac:dyDescent="0.3">
      <c r="A4" s="3"/>
      <c r="B4" s="3"/>
      <c r="C4" s="26" t="s">
        <v>49</v>
      </c>
      <c r="D4" s="29">
        <f>H15</f>
        <v>53640.75</v>
      </c>
      <c r="E4" s="3"/>
      <c r="F4" s="78">
        <f t="shared" ref="F4:F14" si="0">$D$1</f>
        <v>2024</v>
      </c>
      <c r="G4" s="78">
        <v>11</v>
      </c>
      <c r="H4" s="48" cm="1">
        <f t="array" ref="H4">SUMPRODUCT((YEAR(Sold[Date])=$D$1)*(MONTH(Sold[Date])=G4)*Sold[Total])</f>
        <v>2270</v>
      </c>
      <c r="I4" s="48" cm="1">
        <f t="array" ref="I4">SUMPRODUCT((Expenses[Year]=$D$1)*(Expenses[Month]=G4)*Expenses[Amount])</f>
        <v>2400</v>
      </c>
      <c r="J4" s="3"/>
      <c r="K4" s="78">
        <f t="shared" ref="K4:K14" si="1">$D$1-1</f>
        <v>2023</v>
      </c>
      <c r="L4" s="78">
        <v>11</v>
      </c>
      <c r="M4" s="48" cm="1">
        <f t="array" ref="M4">SUMPRODUCT((YEAR(Sold[Date])=$D$1-1)*(MONTH(Sold[Date])=L4)*Sold[Total])</f>
        <v>2898.5</v>
      </c>
      <c r="N4" s="48" cm="1">
        <f t="array" ref="N4">SUMPRODUCT((Expenses[Year]=$D$1-1)*(Expenses[Month]=L4)*Expenses[Amount])</f>
        <v>2150</v>
      </c>
      <c r="O4" s="3"/>
    </row>
    <row r="5" spans="1:15" x14ac:dyDescent="0.3">
      <c r="A5" s="3"/>
      <c r="B5" s="3"/>
      <c r="C5" s="27" t="s">
        <v>50</v>
      </c>
      <c r="D5" s="29">
        <f>M15</f>
        <v>43447.75</v>
      </c>
      <c r="E5" s="3"/>
      <c r="F5" s="78">
        <f t="shared" si="0"/>
        <v>2024</v>
      </c>
      <c r="G5" s="78">
        <v>10</v>
      </c>
      <c r="H5" s="48" cm="1">
        <f t="array" ref="H5">SUMPRODUCT((YEAR(Sold[Date])=$D$1)*(MONTH(Sold[Date])=G5)*Sold[Total])</f>
        <v>4844</v>
      </c>
      <c r="I5" s="48" cm="1">
        <f t="array" ref="I5">SUMPRODUCT((Expenses[Year]=$D$1)*(Expenses[Month]=G5)*Expenses[Amount])</f>
        <v>2800</v>
      </c>
      <c r="J5" s="3"/>
      <c r="K5" s="78">
        <f t="shared" si="1"/>
        <v>2023</v>
      </c>
      <c r="L5" s="78">
        <v>10</v>
      </c>
      <c r="M5" s="48" cm="1">
        <f t="array" ref="M5">SUMPRODUCT((YEAR(Sold[Date])=$D$1-1)*(MONTH(Sold[Date])=L5)*Sold[Total])</f>
        <v>2927.75</v>
      </c>
      <c r="N5" s="48" cm="1">
        <f t="array" ref="N5">SUMPRODUCT((Expenses[Year]=$D$1-1)*(Expenses[Month]=L5)*Expenses[Amount])</f>
        <v>2000</v>
      </c>
      <c r="O5" s="3"/>
    </row>
    <row r="6" spans="1:15" x14ac:dyDescent="0.3">
      <c r="A6" s="3"/>
      <c r="B6" s="3"/>
      <c r="C6" s="27" t="s">
        <v>51</v>
      </c>
      <c r="D6" s="79">
        <f>IF(D5=0,"#NA",(D4-D5)/D5)</f>
        <v>0.23460363309952759</v>
      </c>
      <c r="E6" s="3"/>
      <c r="F6" s="78">
        <f t="shared" si="0"/>
        <v>2024</v>
      </c>
      <c r="G6" s="78">
        <v>9</v>
      </c>
      <c r="H6" s="48" cm="1">
        <f t="array" ref="H6">SUMPRODUCT((YEAR(Sold[Date])=$D$1)*(MONTH(Sold[Date])=G6)*Sold[Total])</f>
        <v>7967.75</v>
      </c>
      <c r="I6" s="48" cm="1">
        <f t="array" ref="I6">SUMPRODUCT((Expenses[Year]=$D$1)*(Expenses[Month]=G6)*Expenses[Amount])</f>
        <v>2500</v>
      </c>
      <c r="J6" s="3"/>
      <c r="K6" s="78">
        <f t="shared" si="1"/>
        <v>2023</v>
      </c>
      <c r="L6" s="78">
        <v>9</v>
      </c>
      <c r="M6" s="48" cm="1">
        <f t="array" ref="M6">SUMPRODUCT((YEAR(Sold[Date])=$D$1-1)*(MONTH(Sold[Date])=L6)*Sold[Total])</f>
        <v>3687.5</v>
      </c>
      <c r="N6" s="48" cm="1">
        <f t="array" ref="N6">SUMPRODUCT((Expenses[Year]=$D$1-1)*(Expenses[Month]=L6)*Expenses[Amount])</f>
        <v>2100</v>
      </c>
      <c r="O6" s="3"/>
    </row>
    <row r="7" spans="1:15" x14ac:dyDescent="0.3">
      <c r="A7" s="3"/>
      <c r="B7" s="3"/>
      <c r="C7" s="27" t="s">
        <v>83</v>
      </c>
      <c r="D7" s="79">
        <f>IF(D6&gt;=0,D6,"")</f>
        <v>0.23460363309952759</v>
      </c>
      <c r="E7" s="3"/>
      <c r="F7" s="78">
        <f t="shared" si="0"/>
        <v>2024</v>
      </c>
      <c r="G7" s="78">
        <v>8</v>
      </c>
      <c r="H7" s="48" cm="1">
        <f t="array" ref="H7">SUMPRODUCT((YEAR(Sold[Date])=$D$1)*(MONTH(Sold[Date])=G7)*Sold[Total])</f>
        <v>4812.5</v>
      </c>
      <c r="I7" s="48" cm="1">
        <f t="array" ref="I7">SUMPRODUCT((Expenses[Year]=$D$1)*(Expenses[Month]=G7)*Expenses[Amount])</f>
        <v>1950</v>
      </c>
      <c r="J7" s="3"/>
      <c r="K7" s="78">
        <f t="shared" si="1"/>
        <v>2023</v>
      </c>
      <c r="L7" s="78">
        <v>8</v>
      </c>
      <c r="M7" s="48" cm="1">
        <f t="array" ref="M7">SUMPRODUCT((YEAR(Sold[Date])=$D$1-1)*(MONTH(Sold[Date])=L7)*Sold[Total])</f>
        <v>2239.25</v>
      </c>
      <c r="N7" s="48" cm="1">
        <f t="array" ref="N7">SUMPRODUCT((Expenses[Year]=$D$1-1)*(Expenses[Month]=L7)*Expenses[Amount])</f>
        <v>2100</v>
      </c>
      <c r="O7" s="3"/>
    </row>
    <row r="8" spans="1:15" x14ac:dyDescent="0.3">
      <c r="A8" s="3"/>
      <c r="B8" s="3"/>
      <c r="C8" s="27" t="s">
        <v>84</v>
      </c>
      <c r="D8" s="79" t="str">
        <f>IF(D6&lt;0,D6,"")</f>
        <v/>
      </c>
      <c r="E8" s="3"/>
      <c r="F8" s="78">
        <f t="shared" si="0"/>
        <v>2024</v>
      </c>
      <c r="G8" s="78">
        <v>7</v>
      </c>
      <c r="H8" s="48" cm="1">
        <f t="array" ref="H8">SUMPRODUCT((YEAR(Sold[Date])=$D$1)*(MONTH(Sold[Date])=G8)*Sold[Total])</f>
        <v>3175</v>
      </c>
      <c r="I8" s="48" cm="1">
        <f t="array" ref="I8">SUMPRODUCT((Expenses[Year]=$D$1)*(Expenses[Month]=G8)*Expenses[Amount])</f>
        <v>1800</v>
      </c>
      <c r="J8" s="3"/>
      <c r="K8" s="78">
        <f t="shared" si="1"/>
        <v>2023</v>
      </c>
      <c r="L8" s="78">
        <v>7</v>
      </c>
      <c r="M8" s="48" cm="1">
        <f t="array" ref="M8">SUMPRODUCT((YEAR(Sold[Date])=$D$1-1)*(MONTH(Sold[Date])=L8)*Sold[Total])</f>
        <v>4606.5</v>
      </c>
      <c r="N8" s="48" cm="1">
        <f t="array" ref="N8">SUMPRODUCT((Expenses[Year]=$D$1-1)*(Expenses[Month]=L8)*Expenses[Amount])</f>
        <v>2600</v>
      </c>
      <c r="O8" s="3"/>
    </row>
    <row r="9" spans="1:15" x14ac:dyDescent="0.3">
      <c r="A9" s="3"/>
      <c r="B9" s="3"/>
      <c r="C9" s="3"/>
      <c r="D9" s="3"/>
      <c r="E9" s="3"/>
      <c r="F9" s="78">
        <f t="shared" si="0"/>
        <v>2024</v>
      </c>
      <c r="G9" s="78">
        <v>6</v>
      </c>
      <c r="H9" s="48" cm="1">
        <f t="array" ref="H9">SUMPRODUCT((YEAR(Sold[Date])=$D$1)*(MONTH(Sold[Date])=G9)*Sold[Total])</f>
        <v>3641</v>
      </c>
      <c r="I9" s="48" cm="1">
        <f t="array" ref="I9">SUMPRODUCT((Expenses[Year]=$D$1)*(Expenses[Month]=G9)*Expenses[Amount])</f>
        <v>2250</v>
      </c>
      <c r="J9" s="3"/>
      <c r="K9" s="78">
        <f t="shared" si="1"/>
        <v>2023</v>
      </c>
      <c r="L9" s="78">
        <v>6</v>
      </c>
      <c r="M9" s="48" cm="1">
        <f t="array" ref="M9">SUMPRODUCT((YEAR(Sold[Date])=$D$1-1)*(MONTH(Sold[Date])=L9)*Sold[Total])</f>
        <v>4188.5</v>
      </c>
      <c r="N9" s="48" cm="1">
        <f t="array" ref="N9">SUMPRODUCT((Expenses[Year]=$D$1-1)*(Expenses[Month]=L9)*Expenses[Amount])</f>
        <v>1850</v>
      </c>
      <c r="O9" s="3"/>
    </row>
    <row r="10" spans="1:15" x14ac:dyDescent="0.3">
      <c r="A10" s="3"/>
      <c r="B10" s="3"/>
      <c r="C10" s="3"/>
      <c r="D10" s="3"/>
      <c r="E10" s="3"/>
      <c r="F10" s="78">
        <f t="shared" si="0"/>
        <v>2024</v>
      </c>
      <c r="G10" s="78">
        <v>5</v>
      </c>
      <c r="H10" s="48" cm="1">
        <f t="array" ref="H10">SUMPRODUCT((YEAR(Sold[Date])=$D$1)*(MONTH(Sold[Date])=G10)*Sold[Total])</f>
        <v>3440.5</v>
      </c>
      <c r="I10" s="48" cm="1">
        <f t="array" ref="I10">SUMPRODUCT((Expenses[Year]=$D$1)*(Expenses[Month]=G10)*Expenses[Amount])</f>
        <v>2350</v>
      </c>
      <c r="J10" s="3"/>
      <c r="K10" s="78">
        <f t="shared" si="1"/>
        <v>2023</v>
      </c>
      <c r="L10" s="78">
        <v>5</v>
      </c>
      <c r="M10" s="48" cm="1">
        <f t="array" ref="M10">SUMPRODUCT((YEAR(Sold[Date])=$D$1-1)*(MONTH(Sold[Date])=L10)*Sold[Total])</f>
        <v>3021</v>
      </c>
      <c r="N10" s="48" cm="1">
        <f t="array" ref="N10">SUMPRODUCT((Expenses[Year]=$D$1-1)*(Expenses[Month]=L10)*Expenses[Amount])</f>
        <v>1850</v>
      </c>
      <c r="O10" s="3"/>
    </row>
    <row r="11" spans="1:15" x14ac:dyDescent="0.3">
      <c r="A11" s="3"/>
      <c r="B11" s="3"/>
      <c r="C11" s="26" t="s">
        <v>57</v>
      </c>
      <c r="D11" s="29">
        <f>I15</f>
        <v>27950</v>
      </c>
      <c r="E11" s="3"/>
      <c r="F11" s="78">
        <f t="shared" si="0"/>
        <v>2024</v>
      </c>
      <c r="G11" s="78">
        <v>4</v>
      </c>
      <c r="H11" s="48" cm="1">
        <f t="array" ref="H11">SUMPRODUCT((YEAR(Sold[Date])=$D$1)*(MONTH(Sold[Date])=G11)*Sold[Total])</f>
        <v>4029.5</v>
      </c>
      <c r="I11" s="48" cm="1">
        <f t="array" ref="I11">SUMPRODUCT((Expenses[Year]=$D$1)*(Expenses[Month]=G11)*Expenses[Amount])</f>
        <v>2300</v>
      </c>
      <c r="J11" s="3"/>
      <c r="K11" s="78">
        <f t="shared" si="1"/>
        <v>2023</v>
      </c>
      <c r="L11" s="78">
        <v>4</v>
      </c>
      <c r="M11" s="48" cm="1">
        <f t="array" ref="M11">SUMPRODUCT((YEAR(Sold[Date])=$D$1-1)*(MONTH(Sold[Date])=L11)*Sold[Total])</f>
        <v>2612.5</v>
      </c>
      <c r="N11" s="48" cm="1">
        <f t="array" ref="N11">SUMPRODUCT((Expenses[Year]=$D$1-1)*(Expenses[Month]=L11)*Expenses[Amount])</f>
        <v>1750</v>
      </c>
      <c r="O11" s="3"/>
    </row>
    <row r="12" spans="1:15" x14ac:dyDescent="0.3">
      <c r="A12" s="3"/>
      <c r="B12" s="3"/>
      <c r="C12" s="27" t="s">
        <v>50</v>
      </c>
      <c r="D12" s="29">
        <f>N15</f>
        <v>24500</v>
      </c>
      <c r="E12" s="3"/>
      <c r="F12" s="78">
        <f t="shared" si="0"/>
        <v>2024</v>
      </c>
      <c r="G12" s="78">
        <v>3</v>
      </c>
      <c r="H12" s="48" cm="1">
        <f t="array" ref="H12">SUMPRODUCT((YEAR(Sold[Date])=$D$1)*(MONTH(Sold[Date])=G12)*Sold[Total])</f>
        <v>2896.5</v>
      </c>
      <c r="I12" s="48" cm="1">
        <f t="array" ref="I12">SUMPRODUCT((Expenses[Year]=$D$1)*(Expenses[Month]=G12)*Expenses[Amount])</f>
        <v>2600</v>
      </c>
      <c r="J12" s="3"/>
      <c r="K12" s="78">
        <f t="shared" si="1"/>
        <v>2023</v>
      </c>
      <c r="L12" s="78">
        <v>3</v>
      </c>
      <c r="M12" s="48" cm="1">
        <f t="array" ref="M12">SUMPRODUCT((YEAR(Sold[Date])=$D$1-1)*(MONTH(Sold[Date])=L12)*Sold[Total])</f>
        <v>4219.75</v>
      </c>
      <c r="N12" s="48" cm="1">
        <f t="array" ref="N12">SUMPRODUCT((Expenses[Year]=$D$1-1)*(Expenses[Month]=L12)*Expenses[Amount])</f>
        <v>1800</v>
      </c>
      <c r="O12" s="3"/>
    </row>
    <row r="13" spans="1:15" x14ac:dyDescent="0.3">
      <c r="A13" s="3"/>
      <c r="B13" s="3"/>
      <c r="C13" s="27" t="s">
        <v>51</v>
      </c>
      <c r="D13" s="79">
        <f>IF(D12=0,"#NA",(D11-D12)/D12)</f>
        <v>0.14081632653061224</v>
      </c>
      <c r="E13" s="3"/>
      <c r="F13" s="78">
        <f t="shared" si="0"/>
        <v>2024</v>
      </c>
      <c r="G13" s="78">
        <v>2</v>
      </c>
      <c r="H13" s="48" cm="1">
        <f t="array" ref="H13">SUMPRODUCT((YEAR(Sold[Date])=$D$1)*(MONTH(Sold[Date])=G13)*Sold[Total])</f>
        <v>5618</v>
      </c>
      <c r="I13" s="48" cm="1">
        <f t="array" ref="I13">SUMPRODUCT((Expenses[Year]=$D$1)*(Expenses[Month]=G13)*Expenses[Amount])</f>
        <v>2400</v>
      </c>
      <c r="J13" s="3"/>
      <c r="K13" s="78">
        <f t="shared" si="1"/>
        <v>2023</v>
      </c>
      <c r="L13" s="78">
        <v>2</v>
      </c>
      <c r="M13" s="48" cm="1">
        <f t="array" ref="M13">SUMPRODUCT((YEAR(Sold[Date])=$D$1-1)*(MONTH(Sold[Date])=L13)*Sold[Total])</f>
        <v>5618</v>
      </c>
      <c r="N13" s="48" cm="1">
        <f t="array" ref="N13">SUMPRODUCT((Expenses[Year]=$D$1-1)*(Expenses[Month]=L13)*Expenses[Amount])</f>
        <v>2200</v>
      </c>
      <c r="O13" s="3"/>
    </row>
    <row r="14" spans="1:15" x14ac:dyDescent="0.3">
      <c r="A14" s="3"/>
      <c r="B14" s="3"/>
      <c r="C14" s="27" t="s">
        <v>83</v>
      </c>
      <c r="D14" s="79">
        <f>IF(D13&gt;=0,D13,"")</f>
        <v>0.14081632653061224</v>
      </c>
      <c r="E14" s="3"/>
      <c r="F14" s="78">
        <f t="shared" si="0"/>
        <v>2024</v>
      </c>
      <c r="G14" s="78">
        <v>1</v>
      </c>
      <c r="H14" s="48" cm="1">
        <f t="array" ref="H14">SUMPRODUCT((YEAR(Sold[Date])=$D$1)*(MONTH(Sold[Date])=G14)*Sold[Total])</f>
        <v>2918.5</v>
      </c>
      <c r="I14" s="48" cm="1">
        <f t="array" ref="I14">SUMPRODUCT((Expenses[Year]=$D$1)*(Expenses[Month]=G14)*Expenses[Amount])</f>
        <v>2150</v>
      </c>
      <c r="J14" s="3"/>
      <c r="K14" s="78">
        <f t="shared" si="1"/>
        <v>2023</v>
      </c>
      <c r="L14" s="78">
        <v>1</v>
      </c>
      <c r="M14" s="48" cm="1">
        <f t="array" ref="M14">SUMPRODUCT((YEAR(Sold[Date])=$D$1-1)*(MONTH(Sold[Date])=L14)*Sold[Total])</f>
        <v>2918.5</v>
      </c>
      <c r="N14" s="48" cm="1">
        <f t="array" ref="N14">SUMPRODUCT((Expenses[Year]=$D$1-1)*(Expenses[Month]=L14)*Expenses[Amount])</f>
        <v>2100</v>
      </c>
      <c r="O14" s="3"/>
    </row>
    <row r="15" spans="1:15" x14ac:dyDescent="0.3">
      <c r="A15" s="3"/>
      <c r="B15" s="3"/>
      <c r="C15" s="27" t="s">
        <v>84</v>
      </c>
      <c r="D15" s="79" t="str">
        <f>IF(D13&lt;0,D13,"")</f>
        <v/>
      </c>
      <c r="E15" s="3"/>
      <c r="F15" s="3"/>
      <c r="G15" s="3"/>
      <c r="H15" s="47">
        <f>SUM(H3:H14)</f>
        <v>53640.75</v>
      </c>
      <c r="I15" s="47">
        <f>SUM(I3:I14)</f>
        <v>27950</v>
      </c>
      <c r="J15" s="3"/>
      <c r="M15" s="47">
        <f>SUM(M3:M14)</f>
        <v>43447.75</v>
      </c>
      <c r="N15" s="47">
        <f>SUM(N3:N14)</f>
        <v>24500</v>
      </c>
      <c r="O15" s="3"/>
    </row>
    <row r="16" spans="1:15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">
      <c r="A18" s="3"/>
      <c r="B18" s="3"/>
      <c r="C18" s="26" t="s">
        <v>86</v>
      </c>
      <c r="D18" s="30" cm="1">
        <f t="array" ref="D18">SUMPRODUCT((Visitors[Year]=$D$1)*Visitors[Visitors])</f>
        <v>32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3">
      <c r="A19" s="3"/>
      <c r="B19" s="3"/>
      <c r="C19" s="27" t="s">
        <v>50</v>
      </c>
      <c r="D19" s="30" cm="1">
        <f t="array" ref="D19">SUMPRODUCT((Visitors[Year]=$D$1-1)*Visitors[Visitors])</f>
        <v>30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3">
      <c r="A20" s="3"/>
      <c r="B20" s="3"/>
      <c r="C20" s="27" t="s">
        <v>51</v>
      </c>
      <c r="D20" s="79">
        <f>IF(D19=0,"#NA",(D18-D19)/D19)</f>
        <v>6.6666666666666666E-2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3">
      <c r="A21" s="3"/>
      <c r="B21" s="3"/>
      <c r="C21" s="27" t="s">
        <v>83</v>
      </c>
      <c r="D21" s="79">
        <f>IF(D20&gt;=0,D20,"")</f>
        <v>6.6666666666666666E-2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3">
      <c r="A22" s="3"/>
      <c r="B22" s="3"/>
      <c r="C22" s="27" t="s">
        <v>84</v>
      </c>
      <c r="D22" s="79" t="str">
        <f>IF(D20&lt;0,D20,"")</f>
        <v/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3">
      <c r="A25" s="3"/>
      <c r="B25" s="3"/>
      <c r="C25" s="26" t="s">
        <v>87</v>
      </c>
      <c r="D25" s="30">
        <f>COUNTIFS(Orders[Date],"&gt;=01/01/"&amp;$D$1,Orders[Date],"&lt;12/31/"&amp;$D$1)</f>
        <v>15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3">
      <c r="A26" s="3"/>
      <c r="B26" s="3"/>
      <c r="C26" s="27" t="s">
        <v>50</v>
      </c>
      <c r="D26" s="30">
        <f>COUNTIFS(Orders[Date],"&gt;=01/01/"&amp;$D$1-1,Orders[Date],"&lt;12/31/"&amp;$D$1-1)</f>
        <v>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3">
      <c r="A27" s="3"/>
      <c r="B27" s="3"/>
      <c r="C27" s="27" t="s">
        <v>51</v>
      </c>
      <c r="D27" s="79">
        <f>IF(D26=0,"#NA",(D25-D26)/D26)</f>
        <v>0.15384615384615385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">
      <c r="A28" s="3"/>
      <c r="B28" s="3"/>
      <c r="C28" s="27" t="s">
        <v>83</v>
      </c>
      <c r="D28" s="79">
        <f>IF(D27&gt;=0,D27,"")</f>
        <v>0.15384615384615385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3">
      <c r="A29" s="3"/>
      <c r="B29" s="3"/>
      <c r="C29" s="27" t="s">
        <v>84</v>
      </c>
      <c r="D29" s="79" t="str">
        <f>IF(D27&lt;0,D27,"")</f>
        <v/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3">
      <c r="A31" s="3"/>
      <c r="B31" s="3"/>
      <c r="C31" s="3"/>
      <c r="D31" s="3"/>
      <c r="E31" s="3" t="s">
        <v>90</v>
      </c>
      <c r="F31" s="3" t="s">
        <v>89</v>
      </c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">
      <c r="A32" s="3"/>
      <c r="B32" s="3"/>
      <c r="C32" s="26" t="s">
        <v>88</v>
      </c>
      <c r="D32" s="77">
        <f>D25/D18</f>
        <v>0.46875</v>
      </c>
      <c r="E32" s="77">
        <f>1-D32</f>
        <v>0.53125</v>
      </c>
      <c r="F32" s="77">
        <v>1</v>
      </c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3">
      <c r="A33" s="3"/>
      <c r="B33" s="3"/>
      <c r="C33" s="27" t="s">
        <v>50</v>
      </c>
      <c r="D33" s="77">
        <f>D26/D19</f>
        <v>0.43333333333333335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">
      <c r="A34" s="3"/>
      <c r="B34" s="3"/>
      <c r="C34" s="27" t="s">
        <v>51</v>
      </c>
      <c r="D34" s="79">
        <f>IF(D33=0,"#NA",(D32-D33)/D33)</f>
        <v>8.173076923076919E-2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">
      <c r="A35" s="3"/>
      <c r="B35" s="3"/>
      <c r="C35" s="27" t="s">
        <v>83</v>
      </c>
      <c r="D35" s="79">
        <f>IF(D34&gt;=0,D34,"")</f>
        <v>8.173076923076919E-2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3">
      <c r="A36" s="3"/>
      <c r="B36" s="3"/>
      <c r="C36" s="27" t="s">
        <v>84</v>
      </c>
      <c r="D36" s="79" t="str">
        <f>IF(D34&lt;0,D34,"")</f>
        <v/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">
      <c r="A37" s="3"/>
      <c r="B37" s="3"/>
      <c r="C37" s="3"/>
      <c r="D37" s="8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3">
      <c r="A38" s="72"/>
      <c r="B38" s="72"/>
      <c r="C38" s="72"/>
      <c r="D38" s="72"/>
      <c r="E38" s="72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34.950000000000003" customHeight="1" x14ac:dyDescent="0.3">
      <c r="A39" s="72"/>
      <c r="B39" s="72"/>
      <c r="C39" s="73" t="s">
        <v>91</v>
      </c>
      <c r="D39" s="72"/>
      <c r="E39" s="72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34.950000000000003" customHeight="1" x14ac:dyDescent="0.3">
      <c r="A40" s="72"/>
      <c r="B40" s="72"/>
      <c r="C40" s="73" t="s">
        <v>92</v>
      </c>
      <c r="D40" s="72"/>
      <c r="E40" s="72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34.950000000000003" customHeight="1" x14ac:dyDescent="0.3">
      <c r="A41" s="72"/>
      <c r="B41" s="72"/>
      <c r="C41" s="73" t="s">
        <v>93</v>
      </c>
      <c r="D41" s="72"/>
      <c r="E41" s="72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34.950000000000003" customHeight="1" x14ac:dyDescent="0.3">
      <c r="A42" s="75" t="s">
        <v>94</v>
      </c>
      <c r="B42" s="74" t="str">
        <f>IF(D32&gt;0.45,IF(D32&gt;0.55,"Superb", "Normal"),"Poor")</f>
        <v>Normal</v>
      </c>
      <c r="C42" s="72"/>
      <c r="D42" s="92" t="str">
        <f>B42&amp;" Conversion Rate"</f>
        <v>Normal Conversion Rate</v>
      </c>
      <c r="E42" s="92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34.950000000000003" customHeight="1" x14ac:dyDescent="0.3">
      <c r="A43" s="75" t="s">
        <v>95</v>
      </c>
      <c r="B43" s="72"/>
      <c r="C43" s="72"/>
      <c r="D43" s="92" t="str">
        <f>IF(D32&gt;0.45,IF(D32&gt;0.55,"This is outstanding!", "Keep it up!"),"Improvements are necessary")</f>
        <v>Keep it up!</v>
      </c>
      <c r="E43" s="92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34.950000000000003" customHeight="1" x14ac:dyDescent="0.3">
      <c r="A44" s="72"/>
      <c r="B44" s="72"/>
      <c r="C44" s="72"/>
      <c r="D44" s="72"/>
      <c r="E44" s="72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34.950000000000003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</sheetData>
  <mergeCells count="4">
    <mergeCell ref="F1:I1"/>
    <mergeCell ref="K1:N1"/>
    <mergeCell ref="D42:E42"/>
    <mergeCell ref="D43:E43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FBF4-F78C-4A2A-913F-EA53E29507B2}">
  <dimension ref="A1:Q8"/>
  <sheetViews>
    <sheetView workbookViewId="0">
      <selection activeCell="A7" sqref="A7"/>
    </sheetView>
  </sheetViews>
  <sheetFormatPr defaultRowHeight="14.4" x14ac:dyDescent="0.3"/>
  <cols>
    <col min="2" max="2" width="21.109375" customWidth="1"/>
    <col min="3" max="3" width="19.21875" customWidth="1"/>
    <col min="4" max="4" width="13.44140625" customWidth="1"/>
    <col min="5" max="5" width="16.5546875" customWidth="1"/>
    <col min="6" max="6" width="9.5546875" customWidth="1"/>
    <col min="9" max="10" width="16" customWidth="1"/>
    <col min="12" max="12" width="13.88671875" customWidth="1"/>
    <col min="15" max="16" width="9.5546875" customWidth="1"/>
  </cols>
  <sheetData>
    <row r="1" spans="1:17" x14ac:dyDescent="0.3">
      <c r="A1" s="93" t="s">
        <v>79</v>
      </c>
      <c r="B1" s="93"/>
      <c r="C1" s="93"/>
      <c r="D1" s="93"/>
      <c r="E1" s="93"/>
      <c r="F1" s="93"/>
      <c r="G1" s="59"/>
      <c r="H1" s="93" t="s">
        <v>80</v>
      </c>
      <c r="I1" s="93"/>
      <c r="J1" s="93"/>
      <c r="K1" s="93"/>
      <c r="L1" s="93"/>
      <c r="M1" s="93"/>
      <c r="N1" s="68"/>
      <c r="O1" s="59"/>
      <c r="P1" s="61" t="s">
        <v>6</v>
      </c>
      <c r="Q1" s="59"/>
    </row>
    <row r="2" spans="1:17" x14ac:dyDescent="0.3">
      <c r="A2" s="63" t="s">
        <v>1</v>
      </c>
      <c r="B2" s="64" t="s">
        <v>2</v>
      </c>
      <c r="C2" s="64" t="s">
        <v>3</v>
      </c>
      <c r="D2" s="65" t="s">
        <v>22</v>
      </c>
      <c r="E2" s="65" t="s">
        <v>17</v>
      </c>
      <c r="F2" s="66" t="s">
        <v>6</v>
      </c>
      <c r="G2" s="59"/>
      <c r="H2" s="61" t="s">
        <v>1</v>
      </c>
      <c r="I2" s="62" t="s">
        <v>2</v>
      </c>
      <c r="J2" s="62" t="s">
        <v>3</v>
      </c>
      <c r="K2" s="61" t="s">
        <v>22</v>
      </c>
      <c r="L2" s="61" t="s">
        <v>17</v>
      </c>
      <c r="M2" s="61" t="s">
        <v>81</v>
      </c>
      <c r="N2" s="69" t="s">
        <v>82</v>
      </c>
      <c r="O2" s="59"/>
      <c r="P2" s="59"/>
      <c r="Q2" s="59"/>
    </row>
    <row r="3" spans="1:17" ht="49.95" customHeight="1" x14ac:dyDescent="0.3">
      <c r="A3" s="5">
        <v>1001</v>
      </c>
      <c r="B3" s="6" t="s">
        <v>0</v>
      </c>
      <c r="C3" s="6" t="s">
        <v>5</v>
      </c>
      <c r="D3" s="60" cm="1">
        <f t="array" ref="D3">SUMPRODUCT((YEAR(Sold[Date])=Helper!$D$1)*(Sold[ID]=A3)*Sold[Qty])</f>
        <v>2535</v>
      </c>
      <c r="E3" s="7" cm="1">
        <f t="array" ref="E3">SUMPRODUCT((YEAR(Sold[Date])=Helper!$D$1)*(Sold[ID]=A3)*Sold[Total])</f>
        <v>13815.75</v>
      </c>
      <c r="F3" s="8"/>
      <c r="G3" s="59"/>
      <c r="H3" s="27" cm="1">
        <f t="array" ref="H3:M6">_xlfn._xlws.SORT(Top[],5,-1)</f>
        <v>1003</v>
      </c>
      <c r="I3" s="27" t="str">
        <v>Red Socks</v>
      </c>
      <c r="J3" s="27" t="str">
        <v>Red Icon</v>
      </c>
      <c r="K3" s="67">
        <v>3040</v>
      </c>
      <c r="L3" s="29">
        <v>15048</v>
      </c>
      <c r="M3" s="27">
        <v>0</v>
      </c>
      <c r="N3" s="3" t="str">
        <f>"F_"&amp;H3</f>
        <v>F_1003</v>
      </c>
      <c r="O3" s="59"/>
      <c r="P3" s="22"/>
      <c r="Q3" s="59"/>
    </row>
    <row r="4" spans="1:17" ht="49.95" customHeight="1" x14ac:dyDescent="0.3">
      <c r="A4" s="5">
        <v>1002</v>
      </c>
      <c r="B4" s="6" t="s">
        <v>12</v>
      </c>
      <c r="C4" s="6" t="s">
        <v>10</v>
      </c>
      <c r="D4" s="60" cm="1">
        <f t="array" ref="D4">SUMPRODUCT((YEAR(Sold[Date])=Helper!$D$1)*(Sold[ID]=A4)*Sold[Qty])</f>
        <v>1710</v>
      </c>
      <c r="E4" s="7" cm="1">
        <f t="array" ref="E4">SUMPRODUCT((YEAR(Sold[Date])=Helper!$D$1)*(Sold[ID]=A4)*Sold[Total])</f>
        <v>9832.5</v>
      </c>
      <c r="F4" s="8"/>
      <c r="G4" s="59"/>
      <c r="H4" s="27">
        <v>1004</v>
      </c>
      <c r="I4" s="27" t="str">
        <v>Orange Socks</v>
      </c>
      <c r="J4" s="27" t="str">
        <v>Orange Country</v>
      </c>
      <c r="K4" s="67">
        <v>3030</v>
      </c>
      <c r="L4" s="29">
        <v>14944.5</v>
      </c>
      <c r="M4" s="27">
        <v>0</v>
      </c>
      <c r="N4" s="3" t="str">
        <f t="shared" ref="N4:N6" si="0">"F_"&amp;H4</f>
        <v>F_1004</v>
      </c>
      <c r="O4" s="59"/>
      <c r="P4" s="22"/>
      <c r="Q4" s="59"/>
    </row>
    <row r="5" spans="1:17" ht="49.95" customHeight="1" x14ac:dyDescent="0.3">
      <c r="A5" s="5">
        <v>1003</v>
      </c>
      <c r="B5" s="6" t="s">
        <v>11</v>
      </c>
      <c r="C5" s="6" t="s">
        <v>9</v>
      </c>
      <c r="D5" s="60" cm="1">
        <f t="array" ref="D5">SUMPRODUCT((YEAR(Sold[Date])=Helper!$D$1)*(Sold[ID]=A5)*Sold[Qty])</f>
        <v>3040</v>
      </c>
      <c r="E5" s="7" cm="1">
        <f t="array" ref="E5">SUMPRODUCT((YEAR(Sold[Date])=Helper!$D$1)*(Sold[ID]=A5)*Sold[Total])</f>
        <v>15048</v>
      </c>
      <c r="F5" s="8"/>
      <c r="G5" s="59"/>
      <c r="H5" s="27">
        <v>1001</v>
      </c>
      <c r="I5" s="27" t="str">
        <v>Blue Socks</v>
      </c>
      <c r="J5" s="27" t="str">
        <v>Blue Marvel</v>
      </c>
      <c r="K5" s="67">
        <v>2535</v>
      </c>
      <c r="L5" s="29">
        <v>13815.75</v>
      </c>
      <c r="M5" s="27">
        <v>0</v>
      </c>
      <c r="N5" s="3" t="str">
        <f t="shared" si="0"/>
        <v>F_1001</v>
      </c>
      <c r="O5" s="59"/>
      <c r="P5" s="22"/>
      <c r="Q5" s="59"/>
    </row>
    <row r="6" spans="1:17" ht="49.95" customHeight="1" x14ac:dyDescent="0.3">
      <c r="A6" s="9">
        <v>1004</v>
      </c>
      <c r="B6" s="10" t="s">
        <v>7</v>
      </c>
      <c r="C6" s="10" t="s">
        <v>8</v>
      </c>
      <c r="D6" s="60" cm="1">
        <f t="array" ref="D6">SUMPRODUCT((YEAR(Sold[Date])=Helper!$D$1)*(Sold[ID]=A6)*Sold[Qty])</f>
        <v>3030</v>
      </c>
      <c r="E6" s="11" cm="1">
        <f t="array" ref="E6">SUMPRODUCT((YEAR(Sold[Date])=Helper!$D$1)*(Sold[ID]=A6)*Sold[Total])</f>
        <v>14944.5</v>
      </c>
      <c r="F6" s="12"/>
      <c r="G6" s="59"/>
      <c r="H6" s="27">
        <v>1002</v>
      </c>
      <c r="I6" s="27" t="str">
        <v>Pink Socks</v>
      </c>
      <c r="J6" s="27" t="str">
        <v>Pink Panther</v>
      </c>
      <c r="K6" s="67">
        <v>1710</v>
      </c>
      <c r="L6" s="29">
        <v>9832.5</v>
      </c>
      <c r="M6" s="27">
        <v>0</v>
      </c>
      <c r="N6" s="3" t="str">
        <f t="shared" si="0"/>
        <v>F_1002</v>
      </c>
      <c r="O6" s="59"/>
      <c r="P6" s="59"/>
      <c r="Q6" s="59"/>
    </row>
    <row r="7" spans="1:17" x14ac:dyDescent="0.3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</row>
    <row r="8" spans="1:17" x14ac:dyDescent="0.3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</sheetData>
  <mergeCells count="2">
    <mergeCell ref="A1:F1"/>
    <mergeCell ref="H1:M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AA54-E995-4BB3-821E-A5F91CC96A9D}">
  <dimension ref="A1:O33"/>
  <sheetViews>
    <sheetView showGridLines="0" tabSelected="1" zoomScaleNormal="100" workbookViewId="0">
      <selection activeCell="Q7" sqref="Q7"/>
    </sheetView>
  </sheetViews>
  <sheetFormatPr defaultRowHeight="13.2" x14ac:dyDescent="0.3"/>
  <cols>
    <col min="1" max="2" width="3.77734375" style="1" customWidth="1"/>
    <col min="3" max="3" width="15.33203125" style="1" customWidth="1"/>
    <col min="4" max="4" width="24.21875" style="1" customWidth="1"/>
    <col min="5" max="5" width="22.109375" style="1" customWidth="1"/>
    <col min="6" max="6" width="17.6640625" style="1" customWidth="1"/>
    <col min="7" max="7" width="22.88671875" style="1" customWidth="1"/>
    <col min="8" max="9" width="3.77734375" style="1" customWidth="1"/>
    <col min="10" max="10" width="2.77734375" style="1" customWidth="1"/>
    <col min="11" max="11" width="1.77734375" style="1" customWidth="1"/>
    <col min="12" max="12" width="10.6640625" style="1" customWidth="1"/>
    <col min="13" max="13" width="9.5546875" style="1" customWidth="1"/>
    <col min="14" max="14" width="2.77734375" style="1" customWidth="1"/>
    <col min="15" max="15" width="3.77734375" style="1" customWidth="1"/>
    <col min="16" max="16384" width="8.88671875" style="1"/>
  </cols>
  <sheetData>
    <row r="1" spans="1:15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3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3.4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7.399999999999999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25.2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25.8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.600000000000001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6.649999999999999" customHeight="1" x14ac:dyDescent="0.3">
      <c r="A9" s="3"/>
      <c r="B9" s="3"/>
      <c r="C9" s="3"/>
      <c r="D9" s="3"/>
      <c r="E9" s="3"/>
      <c r="F9" s="3"/>
      <c r="G9" s="3"/>
      <c r="H9" s="3"/>
      <c r="I9" s="3"/>
      <c r="J9" s="31"/>
      <c r="K9" s="32"/>
      <c r="L9" s="32"/>
      <c r="M9" s="32"/>
      <c r="N9" s="33"/>
      <c r="O9" s="3"/>
    </row>
    <row r="10" spans="1:15" ht="16.649999999999999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4"/>
      <c r="K10" s="84" t="s">
        <v>43</v>
      </c>
      <c r="L10" s="84"/>
      <c r="M10" s="84"/>
      <c r="N10" s="35"/>
      <c r="O10" s="3"/>
    </row>
    <row r="11" spans="1:15" ht="16.649999999999999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4"/>
      <c r="K11" s="3"/>
      <c r="L11" s="3"/>
      <c r="M11" s="3"/>
      <c r="N11" s="35"/>
      <c r="O11" s="3"/>
    </row>
    <row r="12" spans="1:15" ht="16.64999999999999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4"/>
      <c r="K12" s="87" t="str">
        <f>Top!J3</f>
        <v>Red Icon</v>
      </c>
      <c r="L12" s="87"/>
      <c r="M12" s="87"/>
      <c r="N12" s="35"/>
      <c r="O12" s="3"/>
    </row>
    <row r="13" spans="1:15" ht="16.649999999999999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4"/>
      <c r="K13" s="3"/>
      <c r="L13" s="81" t="str">
        <f>Top!I3</f>
        <v>Red Socks</v>
      </c>
      <c r="M13" s="81"/>
      <c r="N13" s="35"/>
      <c r="O13" s="3"/>
    </row>
    <row r="14" spans="1:15" ht="16.649999999999999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4"/>
      <c r="K14" s="3"/>
      <c r="L14" s="4" t="s">
        <v>42</v>
      </c>
      <c r="M14" s="82"/>
      <c r="N14" s="35"/>
      <c r="O14" s="3"/>
    </row>
    <row r="15" spans="1:15" ht="16.64999999999999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4"/>
      <c r="K15" s="3"/>
      <c r="L15" s="85">
        <f>Top!K3</f>
        <v>3040</v>
      </c>
      <c r="M15" s="82"/>
      <c r="N15" s="35"/>
      <c r="O15" s="3"/>
    </row>
    <row r="16" spans="1:15" ht="16.649999999999999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4"/>
      <c r="K16" s="3"/>
      <c r="L16" s="86"/>
      <c r="M16" s="82"/>
      <c r="N16" s="35"/>
      <c r="O16" s="3"/>
    </row>
    <row r="17" spans="1:15" ht="16.649999999999999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4"/>
      <c r="K17" s="83">
        <f>Top!L3</f>
        <v>15048</v>
      </c>
      <c r="L17" s="83"/>
      <c r="M17" s="83"/>
      <c r="N17" s="35"/>
      <c r="O17" s="3"/>
    </row>
    <row r="18" spans="1:15" ht="16.649999999999999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4"/>
      <c r="K18" s="3"/>
      <c r="L18" s="3"/>
      <c r="M18" s="3"/>
      <c r="N18" s="35"/>
      <c r="O18" s="3"/>
    </row>
    <row r="19" spans="1:15" ht="16.649999999999999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4"/>
      <c r="K19" s="87" t="str">
        <f>Top!J4</f>
        <v>Orange Country</v>
      </c>
      <c r="L19" s="87"/>
      <c r="M19" s="87"/>
      <c r="N19" s="35"/>
      <c r="O19" s="3"/>
    </row>
    <row r="20" spans="1:15" ht="16.649999999999999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4"/>
      <c r="K20" s="3"/>
      <c r="L20" s="81" t="str">
        <f>Top!I4</f>
        <v>Orange Socks</v>
      </c>
      <c r="M20" s="81"/>
      <c r="N20" s="35"/>
      <c r="O20" s="3"/>
    </row>
    <row r="21" spans="1:15" ht="16.649999999999999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4"/>
      <c r="K21" s="3"/>
      <c r="L21" s="4" t="s">
        <v>42</v>
      </c>
      <c r="M21" s="82"/>
      <c r="N21" s="35"/>
      <c r="O21" s="3"/>
    </row>
    <row r="22" spans="1:15" ht="16.649999999999999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4"/>
      <c r="K22" s="3"/>
      <c r="L22" s="85">
        <f>Top!K4</f>
        <v>3030</v>
      </c>
      <c r="M22" s="82"/>
      <c r="N22" s="35"/>
      <c r="O22" s="3"/>
    </row>
    <row r="23" spans="1:15" ht="16.649999999999999" customHeight="1" x14ac:dyDescent="0.3">
      <c r="A23" s="3"/>
      <c r="B23" s="31"/>
      <c r="C23" s="32"/>
      <c r="D23" s="32"/>
      <c r="E23" s="32"/>
      <c r="F23" s="32"/>
      <c r="G23" s="32"/>
      <c r="H23" s="33"/>
      <c r="I23" s="3"/>
      <c r="J23" s="34"/>
      <c r="K23" s="3"/>
      <c r="L23" s="86"/>
      <c r="M23" s="82"/>
      <c r="N23" s="35"/>
      <c r="O23" s="3"/>
    </row>
    <row r="24" spans="1:15" ht="16.649999999999999" customHeight="1" x14ac:dyDescent="0.3">
      <c r="A24" s="3"/>
      <c r="B24" s="34"/>
      <c r="C24" s="39" t="s">
        <v>46</v>
      </c>
      <c r="D24" s="3"/>
      <c r="E24" s="3"/>
      <c r="F24" s="3"/>
      <c r="G24" s="3"/>
      <c r="H24" s="35"/>
      <c r="I24" s="3"/>
      <c r="J24" s="34"/>
      <c r="K24" s="83">
        <f>Top!L4</f>
        <v>14944.5</v>
      </c>
      <c r="L24" s="83"/>
      <c r="M24" s="83"/>
      <c r="N24" s="35"/>
      <c r="O24" s="3"/>
    </row>
    <row r="25" spans="1:15" ht="16.649999999999999" customHeight="1" x14ac:dyDescent="0.3">
      <c r="A25" s="3"/>
      <c r="B25" s="34"/>
      <c r="C25" s="3"/>
      <c r="D25" s="3"/>
      <c r="E25" s="3"/>
      <c r="F25" s="3"/>
      <c r="G25" s="3"/>
      <c r="H25" s="35"/>
      <c r="I25" s="3"/>
      <c r="J25" s="34"/>
      <c r="K25" s="3"/>
      <c r="L25" s="3"/>
      <c r="M25" s="3"/>
      <c r="N25" s="35"/>
      <c r="O25" s="3"/>
    </row>
    <row r="26" spans="1:15" ht="16.649999999999999" customHeight="1" x14ac:dyDescent="0.3">
      <c r="A26" s="3"/>
      <c r="B26" s="34"/>
      <c r="C26" s="42" t="s">
        <v>13</v>
      </c>
      <c r="D26" s="42" t="s">
        <v>45</v>
      </c>
      <c r="E26" s="43" t="s">
        <v>44</v>
      </c>
      <c r="F26" s="44" t="s">
        <v>17</v>
      </c>
      <c r="G26" s="42" t="s">
        <v>18</v>
      </c>
      <c r="H26" s="35"/>
      <c r="I26" s="3"/>
      <c r="J26" s="34"/>
      <c r="K26" s="87" t="str">
        <f>Top!J5</f>
        <v>Blue Marvel</v>
      </c>
      <c r="L26" s="87"/>
      <c r="M26" s="87"/>
      <c r="N26" s="35"/>
      <c r="O26" s="3"/>
    </row>
    <row r="27" spans="1:15" ht="16.649999999999999" customHeight="1" x14ac:dyDescent="0.3">
      <c r="A27" s="3"/>
      <c r="B27" s="34"/>
      <c r="C27" s="3"/>
      <c r="D27" s="40"/>
      <c r="E27" s="4"/>
      <c r="F27" s="41"/>
      <c r="G27" s="3"/>
      <c r="H27" s="35"/>
      <c r="I27" s="3"/>
      <c r="J27" s="34"/>
      <c r="K27" s="3"/>
      <c r="L27" s="81" t="str">
        <f>Top!I5</f>
        <v>Blue Socks</v>
      </c>
      <c r="M27" s="81"/>
      <c r="N27" s="35"/>
      <c r="O27" s="3"/>
    </row>
    <row r="28" spans="1:15" ht="16.649999999999999" customHeight="1" x14ac:dyDescent="0.3">
      <c r="A28" s="3"/>
      <c r="B28" s="34"/>
      <c r="C28" s="3">
        <f>Orders!A2</f>
        <v>100100</v>
      </c>
      <c r="D28" s="45">
        <f>Orders!B2</f>
        <v>45646.416666666664</v>
      </c>
      <c r="E28" s="4" t="str">
        <f>Orders!C2</f>
        <v>Alexandria Hendrickson</v>
      </c>
      <c r="F28" s="41">
        <f>Orders!D2</f>
        <v>3310</v>
      </c>
      <c r="G28" s="3" t="str">
        <f>Orders!E2</f>
        <v>Pending Payment</v>
      </c>
      <c r="H28" s="35"/>
      <c r="I28" s="3"/>
      <c r="J28" s="34"/>
      <c r="K28" s="3"/>
      <c r="L28" s="4" t="s">
        <v>42</v>
      </c>
      <c r="M28" s="82"/>
      <c r="N28" s="35"/>
      <c r="O28" s="3"/>
    </row>
    <row r="29" spans="1:15" ht="16.649999999999999" customHeight="1" x14ac:dyDescent="0.3">
      <c r="A29" s="3"/>
      <c r="B29" s="34"/>
      <c r="C29" s="3">
        <f>Orders!A3</f>
        <v>100099</v>
      </c>
      <c r="D29" s="45">
        <f>Orders!B3</f>
        <v>45646.375</v>
      </c>
      <c r="E29" s="4" t="str">
        <f>Orders!C3</f>
        <v>Jerry Bellows</v>
      </c>
      <c r="F29" s="41">
        <f>Orders!D3</f>
        <v>705</v>
      </c>
      <c r="G29" s="3" t="str">
        <f>Orders!E3</f>
        <v>On Hold</v>
      </c>
      <c r="H29" s="35"/>
      <c r="I29" s="3"/>
      <c r="J29" s="34"/>
      <c r="K29" s="3"/>
      <c r="L29" s="85">
        <f>Top!K5</f>
        <v>2535</v>
      </c>
      <c r="M29" s="82"/>
      <c r="N29" s="35"/>
      <c r="O29" s="3"/>
    </row>
    <row r="30" spans="1:15" ht="16.649999999999999" customHeight="1" x14ac:dyDescent="0.3">
      <c r="A30" s="3"/>
      <c r="B30" s="34"/>
      <c r="C30" s="3">
        <f>Orders!A4</f>
        <v>100098</v>
      </c>
      <c r="D30" s="45">
        <f>Orders!B4</f>
        <v>45631.291666666664</v>
      </c>
      <c r="E30" s="4" t="str">
        <f>Orders!C4</f>
        <v>Barry Jenkins</v>
      </c>
      <c r="F30" s="41">
        <f>Orders!D4</f>
        <v>1852.5</v>
      </c>
      <c r="G30" s="3" t="str">
        <f>Orders!E4</f>
        <v>Processing</v>
      </c>
      <c r="H30" s="35"/>
      <c r="I30" s="3"/>
      <c r="J30" s="34"/>
      <c r="K30" s="3"/>
      <c r="L30" s="86"/>
      <c r="M30" s="82"/>
      <c r="N30" s="35"/>
      <c r="O30" s="3"/>
    </row>
    <row r="31" spans="1:15" ht="16.649999999999999" customHeight="1" x14ac:dyDescent="0.3">
      <c r="A31" s="3"/>
      <c r="B31" s="34"/>
      <c r="C31" s="3">
        <f>Orders!A5</f>
        <v>100097</v>
      </c>
      <c r="D31" s="45">
        <f>Orders!B5</f>
        <v>45627.458333333336</v>
      </c>
      <c r="E31" s="4" t="str">
        <f>Orders!C5</f>
        <v>Jeff Shepard</v>
      </c>
      <c r="F31" s="41">
        <f>Orders!D5</f>
        <v>2160</v>
      </c>
      <c r="G31" s="3" t="str">
        <f>Orders!E5</f>
        <v>Completed</v>
      </c>
      <c r="H31" s="35"/>
      <c r="I31" s="3"/>
      <c r="J31" s="34"/>
      <c r="K31" s="83">
        <f>Top!L5</f>
        <v>13815.75</v>
      </c>
      <c r="L31" s="83"/>
      <c r="M31" s="83"/>
      <c r="N31" s="35"/>
      <c r="O31" s="3"/>
    </row>
    <row r="32" spans="1:15" ht="16.649999999999999" customHeight="1" x14ac:dyDescent="0.3">
      <c r="A32" s="3"/>
      <c r="B32" s="36"/>
      <c r="C32" s="37"/>
      <c r="D32" s="37"/>
      <c r="E32" s="37"/>
      <c r="F32" s="37"/>
      <c r="G32" s="37"/>
      <c r="H32" s="38"/>
      <c r="I32" s="3"/>
      <c r="J32" s="36"/>
      <c r="K32" s="37"/>
      <c r="L32" s="37"/>
      <c r="M32" s="37"/>
      <c r="N32" s="38"/>
      <c r="O32" s="3"/>
    </row>
    <row r="33" spans="1:15" ht="19.8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</sheetData>
  <mergeCells count="16">
    <mergeCell ref="L27:M27"/>
    <mergeCell ref="M28:M30"/>
    <mergeCell ref="K31:M31"/>
    <mergeCell ref="K10:M10"/>
    <mergeCell ref="L29:L30"/>
    <mergeCell ref="M21:M23"/>
    <mergeCell ref="L22:L23"/>
    <mergeCell ref="K12:M12"/>
    <mergeCell ref="K19:M19"/>
    <mergeCell ref="L20:M20"/>
    <mergeCell ref="K26:M26"/>
    <mergeCell ref="K24:M24"/>
    <mergeCell ref="M14:M16"/>
    <mergeCell ref="L15:L16"/>
    <mergeCell ref="K17:M17"/>
    <mergeCell ref="L13:M13"/>
  </mergeCells>
  <pageMargins left="0" right="0" top="0" bottom="0" header="0" footer="0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3</xdr:col>
                    <xdr:colOff>472440</xdr:colOff>
                    <xdr:row>6</xdr:row>
                    <xdr:rowOff>30480</xdr:rowOff>
                  </from>
                  <to>
                    <xdr:col>4</xdr:col>
                    <xdr:colOff>441960</xdr:colOff>
                    <xdr:row>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Products</vt:lpstr>
      <vt:lpstr>Orders</vt:lpstr>
      <vt:lpstr>Sold</vt:lpstr>
      <vt:lpstr>Expenses</vt:lpstr>
      <vt:lpstr>Visitors</vt:lpstr>
      <vt:lpstr>Helper</vt:lpstr>
      <vt:lpstr>Top</vt:lpstr>
      <vt:lpstr>Dashboard</vt:lpstr>
      <vt:lpstr>F_1001</vt:lpstr>
      <vt:lpstr>F_1002</vt:lpstr>
      <vt:lpstr>F_1003</vt:lpstr>
      <vt:lpstr>F_1004</vt:lpstr>
      <vt:lpstr>Normal</vt:lpstr>
      <vt:lpstr>Poor</vt:lpstr>
      <vt:lpstr>Superb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Kawaljeetsingh Ladhar</cp:lastModifiedBy>
  <cp:lastPrinted>2024-06-12T00:24:33Z</cp:lastPrinted>
  <dcterms:created xsi:type="dcterms:W3CDTF">2024-06-06T13:35:36Z</dcterms:created>
  <dcterms:modified xsi:type="dcterms:W3CDTF">2026-08-26T05:33:08Z</dcterms:modified>
</cp:coreProperties>
</file>